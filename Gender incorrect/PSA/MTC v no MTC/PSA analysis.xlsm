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lla\Documents\GitHub\fantastic-lamp\Major Trauma Triage v2\PSA\MTC v no MTC\"/>
    </mc:Choice>
  </mc:AlternateContent>
  <xr:revisionPtr revIDLastSave="0" documentId="13_ncr:1_{9A231788-63FB-43D2-826B-0D593FACA9F9}" xr6:coauthVersionLast="45" xr6:coauthVersionMax="45" xr10:uidLastSave="{00000000-0000-0000-0000-000000000000}"/>
  <bookViews>
    <workbookView xWindow="-120" yWindow="-120" windowWidth="29040" windowHeight="15840" activeTab="4" xr2:uid="{4DB51258-00D7-46D8-B515-5AC33F4AAC94}"/>
  </bookViews>
  <sheets>
    <sheet name="Control" sheetId="4" r:id="rId1"/>
    <sheet name="MTC" sheetId="2" r:id="rId2"/>
    <sheet name="NoMTC" sheetId="1" r:id="rId3"/>
    <sheet name="PSA analysis" sheetId="3" r:id="rId4"/>
    <sheet name="CEP" sheetId="6" r:id="rId5"/>
    <sheet name="CEAC" sheetId="7" r:id="rId6"/>
  </sheets>
  <externalReferences>
    <externalReference r:id="rId7"/>
    <externalReference r:id="rId8"/>
  </externalReferences>
  <definedNames>
    <definedName name="Current_prob_CE">'PSA analysis'!$J$3:$K$3</definedName>
    <definedName name="ICER_incr">'PSA analysis'!$P$2</definedName>
    <definedName name="ICER_SP">'PSA analysis'!$M$4</definedName>
    <definedName name="Lambda">Control!$B$4</definedName>
    <definedName name="Max_ICER">'PSA analysis'!$N$2</definedName>
    <definedName name="Prob_CE_SP">'PSA analysis'!$N$4:$O$4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" l="1"/>
  <c r="B11" i="4"/>
  <c r="B9" i="4"/>
  <c r="F66" i="3"/>
  <c r="F68" i="3"/>
  <c r="F130" i="3"/>
  <c r="F132" i="3"/>
  <c r="G304" i="3"/>
  <c r="F312" i="3"/>
  <c r="G312" i="3"/>
  <c r="G320" i="3"/>
  <c r="F328" i="3"/>
  <c r="G328" i="3"/>
  <c r="G336" i="3"/>
  <c r="F344" i="3"/>
  <c r="G344" i="3"/>
  <c r="G352" i="3"/>
  <c r="F360" i="3"/>
  <c r="G360" i="3"/>
  <c r="G368" i="3"/>
  <c r="F376" i="3"/>
  <c r="G376" i="3"/>
  <c r="G384" i="3"/>
  <c r="F392" i="3"/>
  <c r="G392" i="3"/>
  <c r="G400" i="3"/>
  <c r="F408" i="3"/>
  <c r="G408" i="3"/>
  <c r="F424" i="3"/>
  <c r="G424" i="3"/>
  <c r="F440" i="3"/>
  <c r="G440" i="3"/>
  <c r="F456" i="3"/>
  <c r="G456" i="3"/>
  <c r="F472" i="3"/>
  <c r="G472" i="3"/>
  <c r="F488" i="3"/>
  <c r="G488" i="3"/>
  <c r="G4" i="3"/>
  <c r="F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F34" i="3" s="1"/>
  <c r="E34" i="3"/>
  <c r="D35" i="3"/>
  <c r="E35" i="3"/>
  <c r="D36" i="3"/>
  <c r="F36" i="3" s="1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F98" i="3" s="1"/>
  <c r="E98" i="3"/>
  <c r="D99" i="3"/>
  <c r="E99" i="3"/>
  <c r="D100" i="3"/>
  <c r="F100" i="3" s="1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F162" i="3" s="1"/>
  <c r="E162" i="3"/>
  <c r="D163" i="3"/>
  <c r="E163" i="3"/>
  <c r="D164" i="3"/>
  <c r="F164" i="3" s="1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H175" i="3" s="1"/>
  <c r="D176" i="3"/>
  <c r="E176" i="3"/>
  <c r="D177" i="3"/>
  <c r="E177" i="3"/>
  <c r="D178" i="3"/>
  <c r="E178" i="3"/>
  <c r="D179" i="3"/>
  <c r="E179" i="3"/>
  <c r="H179" i="3" s="1"/>
  <c r="D180" i="3"/>
  <c r="E180" i="3"/>
  <c r="D181" i="3"/>
  <c r="E181" i="3"/>
  <c r="D182" i="3"/>
  <c r="E182" i="3"/>
  <c r="D183" i="3"/>
  <c r="E183" i="3"/>
  <c r="H183" i="3" s="1"/>
  <c r="D184" i="3"/>
  <c r="E184" i="3"/>
  <c r="D185" i="3"/>
  <c r="E185" i="3"/>
  <c r="D186" i="3"/>
  <c r="E186" i="3"/>
  <c r="D187" i="3"/>
  <c r="E187" i="3"/>
  <c r="H187" i="3" s="1"/>
  <c r="D188" i="3"/>
  <c r="E188" i="3"/>
  <c r="D189" i="3"/>
  <c r="E189" i="3"/>
  <c r="D190" i="3"/>
  <c r="E190" i="3"/>
  <c r="D191" i="3"/>
  <c r="E191" i="3"/>
  <c r="H191" i="3" s="1"/>
  <c r="D192" i="3"/>
  <c r="E192" i="3"/>
  <c r="D193" i="3"/>
  <c r="E193" i="3"/>
  <c r="D194" i="3"/>
  <c r="E194" i="3"/>
  <c r="D195" i="3"/>
  <c r="E195" i="3"/>
  <c r="H195" i="3" s="1"/>
  <c r="D196" i="3"/>
  <c r="E196" i="3"/>
  <c r="D197" i="3"/>
  <c r="E197" i="3"/>
  <c r="D198" i="3"/>
  <c r="E198" i="3"/>
  <c r="D199" i="3"/>
  <c r="E199" i="3"/>
  <c r="H199" i="3" s="1"/>
  <c r="D200" i="3"/>
  <c r="E200" i="3"/>
  <c r="D201" i="3"/>
  <c r="E201" i="3"/>
  <c r="D202" i="3"/>
  <c r="E202" i="3"/>
  <c r="D203" i="3"/>
  <c r="E203" i="3"/>
  <c r="H203" i="3" s="1"/>
  <c r="D204" i="3"/>
  <c r="E204" i="3"/>
  <c r="D205" i="3"/>
  <c r="E205" i="3"/>
  <c r="D206" i="3"/>
  <c r="E206" i="3"/>
  <c r="D207" i="3"/>
  <c r="E207" i="3"/>
  <c r="H207" i="3" s="1"/>
  <c r="D208" i="3"/>
  <c r="E208" i="3"/>
  <c r="D209" i="3"/>
  <c r="E209" i="3"/>
  <c r="D210" i="3"/>
  <c r="E210" i="3"/>
  <c r="D211" i="3"/>
  <c r="E211" i="3"/>
  <c r="H211" i="3" s="1"/>
  <c r="D212" i="3"/>
  <c r="E212" i="3"/>
  <c r="D213" i="3"/>
  <c r="E213" i="3"/>
  <c r="D214" i="3"/>
  <c r="E214" i="3"/>
  <c r="D215" i="3"/>
  <c r="E215" i="3"/>
  <c r="H215" i="3" s="1"/>
  <c r="D216" i="3"/>
  <c r="E216" i="3"/>
  <c r="D217" i="3"/>
  <c r="E217" i="3"/>
  <c r="D218" i="3"/>
  <c r="E218" i="3"/>
  <c r="D219" i="3"/>
  <c r="E219" i="3"/>
  <c r="H219" i="3" s="1"/>
  <c r="D220" i="3"/>
  <c r="E220" i="3"/>
  <c r="D221" i="3"/>
  <c r="E221" i="3"/>
  <c r="D222" i="3"/>
  <c r="E222" i="3"/>
  <c r="D223" i="3"/>
  <c r="E223" i="3"/>
  <c r="H223" i="3" s="1"/>
  <c r="D224" i="3"/>
  <c r="E224" i="3"/>
  <c r="D225" i="3"/>
  <c r="E225" i="3"/>
  <c r="D226" i="3"/>
  <c r="E226" i="3"/>
  <c r="D227" i="3"/>
  <c r="E227" i="3"/>
  <c r="H227" i="3" s="1"/>
  <c r="D228" i="3"/>
  <c r="E228" i="3"/>
  <c r="D229" i="3"/>
  <c r="E229" i="3"/>
  <c r="D230" i="3"/>
  <c r="E230" i="3"/>
  <c r="D231" i="3"/>
  <c r="E231" i="3"/>
  <c r="H231" i="3" s="1"/>
  <c r="D232" i="3"/>
  <c r="E232" i="3"/>
  <c r="D233" i="3"/>
  <c r="E233" i="3"/>
  <c r="D234" i="3"/>
  <c r="E234" i="3"/>
  <c r="D235" i="3"/>
  <c r="E235" i="3"/>
  <c r="H235" i="3" s="1"/>
  <c r="D236" i="3"/>
  <c r="E236" i="3"/>
  <c r="D237" i="3"/>
  <c r="E237" i="3"/>
  <c r="D238" i="3"/>
  <c r="E238" i="3"/>
  <c r="D239" i="3"/>
  <c r="E239" i="3"/>
  <c r="H239" i="3" s="1"/>
  <c r="D240" i="3"/>
  <c r="E240" i="3"/>
  <c r="D241" i="3"/>
  <c r="E241" i="3"/>
  <c r="D242" i="3"/>
  <c r="E242" i="3"/>
  <c r="D243" i="3"/>
  <c r="E243" i="3"/>
  <c r="H243" i="3" s="1"/>
  <c r="D244" i="3"/>
  <c r="E244" i="3"/>
  <c r="D245" i="3"/>
  <c r="E245" i="3"/>
  <c r="D246" i="3"/>
  <c r="E246" i="3"/>
  <c r="D247" i="3"/>
  <c r="E247" i="3"/>
  <c r="H247" i="3" s="1"/>
  <c r="D248" i="3"/>
  <c r="E248" i="3"/>
  <c r="D249" i="3"/>
  <c r="E249" i="3"/>
  <c r="D250" i="3"/>
  <c r="E250" i="3"/>
  <c r="D251" i="3"/>
  <c r="E251" i="3"/>
  <c r="H251" i="3" s="1"/>
  <c r="D252" i="3"/>
  <c r="E252" i="3"/>
  <c r="D253" i="3"/>
  <c r="E253" i="3"/>
  <c r="D254" i="3"/>
  <c r="E254" i="3"/>
  <c r="D255" i="3"/>
  <c r="E255" i="3"/>
  <c r="H255" i="3" s="1"/>
  <c r="D256" i="3"/>
  <c r="E256" i="3"/>
  <c r="D257" i="3"/>
  <c r="E257" i="3"/>
  <c r="D258" i="3"/>
  <c r="E258" i="3"/>
  <c r="D259" i="3"/>
  <c r="E259" i="3"/>
  <c r="H259" i="3" s="1"/>
  <c r="D260" i="3"/>
  <c r="E260" i="3"/>
  <c r="D261" i="3"/>
  <c r="E261" i="3"/>
  <c r="D262" i="3"/>
  <c r="E262" i="3"/>
  <c r="D263" i="3"/>
  <c r="E263" i="3"/>
  <c r="H263" i="3" s="1"/>
  <c r="D264" i="3"/>
  <c r="E264" i="3"/>
  <c r="D265" i="3"/>
  <c r="E265" i="3"/>
  <c r="D266" i="3"/>
  <c r="E266" i="3"/>
  <c r="D267" i="3"/>
  <c r="E267" i="3"/>
  <c r="H267" i="3" s="1"/>
  <c r="D268" i="3"/>
  <c r="E268" i="3"/>
  <c r="D269" i="3"/>
  <c r="E269" i="3"/>
  <c r="D270" i="3"/>
  <c r="E270" i="3"/>
  <c r="D271" i="3"/>
  <c r="E271" i="3"/>
  <c r="H271" i="3" s="1"/>
  <c r="D272" i="3"/>
  <c r="E272" i="3"/>
  <c r="D273" i="3"/>
  <c r="E273" i="3"/>
  <c r="D274" i="3"/>
  <c r="E274" i="3"/>
  <c r="D275" i="3"/>
  <c r="E275" i="3"/>
  <c r="H275" i="3" s="1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H291" i="3" s="1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D444" i="3"/>
  <c r="E444" i="3"/>
  <c r="D445" i="3"/>
  <c r="E445" i="3"/>
  <c r="D446" i="3"/>
  <c r="E446" i="3"/>
  <c r="D447" i="3"/>
  <c r="E447" i="3"/>
  <c r="D448" i="3"/>
  <c r="E448" i="3"/>
  <c r="D449" i="3"/>
  <c r="E449" i="3"/>
  <c r="D450" i="3"/>
  <c r="E450" i="3"/>
  <c r="D451" i="3"/>
  <c r="E451" i="3"/>
  <c r="D452" i="3"/>
  <c r="E452" i="3"/>
  <c r="D453" i="3"/>
  <c r="E453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D494" i="3"/>
  <c r="E494" i="3"/>
  <c r="D495" i="3"/>
  <c r="E495" i="3"/>
  <c r="D496" i="3"/>
  <c r="E496" i="3"/>
  <c r="D497" i="3"/>
  <c r="E497" i="3"/>
  <c r="D498" i="3"/>
  <c r="E498" i="3"/>
  <c r="D499" i="3"/>
  <c r="E499" i="3"/>
  <c r="D500" i="3"/>
  <c r="E500" i="3"/>
  <c r="D501" i="3"/>
  <c r="E501" i="3"/>
  <c r="D502" i="3"/>
  <c r="E502" i="3"/>
  <c r="D503" i="3"/>
  <c r="E503" i="3"/>
  <c r="E4" i="3"/>
  <c r="D4" i="3"/>
  <c r="B5" i="3"/>
  <c r="C5" i="3"/>
  <c r="I5" i="3" s="1"/>
  <c r="B6" i="3"/>
  <c r="C6" i="3"/>
  <c r="B7" i="3"/>
  <c r="C7" i="3"/>
  <c r="I7" i="3" s="1"/>
  <c r="B8" i="3"/>
  <c r="C8" i="3"/>
  <c r="B9" i="3"/>
  <c r="C9" i="3"/>
  <c r="I9" i="3" s="1"/>
  <c r="B10" i="3"/>
  <c r="C10" i="3"/>
  <c r="B11" i="3"/>
  <c r="C11" i="3"/>
  <c r="I11" i="3" s="1"/>
  <c r="B12" i="3"/>
  <c r="C12" i="3"/>
  <c r="B13" i="3"/>
  <c r="C13" i="3"/>
  <c r="I13" i="3" s="1"/>
  <c r="B14" i="3"/>
  <c r="C14" i="3"/>
  <c r="B15" i="3"/>
  <c r="C15" i="3"/>
  <c r="I15" i="3" s="1"/>
  <c r="B16" i="3"/>
  <c r="C16" i="3"/>
  <c r="B17" i="3"/>
  <c r="C17" i="3"/>
  <c r="I17" i="3" s="1"/>
  <c r="B18" i="3"/>
  <c r="C18" i="3"/>
  <c r="B19" i="3"/>
  <c r="C19" i="3"/>
  <c r="I19" i="3" s="1"/>
  <c r="B20" i="3"/>
  <c r="C20" i="3"/>
  <c r="B21" i="3"/>
  <c r="C21" i="3"/>
  <c r="I21" i="3" s="1"/>
  <c r="B22" i="3"/>
  <c r="C22" i="3"/>
  <c r="B23" i="3"/>
  <c r="C23" i="3"/>
  <c r="I23" i="3" s="1"/>
  <c r="B24" i="3"/>
  <c r="C24" i="3"/>
  <c r="B25" i="3"/>
  <c r="C25" i="3"/>
  <c r="I25" i="3" s="1"/>
  <c r="B26" i="3"/>
  <c r="C26" i="3"/>
  <c r="B27" i="3"/>
  <c r="C27" i="3"/>
  <c r="I27" i="3" s="1"/>
  <c r="B28" i="3"/>
  <c r="C28" i="3"/>
  <c r="B29" i="3"/>
  <c r="C29" i="3"/>
  <c r="I29" i="3" s="1"/>
  <c r="B30" i="3"/>
  <c r="C30" i="3"/>
  <c r="B31" i="3"/>
  <c r="C31" i="3"/>
  <c r="I31" i="3" s="1"/>
  <c r="B32" i="3"/>
  <c r="C32" i="3"/>
  <c r="B33" i="3"/>
  <c r="C33" i="3"/>
  <c r="I33" i="3" s="1"/>
  <c r="B34" i="3"/>
  <c r="C34" i="3"/>
  <c r="B35" i="3"/>
  <c r="C35" i="3"/>
  <c r="I35" i="3" s="1"/>
  <c r="B36" i="3"/>
  <c r="C36" i="3"/>
  <c r="B37" i="3"/>
  <c r="C37" i="3"/>
  <c r="I37" i="3" s="1"/>
  <c r="B38" i="3"/>
  <c r="C38" i="3"/>
  <c r="B39" i="3"/>
  <c r="C39" i="3"/>
  <c r="I39" i="3" s="1"/>
  <c r="B40" i="3"/>
  <c r="C40" i="3"/>
  <c r="B41" i="3"/>
  <c r="C41" i="3"/>
  <c r="I41" i="3" s="1"/>
  <c r="B42" i="3"/>
  <c r="C42" i="3"/>
  <c r="B43" i="3"/>
  <c r="C43" i="3"/>
  <c r="I43" i="3" s="1"/>
  <c r="B44" i="3"/>
  <c r="C44" i="3"/>
  <c r="B45" i="3"/>
  <c r="C45" i="3"/>
  <c r="I45" i="3" s="1"/>
  <c r="B46" i="3"/>
  <c r="C46" i="3"/>
  <c r="B47" i="3"/>
  <c r="C47" i="3"/>
  <c r="I47" i="3" s="1"/>
  <c r="B48" i="3"/>
  <c r="C48" i="3"/>
  <c r="B49" i="3"/>
  <c r="C49" i="3"/>
  <c r="I49" i="3" s="1"/>
  <c r="B50" i="3"/>
  <c r="C50" i="3"/>
  <c r="B51" i="3"/>
  <c r="C51" i="3"/>
  <c r="I51" i="3" s="1"/>
  <c r="B52" i="3"/>
  <c r="C52" i="3"/>
  <c r="B53" i="3"/>
  <c r="C53" i="3"/>
  <c r="I53" i="3" s="1"/>
  <c r="B54" i="3"/>
  <c r="C54" i="3"/>
  <c r="B55" i="3"/>
  <c r="C55" i="3"/>
  <c r="I55" i="3" s="1"/>
  <c r="B56" i="3"/>
  <c r="C56" i="3"/>
  <c r="B57" i="3"/>
  <c r="C57" i="3"/>
  <c r="I57" i="3" s="1"/>
  <c r="B58" i="3"/>
  <c r="C58" i="3"/>
  <c r="B59" i="3"/>
  <c r="C59" i="3"/>
  <c r="I59" i="3" s="1"/>
  <c r="B60" i="3"/>
  <c r="C60" i="3"/>
  <c r="B61" i="3"/>
  <c r="C61" i="3"/>
  <c r="I61" i="3" s="1"/>
  <c r="B62" i="3"/>
  <c r="C62" i="3"/>
  <c r="B63" i="3"/>
  <c r="C63" i="3"/>
  <c r="I63" i="3" s="1"/>
  <c r="B64" i="3"/>
  <c r="C64" i="3"/>
  <c r="B65" i="3"/>
  <c r="C65" i="3"/>
  <c r="I65" i="3" s="1"/>
  <c r="B66" i="3"/>
  <c r="C66" i="3"/>
  <c r="B67" i="3"/>
  <c r="C67" i="3"/>
  <c r="I67" i="3" s="1"/>
  <c r="B68" i="3"/>
  <c r="C68" i="3"/>
  <c r="B69" i="3"/>
  <c r="C69" i="3"/>
  <c r="I69" i="3" s="1"/>
  <c r="B70" i="3"/>
  <c r="C70" i="3"/>
  <c r="B71" i="3"/>
  <c r="C71" i="3"/>
  <c r="I71" i="3" s="1"/>
  <c r="B72" i="3"/>
  <c r="C72" i="3"/>
  <c r="B73" i="3"/>
  <c r="C73" i="3"/>
  <c r="I73" i="3" s="1"/>
  <c r="B74" i="3"/>
  <c r="C74" i="3"/>
  <c r="B75" i="3"/>
  <c r="C75" i="3"/>
  <c r="I75" i="3" s="1"/>
  <c r="B76" i="3"/>
  <c r="C76" i="3"/>
  <c r="B77" i="3"/>
  <c r="C77" i="3"/>
  <c r="I77" i="3" s="1"/>
  <c r="B78" i="3"/>
  <c r="C78" i="3"/>
  <c r="B79" i="3"/>
  <c r="C79" i="3"/>
  <c r="I79" i="3" s="1"/>
  <c r="B80" i="3"/>
  <c r="C80" i="3"/>
  <c r="B81" i="3"/>
  <c r="C81" i="3"/>
  <c r="I81" i="3" s="1"/>
  <c r="B82" i="3"/>
  <c r="C82" i="3"/>
  <c r="B83" i="3"/>
  <c r="C83" i="3"/>
  <c r="I83" i="3" s="1"/>
  <c r="B84" i="3"/>
  <c r="C84" i="3"/>
  <c r="B85" i="3"/>
  <c r="C85" i="3"/>
  <c r="I85" i="3" s="1"/>
  <c r="B86" i="3"/>
  <c r="C86" i="3"/>
  <c r="B87" i="3"/>
  <c r="C87" i="3"/>
  <c r="I87" i="3" s="1"/>
  <c r="B88" i="3"/>
  <c r="C88" i="3"/>
  <c r="B89" i="3"/>
  <c r="C89" i="3"/>
  <c r="I89" i="3" s="1"/>
  <c r="B90" i="3"/>
  <c r="C90" i="3"/>
  <c r="B91" i="3"/>
  <c r="C91" i="3"/>
  <c r="I91" i="3" s="1"/>
  <c r="B92" i="3"/>
  <c r="C92" i="3"/>
  <c r="B93" i="3"/>
  <c r="C93" i="3"/>
  <c r="I93" i="3" s="1"/>
  <c r="B94" i="3"/>
  <c r="C94" i="3"/>
  <c r="B95" i="3"/>
  <c r="C95" i="3"/>
  <c r="I95" i="3" s="1"/>
  <c r="B96" i="3"/>
  <c r="C96" i="3"/>
  <c r="B97" i="3"/>
  <c r="C97" i="3"/>
  <c r="I97" i="3" s="1"/>
  <c r="B98" i="3"/>
  <c r="C98" i="3"/>
  <c r="B99" i="3"/>
  <c r="C99" i="3"/>
  <c r="I99" i="3" s="1"/>
  <c r="B100" i="3"/>
  <c r="C100" i="3"/>
  <c r="B101" i="3"/>
  <c r="C101" i="3"/>
  <c r="I101" i="3" s="1"/>
  <c r="B102" i="3"/>
  <c r="C102" i="3"/>
  <c r="B103" i="3"/>
  <c r="C103" i="3"/>
  <c r="I103" i="3" s="1"/>
  <c r="B104" i="3"/>
  <c r="C104" i="3"/>
  <c r="B105" i="3"/>
  <c r="C105" i="3"/>
  <c r="I105" i="3" s="1"/>
  <c r="B106" i="3"/>
  <c r="C106" i="3"/>
  <c r="B107" i="3"/>
  <c r="C107" i="3"/>
  <c r="I107" i="3" s="1"/>
  <c r="B108" i="3"/>
  <c r="C108" i="3"/>
  <c r="B109" i="3"/>
  <c r="C109" i="3"/>
  <c r="I109" i="3" s="1"/>
  <c r="B110" i="3"/>
  <c r="C110" i="3"/>
  <c r="B111" i="3"/>
  <c r="C111" i="3"/>
  <c r="I111" i="3" s="1"/>
  <c r="B112" i="3"/>
  <c r="C112" i="3"/>
  <c r="B113" i="3"/>
  <c r="C113" i="3"/>
  <c r="I113" i="3" s="1"/>
  <c r="B114" i="3"/>
  <c r="C114" i="3"/>
  <c r="B115" i="3"/>
  <c r="C115" i="3"/>
  <c r="I115" i="3" s="1"/>
  <c r="B116" i="3"/>
  <c r="C116" i="3"/>
  <c r="B117" i="3"/>
  <c r="C117" i="3"/>
  <c r="I117" i="3" s="1"/>
  <c r="B118" i="3"/>
  <c r="C118" i="3"/>
  <c r="B119" i="3"/>
  <c r="C119" i="3"/>
  <c r="I119" i="3" s="1"/>
  <c r="B120" i="3"/>
  <c r="C120" i="3"/>
  <c r="B121" i="3"/>
  <c r="C121" i="3"/>
  <c r="I121" i="3" s="1"/>
  <c r="B122" i="3"/>
  <c r="C122" i="3"/>
  <c r="B123" i="3"/>
  <c r="C123" i="3"/>
  <c r="I123" i="3" s="1"/>
  <c r="B124" i="3"/>
  <c r="C124" i="3"/>
  <c r="B125" i="3"/>
  <c r="C125" i="3"/>
  <c r="I125" i="3" s="1"/>
  <c r="B126" i="3"/>
  <c r="C126" i="3"/>
  <c r="B127" i="3"/>
  <c r="C127" i="3"/>
  <c r="I127" i="3" s="1"/>
  <c r="B128" i="3"/>
  <c r="C128" i="3"/>
  <c r="B129" i="3"/>
  <c r="C129" i="3"/>
  <c r="I129" i="3" s="1"/>
  <c r="B130" i="3"/>
  <c r="C130" i="3"/>
  <c r="B131" i="3"/>
  <c r="C131" i="3"/>
  <c r="I131" i="3" s="1"/>
  <c r="B132" i="3"/>
  <c r="C132" i="3"/>
  <c r="B133" i="3"/>
  <c r="C133" i="3"/>
  <c r="I133" i="3" s="1"/>
  <c r="B134" i="3"/>
  <c r="C134" i="3"/>
  <c r="B135" i="3"/>
  <c r="C135" i="3"/>
  <c r="I135" i="3" s="1"/>
  <c r="B136" i="3"/>
  <c r="C136" i="3"/>
  <c r="B137" i="3"/>
  <c r="C137" i="3"/>
  <c r="I137" i="3" s="1"/>
  <c r="B138" i="3"/>
  <c r="C138" i="3"/>
  <c r="B139" i="3"/>
  <c r="C139" i="3"/>
  <c r="I139" i="3" s="1"/>
  <c r="B140" i="3"/>
  <c r="C140" i="3"/>
  <c r="B141" i="3"/>
  <c r="C141" i="3"/>
  <c r="I141" i="3" s="1"/>
  <c r="B142" i="3"/>
  <c r="C142" i="3"/>
  <c r="B143" i="3"/>
  <c r="C143" i="3"/>
  <c r="I143" i="3" s="1"/>
  <c r="B144" i="3"/>
  <c r="C144" i="3"/>
  <c r="B145" i="3"/>
  <c r="C145" i="3"/>
  <c r="I145" i="3" s="1"/>
  <c r="B146" i="3"/>
  <c r="C146" i="3"/>
  <c r="B147" i="3"/>
  <c r="C147" i="3"/>
  <c r="I147" i="3" s="1"/>
  <c r="B148" i="3"/>
  <c r="C148" i="3"/>
  <c r="B149" i="3"/>
  <c r="C149" i="3"/>
  <c r="I149" i="3" s="1"/>
  <c r="B150" i="3"/>
  <c r="C150" i="3"/>
  <c r="B151" i="3"/>
  <c r="C151" i="3"/>
  <c r="I151" i="3" s="1"/>
  <c r="B152" i="3"/>
  <c r="C152" i="3"/>
  <c r="B153" i="3"/>
  <c r="C153" i="3"/>
  <c r="I153" i="3" s="1"/>
  <c r="B154" i="3"/>
  <c r="C154" i="3"/>
  <c r="B155" i="3"/>
  <c r="C155" i="3"/>
  <c r="I155" i="3" s="1"/>
  <c r="B156" i="3"/>
  <c r="C156" i="3"/>
  <c r="B157" i="3"/>
  <c r="C157" i="3"/>
  <c r="I157" i="3" s="1"/>
  <c r="B158" i="3"/>
  <c r="C158" i="3"/>
  <c r="B159" i="3"/>
  <c r="C159" i="3"/>
  <c r="I159" i="3" s="1"/>
  <c r="B160" i="3"/>
  <c r="C160" i="3"/>
  <c r="B161" i="3"/>
  <c r="C161" i="3"/>
  <c r="I161" i="3" s="1"/>
  <c r="B162" i="3"/>
  <c r="C162" i="3"/>
  <c r="B163" i="3"/>
  <c r="C163" i="3"/>
  <c r="I163" i="3" s="1"/>
  <c r="B164" i="3"/>
  <c r="C164" i="3"/>
  <c r="B165" i="3"/>
  <c r="C165" i="3"/>
  <c r="I165" i="3" s="1"/>
  <c r="B166" i="3"/>
  <c r="C166" i="3"/>
  <c r="B167" i="3"/>
  <c r="C167" i="3"/>
  <c r="I167" i="3" s="1"/>
  <c r="B168" i="3"/>
  <c r="C168" i="3"/>
  <c r="B169" i="3"/>
  <c r="C169" i="3"/>
  <c r="I169" i="3" s="1"/>
  <c r="B170" i="3"/>
  <c r="C170" i="3"/>
  <c r="B171" i="3"/>
  <c r="C171" i="3"/>
  <c r="I171" i="3" s="1"/>
  <c r="B172" i="3"/>
  <c r="C172" i="3"/>
  <c r="B173" i="3"/>
  <c r="C173" i="3"/>
  <c r="I173" i="3" s="1"/>
  <c r="B174" i="3"/>
  <c r="C174" i="3"/>
  <c r="B175" i="3"/>
  <c r="C175" i="3"/>
  <c r="I175" i="3" s="1"/>
  <c r="B176" i="3"/>
  <c r="C176" i="3"/>
  <c r="B177" i="3"/>
  <c r="C177" i="3"/>
  <c r="I177" i="3" s="1"/>
  <c r="B178" i="3"/>
  <c r="C178" i="3"/>
  <c r="B179" i="3"/>
  <c r="F179" i="3" s="1"/>
  <c r="C179" i="3"/>
  <c r="I179" i="3" s="1"/>
  <c r="B180" i="3"/>
  <c r="C180" i="3"/>
  <c r="B181" i="3"/>
  <c r="C181" i="3"/>
  <c r="I181" i="3" s="1"/>
  <c r="B182" i="3"/>
  <c r="C182" i="3"/>
  <c r="B183" i="3"/>
  <c r="C183" i="3"/>
  <c r="I183" i="3" s="1"/>
  <c r="B184" i="3"/>
  <c r="C184" i="3"/>
  <c r="B185" i="3"/>
  <c r="C185" i="3"/>
  <c r="I185" i="3" s="1"/>
  <c r="B186" i="3"/>
  <c r="C186" i="3"/>
  <c r="B187" i="3"/>
  <c r="F187" i="3" s="1"/>
  <c r="C187" i="3"/>
  <c r="B188" i="3"/>
  <c r="C188" i="3"/>
  <c r="B189" i="3"/>
  <c r="C189" i="3"/>
  <c r="I189" i="3" s="1"/>
  <c r="B190" i="3"/>
  <c r="C190" i="3"/>
  <c r="B191" i="3"/>
  <c r="C191" i="3"/>
  <c r="I191" i="3" s="1"/>
  <c r="B192" i="3"/>
  <c r="C192" i="3"/>
  <c r="B193" i="3"/>
  <c r="C193" i="3"/>
  <c r="I193" i="3" s="1"/>
  <c r="B194" i="3"/>
  <c r="C194" i="3"/>
  <c r="B195" i="3"/>
  <c r="F195" i="3" s="1"/>
  <c r="C195" i="3"/>
  <c r="I195" i="3" s="1"/>
  <c r="B196" i="3"/>
  <c r="C196" i="3"/>
  <c r="B197" i="3"/>
  <c r="C197" i="3"/>
  <c r="I197" i="3" s="1"/>
  <c r="B198" i="3"/>
  <c r="C198" i="3"/>
  <c r="B199" i="3"/>
  <c r="C199" i="3"/>
  <c r="I199" i="3" s="1"/>
  <c r="B200" i="3"/>
  <c r="C200" i="3"/>
  <c r="B201" i="3"/>
  <c r="C201" i="3"/>
  <c r="I201" i="3" s="1"/>
  <c r="B202" i="3"/>
  <c r="C202" i="3"/>
  <c r="B203" i="3"/>
  <c r="F203" i="3" s="1"/>
  <c r="C203" i="3"/>
  <c r="B204" i="3"/>
  <c r="C204" i="3"/>
  <c r="B205" i="3"/>
  <c r="C205" i="3"/>
  <c r="I205" i="3" s="1"/>
  <c r="B206" i="3"/>
  <c r="C206" i="3"/>
  <c r="B207" i="3"/>
  <c r="C207" i="3"/>
  <c r="I207" i="3" s="1"/>
  <c r="B208" i="3"/>
  <c r="C208" i="3"/>
  <c r="B209" i="3"/>
  <c r="C209" i="3"/>
  <c r="I209" i="3" s="1"/>
  <c r="B210" i="3"/>
  <c r="C210" i="3"/>
  <c r="B211" i="3"/>
  <c r="F211" i="3" s="1"/>
  <c r="C211" i="3"/>
  <c r="I211" i="3" s="1"/>
  <c r="B212" i="3"/>
  <c r="C212" i="3"/>
  <c r="B213" i="3"/>
  <c r="C213" i="3"/>
  <c r="I213" i="3" s="1"/>
  <c r="B214" i="3"/>
  <c r="C214" i="3"/>
  <c r="B215" i="3"/>
  <c r="C215" i="3"/>
  <c r="I215" i="3" s="1"/>
  <c r="B216" i="3"/>
  <c r="C216" i="3"/>
  <c r="B217" i="3"/>
  <c r="C217" i="3"/>
  <c r="I217" i="3" s="1"/>
  <c r="B218" i="3"/>
  <c r="C218" i="3"/>
  <c r="B219" i="3"/>
  <c r="F219" i="3" s="1"/>
  <c r="C219" i="3"/>
  <c r="B220" i="3"/>
  <c r="C220" i="3"/>
  <c r="B221" i="3"/>
  <c r="C221" i="3"/>
  <c r="I221" i="3" s="1"/>
  <c r="B222" i="3"/>
  <c r="C222" i="3"/>
  <c r="B223" i="3"/>
  <c r="C223" i="3"/>
  <c r="I223" i="3" s="1"/>
  <c r="B224" i="3"/>
  <c r="C224" i="3"/>
  <c r="B225" i="3"/>
  <c r="C225" i="3"/>
  <c r="I225" i="3" s="1"/>
  <c r="B226" i="3"/>
  <c r="C226" i="3"/>
  <c r="B227" i="3"/>
  <c r="F227" i="3" s="1"/>
  <c r="C227" i="3"/>
  <c r="I227" i="3" s="1"/>
  <c r="B228" i="3"/>
  <c r="C228" i="3"/>
  <c r="B229" i="3"/>
  <c r="C229" i="3"/>
  <c r="I229" i="3" s="1"/>
  <c r="B230" i="3"/>
  <c r="C230" i="3"/>
  <c r="B231" i="3"/>
  <c r="C231" i="3"/>
  <c r="I231" i="3" s="1"/>
  <c r="B232" i="3"/>
  <c r="C232" i="3"/>
  <c r="B233" i="3"/>
  <c r="C233" i="3"/>
  <c r="I233" i="3" s="1"/>
  <c r="B234" i="3"/>
  <c r="C234" i="3"/>
  <c r="B235" i="3"/>
  <c r="F235" i="3" s="1"/>
  <c r="C235" i="3"/>
  <c r="B236" i="3"/>
  <c r="C236" i="3"/>
  <c r="B237" i="3"/>
  <c r="C237" i="3"/>
  <c r="I237" i="3" s="1"/>
  <c r="B238" i="3"/>
  <c r="C238" i="3"/>
  <c r="B239" i="3"/>
  <c r="C239" i="3"/>
  <c r="I239" i="3" s="1"/>
  <c r="B240" i="3"/>
  <c r="C240" i="3"/>
  <c r="B241" i="3"/>
  <c r="C241" i="3"/>
  <c r="I241" i="3" s="1"/>
  <c r="B242" i="3"/>
  <c r="C242" i="3"/>
  <c r="B243" i="3"/>
  <c r="F243" i="3" s="1"/>
  <c r="C243" i="3"/>
  <c r="I243" i="3" s="1"/>
  <c r="B244" i="3"/>
  <c r="C244" i="3"/>
  <c r="B245" i="3"/>
  <c r="C245" i="3"/>
  <c r="I245" i="3" s="1"/>
  <c r="B246" i="3"/>
  <c r="C246" i="3"/>
  <c r="B247" i="3"/>
  <c r="C247" i="3"/>
  <c r="I247" i="3" s="1"/>
  <c r="B248" i="3"/>
  <c r="C248" i="3"/>
  <c r="B249" i="3"/>
  <c r="C249" i="3"/>
  <c r="I249" i="3" s="1"/>
  <c r="B250" i="3"/>
  <c r="C250" i="3"/>
  <c r="B251" i="3"/>
  <c r="F251" i="3" s="1"/>
  <c r="C251" i="3"/>
  <c r="B252" i="3"/>
  <c r="C252" i="3"/>
  <c r="B253" i="3"/>
  <c r="C253" i="3"/>
  <c r="I253" i="3" s="1"/>
  <c r="B254" i="3"/>
  <c r="C254" i="3"/>
  <c r="B255" i="3"/>
  <c r="C255" i="3"/>
  <c r="I255" i="3" s="1"/>
  <c r="B256" i="3"/>
  <c r="C256" i="3"/>
  <c r="B257" i="3"/>
  <c r="C257" i="3"/>
  <c r="I257" i="3" s="1"/>
  <c r="B258" i="3"/>
  <c r="C258" i="3"/>
  <c r="B259" i="3"/>
  <c r="F259" i="3" s="1"/>
  <c r="C259" i="3"/>
  <c r="I259" i="3" s="1"/>
  <c r="B260" i="3"/>
  <c r="C260" i="3"/>
  <c r="B261" i="3"/>
  <c r="C261" i="3"/>
  <c r="I261" i="3" s="1"/>
  <c r="B262" i="3"/>
  <c r="C262" i="3"/>
  <c r="B263" i="3"/>
  <c r="C263" i="3"/>
  <c r="I263" i="3" s="1"/>
  <c r="B264" i="3"/>
  <c r="C264" i="3"/>
  <c r="B265" i="3"/>
  <c r="C265" i="3"/>
  <c r="I265" i="3" s="1"/>
  <c r="B266" i="3"/>
  <c r="C266" i="3"/>
  <c r="B267" i="3"/>
  <c r="F267" i="3" s="1"/>
  <c r="C267" i="3"/>
  <c r="B268" i="3"/>
  <c r="C268" i="3"/>
  <c r="B269" i="3"/>
  <c r="C269" i="3"/>
  <c r="I269" i="3" s="1"/>
  <c r="B270" i="3"/>
  <c r="C270" i="3"/>
  <c r="B271" i="3"/>
  <c r="C271" i="3"/>
  <c r="I271" i="3" s="1"/>
  <c r="B272" i="3"/>
  <c r="C272" i="3"/>
  <c r="B273" i="3"/>
  <c r="C273" i="3"/>
  <c r="I273" i="3" s="1"/>
  <c r="B274" i="3"/>
  <c r="C274" i="3"/>
  <c r="B275" i="3"/>
  <c r="F275" i="3" s="1"/>
  <c r="C275" i="3"/>
  <c r="I275" i="3" s="1"/>
  <c r="B276" i="3"/>
  <c r="C276" i="3"/>
  <c r="B277" i="3"/>
  <c r="C277" i="3"/>
  <c r="I277" i="3" s="1"/>
  <c r="B278" i="3"/>
  <c r="C278" i="3"/>
  <c r="B279" i="3"/>
  <c r="C279" i="3"/>
  <c r="I279" i="3" s="1"/>
  <c r="B280" i="3"/>
  <c r="C280" i="3"/>
  <c r="B281" i="3"/>
  <c r="C281" i="3"/>
  <c r="I281" i="3" s="1"/>
  <c r="B282" i="3"/>
  <c r="C282" i="3"/>
  <c r="B283" i="3"/>
  <c r="F283" i="3" s="1"/>
  <c r="C283" i="3"/>
  <c r="I283" i="3" s="1"/>
  <c r="B284" i="3"/>
  <c r="C284" i="3"/>
  <c r="B285" i="3"/>
  <c r="C285" i="3"/>
  <c r="I285" i="3" s="1"/>
  <c r="B286" i="3"/>
  <c r="C286" i="3"/>
  <c r="B287" i="3"/>
  <c r="C287" i="3"/>
  <c r="I287" i="3" s="1"/>
  <c r="B288" i="3"/>
  <c r="C288" i="3"/>
  <c r="B289" i="3"/>
  <c r="C289" i="3"/>
  <c r="I289" i="3" s="1"/>
  <c r="B290" i="3"/>
  <c r="C290" i="3"/>
  <c r="B291" i="3"/>
  <c r="F291" i="3" s="1"/>
  <c r="C291" i="3"/>
  <c r="I291" i="3" s="1"/>
  <c r="B292" i="3"/>
  <c r="C292" i="3"/>
  <c r="B293" i="3"/>
  <c r="C293" i="3"/>
  <c r="I293" i="3" s="1"/>
  <c r="B294" i="3"/>
  <c r="C294" i="3"/>
  <c r="B295" i="3"/>
  <c r="C295" i="3"/>
  <c r="I295" i="3" s="1"/>
  <c r="B296" i="3"/>
  <c r="C296" i="3"/>
  <c r="B297" i="3"/>
  <c r="C297" i="3"/>
  <c r="I297" i="3" s="1"/>
  <c r="B298" i="3"/>
  <c r="C298" i="3"/>
  <c r="B299" i="3"/>
  <c r="C299" i="3"/>
  <c r="I299" i="3" s="1"/>
  <c r="B300" i="3"/>
  <c r="C300" i="3"/>
  <c r="B301" i="3"/>
  <c r="C301" i="3"/>
  <c r="I301" i="3" s="1"/>
  <c r="B302" i="3"/>
  <c r="C302" i="3"/>
  <c r="B303" i="3"/>
  <c r="C303" i="3"/>
  <c r="I303" i="3" s="1"/>
  <c r="B304" i="3"/>
  <c r="F304" i="3" s="1"/>
  <c r="C304" i="3"/>
  <c r="B305" i="3"/>
  <c r="C305" i="3"/>
  <c r="I305" i="3" s="1"/>
  <c r="B306" i="3"/>
  <c r="C306" i="3"/>
  <c r="B307" i="3"/>
  <c r="C307" i="3"/>
  <c r="I307" i="3" s="1"/>
  <c r="B308" i="3"/>
  <c r="C308" i="3"/>
  <c r="B309" i="3"/>
  <c r="C309" i="3"/>
  <c r="I309" i="3" s="1"/>
  <c r="B310" i="3"/>
  <c r="C310" i="3"/>
  <c r="B311" i="3"/>
  <c r="C311" i="3"/>
  <c r="I311" i="3" s="1"/>
  <c r="B312" i="3"/>
  <c r="C312" i="3"/>
  <c r="B313" i="3"/>
  <c r="C313" i="3"/>
  <c r="I313" i="3" s="1"/>
  <c r="B314" i="3"/>
  <c r="C314" i="3"/>
  <c r="B315" i="3"/>
  <c r="C315" i="3"/>
  <c r="I315" i="3" s="1"/>
  <c r="B316" i="3"/>
  <c r="C316" i="3"/>
  <c r="B317" i="3"/>
  <c r="C317" i="3"/>
  <c r="I317" i="3" s="1"/>
  <c r="B318" i="3"/>
  <c r="C318" i="3"/>
  <c r="B319" i="3"/>
  <c r="C319" i="3"/>
  <c r="I319" i="3" s="1"/>
  <c r="B320" i="3"/>
  <c r="F320" i="3" s="1"/>
  <c r="C320" i="3"/>
  <c r="B321" i="3"/>
  <c r="C321" i="3"/>
  <c r="I321" i="3" s="1"/>
  <c r="B322" i="3"/>
  <c r="C322" i="3"/>
  <c r="B323" i="3"/>
  <c r="C323" i="3"/>
  <c r="I323" i="3" s="1"/>
  <c r="B324" i="3"/>
  <c r="C324" i="3"/>
  <c r="B325" i="3"/>
  <c r="C325" i="3"/>
  <c r="I325" i="3" s="1"/>
  <c r="B326" i="3"/>
  <c r="C326" i="3"/>
  <c r="B327" i="3"/>
  <c r="C327" i="3"/>
  <c r="I327" i="3" s="1"/>
  <c r="B328" i="3"/>
  <c r="C328" i="3"/>
  <c r="B329" i="3"/>
  <c r="C329" i="3"/>
  <c r="I329" i="3" s="1"/>
  <c r="B330" i="3"/>
  <c r="C330" i="3"/>
  <c r="B331" i="3"/>
  <c r="C331" i="3"/>
  <c r="I331" i="3" s="1"/>
  <c r="B332" i="3"/>
  <c r="C332" i="3"/>
  <c r="B333" i="3"/>
  <c r="C333" i="3"/>
  <c r="I333" i="3" s="1"/>
  <c r="B334" i="3"/>
  <c r="C334" i="3"/>
  <c r="B335" i="3"/>
  <c r="C335" i="3"/>
  <c r="I335" i="3" s="1"/>
  <c r="B336" i="3"/>
  <c r="F336" i="3" s="1"/>
  <c r="C336" i="3"/>
  <c r="B337" i="3"/>
  <c r="C337" i="3"/>
  <c r="I337" i="3" s="1"/>
  <c r="B338" i="3"/>
  <c r="C338" i="3"/>
  <c r="B339" i="3"/>
  <c r="C339" i="3"/>
  <c r="I339" i="3" s="1"/>
  <c r="B340" i="3"/>
  <c r="C340" i="3"/>
  <c r="B341" i="3"/>
  <c r="C341" i="3"/>
  <c r="I341" i="3" s="1"/>
  <c r="B342" i="3"/>
  <c r="C342" i="3"/>
  <c r="B343" i="3"/>
  <c r="C343" i="3"/>
  <c r="I343" i="3" s="1"/>
  <c r="B344" i="3"/>
  <c r="C344" i="3"/>
  <c r="B345" i="3"/>
  <c r="C345" i="3"/>
  <c r="I345" i="3" s="1"/>
  <c r="B346" i="3"/>
  <c r="C346" i="3"/>
  <c r="B347" i="3"/>
  <c r="C347" i="3"/>
  <c r="I347" i="3" s="1"/>
  <c r="B348" i="3"/>
  <c r="C348" i="3"/>
  <c r="B349" i="3"/>
  <c r="C349" i="3"/>
  <c r="I349" i="3" s="1"/>
  <c r="B350" i="3"/>
  <c r="C350" i="3"/>
  <c r="B351" i="3"/>
  <c r="C351" i="3"/>
  <c r="I351" i="3" s="1"/>
  <c r="B352" i="3"/>
  <c r="F352" i="3" s="1"/>
  <c r="C352" i="3"/>
  <c r="B353" i="3"/>
  <c r="C353" i="3"/>
  <c r="I353" i="3" s="1"/>
  <c r="B354" i="3"/>
  <c r="C354" i="3"/>
  <c r="B355" i="3"/>
  <c r="C355" i="3"/>
  <c r="I355" i="3" s="1"/>
  <c r="B356" i="3"/>
  <c r="C356" i="3"/>
  <c r="B357" i="3"/>
  <c r="C357" i="3"/>
  <c r="I357" i="3" s="1"/>
  <c r="B358" i="3"/>
  <c r="C358" i="3"/>
  <c r="B359" i="3"/>
  <c r="C359" i="3"/>
  <c r="I359" i="3" s="1"/>
  <c r="B360" i="3"/>
  <c r="C360" i="3"/>
  <c r="B361" i="3"/>
  <c r="C361" i="3"/>
  <c r="I361" i="3" s="1"/>
  <c r="B362" i="3"/>
  <c r="C362" i="3"/>
  <c r="B363" i="3"/>
  <c r="C363" i="3"/>
  <c r="I363" i="3" s="1"/>
  <c r="B364" i="3"/>
  <c r="C364" i="3"/>
  <c r="B365" i="3"/>
  <c r="C365" i="3"/>
  <c r="I365" i="3" s="1"/>
  <c r="B366" i="3"/>
  <c r="C366" i="3"/>
  <c r="B367" i="3"/>
  <c r="C367" i="3"/>
  <c r="I367" i="3" s="1"/>
  <c r="B368" i="3"/>
  <c r="F368" i="3" s="1"/>
  <c r="C368" i="3"/>
  <c r="B369" i="3"/>
  <c r="C369" i="3"/>
  <c r="I369" i="3" s="1"/>
  <c r="B370" i="3"/>
  <c r="C370" i="3"/>
  <c r="B371" i="3"/>
  <c r="C371" i="3"/>
  <c r="I371" i="3" s="1"/>
  <c r="B372" i="3"/>
  <c r="C372" i="3"/>
  <c r="B373" i="3"/>
  <c r="C373" i="3"/>
  <c r="I373" i="3" s="1"/>
  <c r="B374" i="3"/>
  <c r="C374" i="3"/>
  <c r="B375" i="3"/>
  <c r="C375" i="3"/>
  <c r="I375" i="3" s="1"/>
  <c r="B376" i="3"/>
  <c r="C376" i="3"/>
  <c r="B377" i="3"/>
  <c r="C377" i="3"/>
  <c r="I377" i="3" s="1"/>
  <c r="B378" i="3"/>
  <c r="C378" i="3"/>
  <c r="B379" i="3"/>
  <c r="C379" i="3"/>
  <c r="I379" i="3" s="1"/>
  <c r="B380" i="3"/>
  <c r="C380" i="3"/>
  <c r="B381" i="3"/>
  <c r="C381" i="3"/>
  <c r="I381" i="3" s="1"/>
  <c r="B382" i="3"/>
  <c r="C382" i="3"/>
  <c r="B383" i="3"/>
  <c r="C383" i="3"/>
  <c r="I383" i="3" s="1"/>
  <c r="B384" i="3"/>
  <c r="F384" i="3" s="1"/>
  <c r="C384" i="3"/>
  <c r="B385" i="3"/>
  <c r="C385" i="3"/>
  <c r="I385" i="3" s="1"/>
  <c r="B386" i="3"/>
  <c r="C386" i="3"/>
  <c r="B387" i="3"/>
  <c r="C387" i="3"/>
  <c r="I387" i="3" s="1"/>
  <c r="B388" i="3"/>
  <c r="C388" i="3"/>
  <c r="B389" i="3"/>
  <c r="C389" i="3"/>
  <c r="I389" i="3" s="1"/>
  <c r="B390" i="3"/>
  <c r="C390" i="3"/>
  <c r="B391" i="3"/>
  <c r="C391" i="3"/>
  <c r="I391" i="3" s="1"/>
  <c r="B392" i="3"/>
  <c r="C392" i="3"/>
  <c r="B393" i="3"/>
  <c r="C393" i="3"/>
  <c r="I393" i="3" s="1"/>
  <c r="B394" i="3"/>
  <c r="C394" i="3"/>
  <c r="B395" i="3"/>
  <c r="C395" i="3"/>
  <c r="I395" i="3" s="1"/>
  <c r="B396" i="3"/>
  <c r="C396" i="3"/>
  <c r="B397" i="3"/>
  <c r="C397" i="3"/>
  <c r="I397" i="3" s="1"/>
  <c r="B398" i="3"/>
  <c r="C398" i="3"/>
  <c r="B399" i="3"/>
  <c r="C399" i="3"/>
  <c r="I399" i="3" s="1"/>
  <c r="B400" i="3"/>
  <c r="F400" i="3" s="1"/>
  <c r="C400" i="3"/>
  <c r="B401" i="3"/>
  <c r="C401" i="3"/>
  <c r="I401" i="3" s="1"/>
  <c r="B402" i="3"/>
  <c r="C402" i="3"/>
  <c r="B403" i="3"/>
  <c r="C403" i="3"/>
  <c r="I403" i="3" s="1"/>
  <c r="B404" i="3"/>
  <c r="C404" i="3"/>
  <c r="B405" i="3"/>
  <c r="C405" i="3"/>
  <c r="I405" i="3" s="1"/>
  <c r="B406" i="3"/>
  <c r="C406" i="3"/>
  <c r="B407" i="3"/>
  <c r="C407" i="3"/>
  <c r="I407" i="3" s="1"/>
  <c r="B408" i="3"/>
  <c r="C408" i="3"/>
  <c r="B409" i="3"/>
  <c r="C409" i="3"/>
  <c r="I409" i="3" s="1"/>
  <c r="B410" i="3"/>
  <c r="C410" i="3"/>
  <c r="B411" i="3"/>
  <c r="C411" i="3"/>
  <c r="I411" i="3" s="1"/>
  <c r="B412" i="3"/>
  <c r="C412" i="3"/>
  <c r="B413" i="3"/>
  <c r="C413" i="3"/>
  <c r="I413" i="3" s="1"/>
  <c r="B414" i="3"/>
  <c r="C414" i="3"/>
  <c r="B415" i="3"/>
  <c r="C415" i="3"/>
  <c r="I415" i="3" s="1"/>
  <c r="B416" i="3"/>
  <c r="F416" i="3" s="1"/>
  <c r="C416" i="3"/>
  <c r="B417" i="3"/>
  <c r="C417" i="3"/>
  <c r="I417" i="3" s="1"/>
  <c r="B418" i="3"/>
  <c r="C418" i="3"/>
  <c r="B419" i="3"/>
  <c r="C419" i="3"/>
  <c r="I419" i="3" s="1"/>
  <c r="B420" i="3"/>
  <c r="C420" i="3"/>
  <c r="B421" i="3"/>
  <c r="C421" i="3"/>
  <c r="I421" i="3" s="1"/>
  <c r="B422" i="3"/>
  <c r="C422" i="3"/>
  <c r="B423" i="3"/>
  <c r="C423" i="3"/>
  <c r="I423" i="3" s="1"/>
  <c r="B424" i="3"/>
  <c r="C424" i="3"/>
  <c r="B425" i="3"/>
  <c r="C425" i="3"/>
  <c r="I425" i="3" s="1"/>
  <c r="B426" i="3"/>
  <c r="C426" i="3"/>
  <c r="B427" i="3"/>
  <c r="C427" i="3"/>
  <c r="I427" i="3" s="1"/>
  <c r="B428" i="3"/>
  <c r="C428" i="3"/>
  <c r="B429" i="3"/>
  <c r="C429" i="3"/>
  <c r="I429" i="3" s="1"/>
  <c r="B430" i="3"/>
  <c r="C430" i="3"/>
  <c r="B431" i="3"/>
  <c r="C431" i="3"/>
  <c r="I431" i="3" s="1"/>
  <c r="B432" i="3"/>
  <c r="F432" i="3" s="1"/>
  <c r="C432" i="3"/>
  <c r="B433" i="3"/>
  <c r="C433" i="3"/>
  <c r="I433" i="3" s="1"/>
  <c r="B434" i="3"/>
  <c r="C434" i="3"/>
  <c r="B435" i="3"/>
  <c r="C435" i="3"/>
  <c r="I435" i="3" s="1"/>
  <c r="B436" i="3"/>
  <c r="C436" i="3"/>
  <c r="B437" i="3"/>
  <c r="C437" i="3"/>
  <c r="I437" i="3" s="1"/>
  <c r="B438" i="3"/>
  <c r="C438" i="3"/>
  <c r="B439" i="3"/>
  <c r="C439" i="3"/>
  <c r="I439" i="3" s="1"/>
  <c r="B440" i="3"/>
  <c r="C440" i="3"/>
  <c r="B441" i="3"/>
  <c r="C441" i="3"/>
  <c r="I441" i="3" s="1"/>
  <c r="B442" i="3"/>
  <c r="C442" i="3"/>
  <c r="B443" i="3"/>
  <c r="C443" i="3"/>
  <c r="I443" i="3" s="1"/>
  <c r="B444" i="3"/>
  <c r="C444" i="3"/>
  <c r="B445" i="3"/>
  <c r="C445" i="3"/>
  <c r="I445" i="3" s="1"/>
  <c r="B446" i="3"/>
  <c r="C446" i="3"/>
  <c r="B447" i="3"/>
  <c r="C447" i="3"/>
  <c r="I447" i="3" s="1"/>
  <c r="B448" i="3"/>
  <c r="F448" i="3" s="1"/>
  <c r="C448" i="3"/>
  <c r="B449" i="3"/>
  <c r="C449" i="3"/>
  <c r="I449" i="3" s="1"/>
  <c r="B450" i="3"/>
  <c r="C450" i="3"/>
  <c r="B451" i="3"/>
  <c r="C451" i="3"/>
  <c r="I451" i="3" s="1"/>
  <c r="B452" i="3"/>
  <c r="C452" i="3"/>
  <c r="B453" i="3"/>
  <c r="C453" i="3"/>
  <c r="I453" i="3" s="1"/>
  <c r="B454" i="3"/>
  <c r="C454" i="3"/>
  <c r="B455" i="3"/>
  <c r="C455" i="3"/>
  <c r="I455" i="3" s="1"/>
  <c r="B456" i="3"/>
  <c r="C456" i="3"/>
  <c r="B457" i="3"/>
  <c r="C457" i="3"/>
  <c r="I457" i="3" s="1"/>
  <c r="B458" i="3"/>
  <c r="C458" i="3"/>
  <c r="B459" i="3"/>
  <c r="C459" i="3"/>
  <c r="I459" i="3" s="1"/>
  <c r="B460" i="3"/>
  <c r="C460" i="3"/>
  <c r="B461" i="3"/>
  <c r="C461" i="3"/>
  <c r="I461" i="3" s="1"/>
  <c r="B462" i="3"/>
  <c r="C462" i="3"/>
  <c r="B463" i="3"/>
  <c r="C463" i="3"/>
  <c r="I463" i="3" s="1"/>
  <c r="B464" i="3"/>
  <c r="F464" i="3" s="1"/>
  <c r="C464" i="3"/>
  <c r="B465" i="3"/>
  <c r="C465" i="3"/>
  <c r="I465" i="3" s="1"/>
  <c r="B466" i="3"/>
  <c r="C466" i="3"/>
  <c r="B467" i="3"/>
  <c r="C467" i="3"/>
  <c r="I467" i="3" s="1"/>
  <c r="B468" i="3"/>
  <c r="C468" i="3"/>
  <c r="B469" i="3"/>
  <c r="C469" i="3"/>
  <c r="I469" i="3" s="1"/>
  <c r="B470" i="3"/>
  <c r="C470" i="3"/>
  <c r="B471" i="3"/>
  <c r="C471" i="3"/>
  <c r="I471" i="3" s="1"/>
  <c r="B472" i="3"/>
  <c r="C472" i="3"/>
  <c r="B473" i="3"/>
  <c r="C473" i="3"/>
  <c r="I473" i="3" s="1"/>
  <c r="B474" i="3"/>
  <c r="C474" i="3"/>
  <c r="I474" i="3" s="1"/>
  <c r="B475" i="3"/>
  <c r="C475" i="3"/>
  <c r="I475" i="3" s="1"/>
  <c r="B476" i="3"/>
  <c r="C476" i="3"/>
  <c r="I476" i="3" s="1"/>
  <c r="B477" i="3"/>
  <c r="C477" i="3"/>
  <c r="I477" i="3" s="1"/>
  <c r="B478" i="3"/>
  <c r="C478" i="3"/>
  <c r="I478" i="3" s="1"/>
  <c r="B479" i="3"/>
  <c r="C479" i="3"/>
  <c r="I479" i="3" s="1"/>
  <c r="B480" i="3"/>
  <c r="F480" i="3" s="1"/>
  <c r="C480" i="3"/>
  <c r="I480" i="3" s="1"/>
  <c r="B481" i="3"/>
  <c r="C481" i="3"/>
  <c r="I481" i="3" s="1"/>
  <c r="B482" i="3"/>
  <c r="C482" i="3"/>
  <c r="I482" i="3" s="1"/>
  <c r="B483" i="3"/>
  <c r="C483" i="3"/>
  <c r="I483" i="3" s="1"/>
  <c r="B484" i="3"/>
  <c r="C484" i="3"/>
  <c r="I484" i="3" s="1"/>
  <c r="B485" i="3"/>
  <c r="C485" i="3"/>
  <c r="I485" i="3" s="1"/>
  <c r="B486" i="3"/>
  <c r="C486" i="3"/>
  <c r="I486" i="3" s="1"/>
  <c r="B487" i="3"/>
  <c r="C487" i="3"/>
  <c r="I487" i="3" s="1"/>
  <c r="B488" i="3"/>
  <c r="C488" i="3"/>
  <c r="I488" i="3" s="1"/>
  <c r="B489" i="3"/>
  <c r="C489" i="3"/>
  <c r="I489" i="3" s="1"/>
  <c r="B490" i="3"/>
  <c r="C490" i="3"/>
  <c r="I490" i="3" s="1"/>
  <c r="B491" i="3"/>
  <c r="C491" i="3"/>
  <c r="I491" i="3" s="1"/>
  <c r="B492" i="3"/>
  <c r="C492" i="3"/>
  <c r="I492" i="3" s="1"/>
  <c r="B493" i="3"/>
  <c r="C493" i="3"/>
  <c r="I493" i="3" s="1"/>
  <c r="B494" i="3"/>
  <c r="C494" i="3"/>
  <c r="I494" i="3" s="1"/>
  <c r="B495" i="3"/>
  <c r="C495" i="3"/>
  <c r="I495" i="3" s="1"/>
  <c r="B496" i="3"/>
  <c r="F496" i="3" s="1"/>
  <c r="C496" i="3"/>
  <c r="I496" i="3" s="1"/>
  <c r="B497" i="3"/>
  <c r="C497" i="3"/>
  <c r="I497" i="3" s="1"/>
  <c r="B498" i="3"/>
  <c r="C498" i="3"/>
  <c r="I498" i="3" s="1"/>
  <c r="B499" i="3"/>
  <c r="C499" i="3"/>
  <c r="I499" i="3" s="1"/>
  <c r="B500" i="3"/>
  <c r="C500" i="3"/>
  <c r="I500" i="3" s="1"/>
  <c r="B501" i="3"/>
  <c r="C501" i="3"/>
  <c r="I501" i="3" s="1"/>
  <c r="B502" i="3"/>
  <c r="C502" i="3"/>
  <c r="I502" i="3" s="1"/>
  <c r="B503" i="3"/>
  <c r="C503" i="3"/>
  <c r="I503" i="3" s="1"/>
  <c r="C4" i="3"/>
  <c r="B4" i="3"/>
  <c r="A2" i="2"/>
  <c r="B2" i="2"/>
  <c r="C2" i="2"/>
  <c r="D2" i="2"/>
  <c r="E2" i="2"/>
  <c r="F2" i="2"/>
  <c r="G2" i="2"/>
  <c r="H2" i="2"/>
  <c r="I2" i="2"/>
  <c r="J2" i="2"/>
  <c r="K2" i="2"/>
  <c r="L2" i="2"/>
  <c r="M2" i="2"/>
  <c r="A3" i="2"/>
  <c r="B3" i="2"/>
  <c r="C3" i="2"/>
  <c r="D3" i="2"/>
  <c r="E3" i="2"/>
  <c r="F3" i="2"/>
  <c r="G3" i="2"/>
  <c r="H3" i="2"/>
  <c r="I3" i="2"/>
  <c r="J3" i="2"/>
  <c r="K3" i="2"/>
  <c r="L3" i="2"/>
  <c r="M3" i="2"/>
  <c r="A4" i="2"/>
  <c r="B4" i="2"/>
  <c r="C4" i="2"/>
  <c r="D4" i="2"/>
  <c r="E4" i="2"/>
  <c r="F4" i="2"/>
  <c r="G4" i="2"/>
  <c r="H4" i="2"/>
  <c r="I4" i="2"/>
  <c r="J4" i="2"/>
  <c r="K4" i="2"/>
  <c r="L4" i="2"/>
  <c r="M4" i="2"/>
  <c r="A5" i="2"/>
  <c r="B5" i="2"/>
  <c r="C5" i="2"/>
  <c r="D5" i="2"/>
  <c r="E5" i="2"/>
  <c r="F5" i="2"/>
  <c r="G5" i="2"/>
  <c r="H5" i="2"/>
  <c r="I5" i="2"/>
  <c r="J5" i="2"/>
  <c r="K5" i="2"/>
  <c r="L5" i="2"/>
  <c r="M5" i="2"/>
  <c r="A6" i="2"/>
  <c r="B6" i="2"/>
  <c r="C6" i="2"/>
  <c r="D6" i="2"/>
  <c r="E6" i="2"/>
  <c r="F6" i="2"/>
  <c r="G6" i="2"/>
  <c r="H6" i="2"/>
  <c r="I6" i="2"/>
  <c r="J6" i="2"/>
  <c r="K6" i="2"/>
  <c r="L6" i="2"/>
  <c r="M6" i="2"/>
  <c r="A7" i="2"/>
  <c r="B7" i="2"/>
  <c r="C7" i="2"/>
  <c r="D7" i="2"/>
  <c r="E7" i="2"/>
  <c r="F7" i="2"/>
  <c r="G7" i="2"/>
  <c r="H7" i="2"/>
  <c r="I7" i="2"/>
  <c r="J7" i="2"/>
  <c r="K7" i="2"/>
  <c r="L7" i="2"/>
  <c r="M7" i="2"/>
  <c r="A8" i="2"/>
  <c r="B8" i="2"/>
  <c r="C8" i="2"/>
  <c r="D8" i="2"/>
  <c r="E8" i="2"/>
  <c r="F8" i="2"/>
  <c r="G8" i="2"/>
  <c r="H8" i="2"/>
  <c r="I8" i="2"/>
  <c r="J8" i="2"/>
  <c r="K8" i="2"/>
  <c r="L8" i="2"/>
  <c r="M8" i="2"/>
  <c r="A9" i="2"/>
  <c r="B9" i="2"/>
  <c r="C9" i="2"/>
  <c r="D9" i="2"/>
  <c r="E9" i="2"/>
  <c r="F9" i="2"/>
  <c r="G9" i="2"/>
  <c r="H9" i="2"/>
  <c r="I9" i="2"/>
  <c r="J9" i="2"/>
  <c r="K9" i="2"/>
  <c r="L9" i="2"/>
  <c r="M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L1" i="2"/>
  <c r="M1" i="2"/>
  <c r="K1" i="2"/>
  <c r="B1" i="2"/>
  <c r="C1" i="2"/>
  <c r="D1" i="2"/>
  <c r="E1" i="2"/>
  <c r="F1" i="2"/>
  <c r="G1" i="2"/>
  <c r="H1" i="2"/>
  <c r="I1" i="2"/>
  <c r="J1" i="2"/>
  <c r="B2" i="1"/>
  <c r="C2" i="1"/>
  <c r="D2" i="1"/>
  <c r="E2" i="1"/>
  <c r="F2" i="1"/>
  <c r="G2" i="1"/>
  <c r="H2" i="1"/>
  <c r="I2" i="1"/>
  <c r="J2" i="1"/>
  <c r="K2" i="1"/>
  <c r="L2" i="1"/>
  <c r="M2" i="1"/>
  <c r="B3" i="1"/>
  <c r="C3" i="1"/>
  <c r="D3" i="1"/>
  <c r="E3" i="1"/>
  <c r="F3" i="1"/>
  <c r="G3" i="1"/>
  <c r="H3" i="1"/>
  <c r="I3" i="1"/>
  <c r="J3" i="1"/>
  <c r="K3" i="1"/>
  <c r="L3" i="1"/>
  <c r="M3" i="1"/>
  <c r="B4" i="1"/>
  <c r="C4" i="1"/>
  <c r="D4" i="1"/>
  <c r="E4" i="1"/>
  <c r="F4" i="1"/>
  <c r="G4" i="1"/>
  <c r="H4" i="1"/>
  <c r="I4" i="1"/>
  <c r="J4" i="1"/>
  <c r="K4" i="1"/>
  <c r="L4" i="1"/>
  <c r="M4" i="1"/>
  <c r="B5" i="1"/>
  <c r="C5" i="1"/>
  <c r="D5" i="1"/>
  <c r="E5" i="1"/>
  <c r="F5" i="1"/>
  <c r="G5" i="1"/>
  <c r="H5" i="1"/>
  <c r="I5" i="1"/>
  <c r="J5" i="1"/>
  <c r="K5" i="1"/>
  <c r="L5" i="1"/>
  <c r="M5" i="1"/>
  <c r="B6" i="1"/>
  <c r="C6" i="1"/>
  <c r="D6" i="1"/>
  <c r="E6" i="1"/>
  <c r="F6" i="1"/>
  <c r="G6" i="1"/>
  <c r="H6" i="1"/>
  <c r="I6" i="1"/>
  <c r="J6" i="1"/>
  <c r="K6" i="1"/>
  <c r="L6" i="1"/>
  <c r="M6" i="1"/>
  <c r="B7" i="1"/>
  <c r="C7" i="1"/>
  <c r="D7" i="1"/>
  <c r="E7" i="1"/>
  <c r="F7" i="1"/>
  <c r="G7" i="1"/>
  <c r="H7" i="1"/>
  <c r="I7" i="1"/>
  <c r="J7" i="1"/>
  <c r="K7" i="1"/>
  <c r="L7" i="1"/>
  <c r="M7" i="1"/>
  <c r="B8" i="1"/>
  <c r="C8" i="1"/>
  <c r="D8" i="1"/>
  <c r="E8" i="1"/>
  <c r="F8" i="1"/>
  <c r="G8" i="1"/>
  <c r="H8" i="1"/>
  <c r="I8" i="1"/>
  <c r="J8" i="1"/>
  <c r="K8" i="1"/>
  <c r="L8" i="1"/>
  <c r="M8" i="1"/>
  <c r="B9" i="1"/>
  <c r="C9" i="1"/>
  <c r="D9" i="1"/>
  <c r="E9" i="1"/>
  <c r="F9" i="1"/>
  <c r="G9" i="1"/>
  <c r="H9" i="1"/>
  <c r="I9" i="1"/>
  <c r="J9" i="1"/>
  <c r="K9" i="1"/>
  <c r="L9" i="1"/>
  <c r="M9" i="1"/>
  <c r="B10" i="1"/>
  <c r="C10" i="1"/>
  <c r="D10" i="1"/>
  <c r="E10" i="1"/>
  <c r="F10" i="1"/>
  <c r="G10" i="1"/>
  <c r="H10" i="1"/>
  <c r="I10" i="1"/>
  <c r="J10" i="1"/>
  <c r="K10" i="1"/>
  <c r="L10" i="1"/>
  <c r="M10" i="1"/>
  <c r="B11" i="1"/>
  <c r="C11" i="1"/>
  <c r="D11" i="1"/>
  <c r="E11" i="1"/>
  <c r="F11" i="1"/>
  <c r="G11" i="1"/>
  <c r="H11" i="1"/>
  <c r="I11" i="1"/>
  <c r="J11" i="1"/>
  <c r="K11" i="1"/>
  <c r="L11" i="1"/>
  <c r="M11" i="1"/>
  <c r="B12" i="1"/>
  <c r="C12" i="1"/>
  <c r="D12" i="1"/>
  <c r="E12" i="1"/>
  <c r="F12" i="1"/>
  <c r="G12" i="1"/>
  <c r="H12" i="1"/>
  <c r="I12" i="1"/>
  <c r="J12" i="1"/>
  <c r="K12" i="1"/>
  <c r="L12" i="1"/>
  <c r="M12" i="1"/>
  <c r="B13" i="1"/>
  <c r="C13" i="1"/>
  <c r="D13" i="1"/>
  <c r="E13" i="1"/>
  <c r="F13" i="1"/>
  <c r="G13" i="1"/>
  <c r="H13" i="1"/>
  <c r="I13" i="1"/>
  <c r="J13" i="1"/>
  <c r="K13" i="1"/>
  <c r="L13" i="1"/>
  <c r="M13" i="1"/>
  <c r="B14" i="1"/>
  <c r="C14" i="1"/>
  <c r="D14" i="1"/>
  <c r="E14" i="1"/>
  <c r="F14" i="1"/>
  <c r="G14" i="1"/>
  <c r="H14" i="1"/>
  <c r="I14" i="1"/>
  <c r="J14" i="1"/>
  <c r="K14" i="1"/>
  <c r="L14" i="1"/>
  <c r="M14" i="1"/>
  <c r="B15" i="1"/>
  <c r="C15" i="1"/>
  <c r="D15" i="1"/>
  <c r="E15" i="1"/>
  <c r="F15" i="1"/>
  <c r="G15" i="1"/>
  <c r="H15" i="1"/>
  <c r="I15" i="1"/>
  <c r="J15" i="1"/>
  <c r="K15" i="1"/>
  <c r="L15" i="1"/>
  <c r="M15" i="1"/>
  <c r="B16" i="1"/>
  <c r="C16" i="1"/>
  <c r="D16" i="1"/>
  <c r="E16" i="1"/>
  <c r="F16" i="1"/>
  <c r="G16" i="1"/>
  <c r="H16" i="1"/>
  <c r="I16" i="1"/>
  <c r="J16" i="1"/>
  <c r="K16" i="1"/>
  <c r="L16" i="1"/>
  <c r="M16" i="1"/>
  <c r="B17" i="1"/>
  <c r="C17" i="1"/>
  <c r="D17" i="1"/>
  <c r="E17" i="1"/>
  <c r="F17" i="1"/>
  <c r="G17" i="1"/>
  <c r="H17" i="1"/>
  <c r="I17" i="1"/>
  <c r="J17" i="1"/>
  <c r="K17" i="1"/>
  <c r="L17" i="1"/>
  <c r="M17" i="1"/>
  <c r="B18" i="1"/>
  <c r="C18" i="1"/>
  <c r="D18" i="1"/>
  <c r="E18" i="1"/>
  <c r="F18" i="1"/>
  <c r="G18" i="1"/>
  <c r="H18" i="1"/>
  <c r="I18" i="1"/>
  <c r="J18" i="1"/>
  <c r="K18" i="1"/>
  <c r="L18" i="1"/>
  <c r="M18" i="1"/>
  <c r="B19" i="1"/>
  <c r="C19" i="1"/>
  <c r="D19" i="1"/>
  <c r="E19" i="1"/>
  <c r="F19" i="1"/>
  <c r="G19" i="1"/>
  <c r="H19" i="1"/>
  <c r="I19" i="1"/>
  <c r="J19" i="1"/>
  <c r="K19" i="1"/>
  <c r="L19" i="1"/>
  <c r="M19" i="1"/>
  <c r="B20" i="1"/>
  <c r="C20" i="1"/>
  <c r="D20" i="1"/>
  <c r="E20" i="1"/>
  <c r="F20" i="1"/>
  <c r="G20" i="1"/>
  <c r="H20" i="1"/>
  <c r="I20" i="1"/>
  <c r="J20" i="1"/>
  <c r="K20" i="1"/>
  <c r="L20" i="1"/>
  <c r="M20" i="1"/>
  <c r="B21" i="1"/>
  <c r="C21" i="1"/>
  <c r="D21" i="1"/>
  <c r="E21" i="1"/>
  <c r="F21" i="1"/>
  <c r="G21" i="1"/>
  <c r="H21" i="1"/>
  <c r="I21" i="1"/>
  <c r="J21" i="1"/>
  <c r="K21" i="1"/>
  <c r="L21" i="1"/>
  <c r="M21" i="1"/>
  <c r="B22" i="1"/>
  <c r="C22" i="1"/>
  <c r="D22" i="1"/>
  <c r="E22" i="1"/>
  <c r="F22" i="1"/>
  <c r="G22" i="1"/>
  <c r="H22" i="1"/>
  <c r="I22" i="1"/>
  <c r="J22" i="1"/>
  <c r="K22" i="1"/>
  <c r="L22" i="1"/>
  <c r="M22" i="1"/>
  <c r="B23" i="1"/>
  <c r="C23" i="1"/>
  <c r="D23" i="1"/>
  <c r="E23" i="1"/>
  <c r="F23" i="1"/>
  <c r="G23" i="1"/>
  <c r="H23" i="1"/>
  <c r="I23" i="1"/>
  <c r="J23" i="1"/>
  <c r="K23" i="1"/>
  <c r="L23" i="1"/>
  <c r="M23" i="1"/>
  <c r="B24" i="1"/>
  <c r="C24" i="1"/>
  <c r="D24" i="1"/>
  <c r="E24" i="1"/>
  <c r="F24" i="1"/>
  <c r="G24" i="1"/>
  <c r="H24" i="1"/>
  <c r="I24" i="1"/>
  <c r="J24" i="1"/>
  <c r="K24" i="1"/>
  <c r="L24" i="1"/>
  <c r="M24" i="1"/>
  <c r="B25" i="1"/>
  <c r="C25" i="1"/>
  <c r="D25" i="1"/>
  <c r="E25" i="1"/>
  <c r="F25" i="1"/>
  <c r="G25" i="1"/>
  <c r="H25" i="1"/>
  <c r="I25" i="1"/>
  <c r="J25" i="1"/>
  <c r="K25" i="1"/>
  <c r="L25" i="1"/>
  <c r="M25" i="1"/>
  <c r="B26" i="1"/>
  <c r="C26" i="1"/>
  <c r="D26" i="1"/>
  <c r="E26" i="1"/>
  <c r="F26" i="1"/>
  <c r="G26" i="1"/>
  <c r="H26" i="1"/>
  <c r="I26" i="1"/>
  <c r="J26" i="1"/>
  <c r="K26" i="1"/>
  <c r="L26" i="1"/>
  <c r="M26" i="1"/>
  <c r="B27" i="1"/>
  <c r="C27" i="1"/>
  <c r="D27" i="1"/>
  <c r="E27" i="1"/>
  <c r="F27" i="1"/>
  <c r="G27" i="1"/>
  <c r="H27" i="1"/>
  <c r="I27" i="1"/>
  <c r="J27" i="1"/>
  <c r="K27" i="1"/>
  <c r="L27" i="1"/>
  <c r="M27" i="1"/>
  <c r="B28" i="1"/>
  <c r="C28" i="1"/>
  <c r="D28" i="1"/>
  <c r="E28" i="1"/>
  <c r="F28" i="1"/>
  <c r="G28" i="1"/>
  <c r="H28" i="1"/>
  <c r="I28" i="1"/>
  <c r="J28" i="1"/>
  <c r="K28" i="1"/>
  <c r="L28" i="1"/>
  <c r="M28" i="1"/>
  <c r="B29" i="1"/>
  <c r="C29" i="1"/>
  <c r="D29" i="1"/>
  <c r="E29" i="1"/>
  <c r="F29" i="1"/>
  <c r="G29" i="1"/>
  <c r="H29" i="1"/>
  <c r="I29" i="1"/>
  <c r="J29" i="1"/>
  <c r="K29" i="1"/>
  <c r="L29" i="1"/>
  <c r="M29" i="1"/>
  <c r="B30" i="1"/>
  <c r="C30" i="1"/>
  <c r="D30" i="1"/>
  <c r="E30" i="1"/>
  <c r="F30" i="1"/>
  <c r="G30" i="1"/>
  <c r="H30" i="1"/>
  <c r="I30" i="1"/>
  <c r="J30" i="1"/>
  <c r="K30" i="1"/>
  <c r="L30" i="1"/>
  <c r="M30" i="1"/>
  <c r="B31" i="1"/>
  <c r="C31" i="1"/>
  <c r="D31" i="1"/>
  <c r="E31" i="1"/>
  <c r="F31" i="1"/>
  <c r="G31" i="1"/>
  <c r="H31" i="1"/>
  <c r="I31" i="1"/>
  <c r="J31" i="1"/>
  <c r="K31" i="1"/>
  <c r="L31" i="1"/>
  <c r="M31" i="1"/>
  <c r="B32" i="1"/>
  <c r="C32" i="1"/>
  <c r="D32" i="1"/>
  <c r="E32" i="1"/>
  <c r="F32" i="1"/>
  <c r="G32" i="1"/>
  <c r="H32" i="1"/>
  <c r="I32" i="1"/>
  <c r="J32" i="1"/>
  <c r="K32" i="1"/>
  <c r="L32" i="1"/>
  <c r="M32" i="1"/>
  <c r="B33" i="1"/>
  <c r="C33" i="1"/>
  <c r="D33" i="1"/>
  <c r="E33" i="1"/>
  <c r="F33" i="1"/>
  <c r="G33" i="1"/>
  <c r="H33" i="1"/>
  <c r="I33" i="1"/>
  <c r="J33" i="1"/>
  <c r="K33" i="1"/>
  <c r="L33" i="1"/>
  <c r="M33" i="1"/>
  <c r="B34" i="1"/>
  <c r="C34" i="1"/>
  <c r="D34" i="1"/>
  <c r="E34" i="1"/>
  <c r="F34" i="1"/>
  <c r="G34" i="1"/>
  <c r="H34" i="1"/>
  <c r="I34" i="1"/>
  <c r="J34" i="1"/>
  <c r="K34" i="1"/>
  <c r="L34" i="1"/>
  <c r="M34" i="1"/>
  <c r="B35" i="1"/>
  <c r="C35" i="1"/>
  <c r="D35" i="1"/>
  <c r="E35" i="1"/>
  <c r="F35" i="1"/>
  <c r="G35" i="1"/>
  <c r="H35" i="1"/>
  <c r="I35" i="1"/>
  <c r="J35" i="1"/>
  <c r="K35" i="1"/>
  <c r="L35" i="1"/>
  <c r="M35" i="1"/>
  <c r="B36" i="1"/>
  <c r="C36" i="1"/>
  <c r="D36" i="1"/>
  <c r="E36" i="1"/>
  <c r="F36" i="1"/>
  <c r="G36" i="1"/>
  <c r="H36" i="1"/>
  <c r="I36" i="1"/>
  <c r="J36" i="1"/>
  <c r="K36" i="1"/>
  <c r="L36" i="1"/>
  <c r="M36" i="1"/>
  <c r="B37" i="1"/>
  <c r="C37" i="1"/>
  <c r="D37" i="1"/>
  <c r="E37" i="1"/>
  <c r="F37" i="1"/>
  <c r="G37" i="1"/>
  <c r="H37" i="1"/>
  <c r="I37" i="1"/>
  <c r="J37" i="1"/>
  <c r="K37" i="1"/>
  <c r="L37" i="1"/>
  <c r="M37" i="1"/>
  <c r="B38" i="1"/>
  <c r="C38" i="1"/>
  <c r="D38" i="1"/>
  <c r="E38" i="1"/>
  <c r="F38" i="1"/>
  <c r="G38" i="1"/>
  <c r="H38" i="1"/>
  <c r="I38" i="1"/>
  <c r="J38" i="1"/>
  <c r="K38" i="1"/>
  <c r="L38" i="1"/>
  <c r="M38" i="1"/>
  <c r="B39" i="1"/>
  <c r="C39" i="1"/>
  <c r="D39" i="1"/>
  <c r="E39" i="1"/>
  <c r="F39" i="1"/>
  <c r="G39" i="1"/>
  <c r="H39" i="1"/>
  <c r="I39" i="1"/>
  <c r="J39" i="1"/>
  <c r="K39" i="1"/>
  <c r="L39" i="1"/>
  <c r="M39" i="1"/>
  <c r="B40" i="1"/>
  <c r="C40" i="1"/>
  <c r="D40" i="1"/>
  <c r="E40" i="1"/>
  <c r="F40" i="1"/>
  <c r="G40" i="1"/>
  <c r="H40" i="1"/>
  <c r="I40" i="1"/>
  <c r="J40" i="1"/>
  <c r="K40" i="1"/>
  <c r="L40" i="1"/>
  <c r="M40" i="1"/>
  <c r="B41" i="1"/>
  <c r="C41" i="1"/>
  <c r="D41" i="1"/>
  <c r="E41" i="1"/>
  <c r="F41" i="1"/>
  <c r="G41" i="1"/>
  <c r="H41" i="1"/>
  <c r="I41" i="1"/>
  <c r="J41" i="1"/>
  <c r="K41" i="1"/>
  <c r="L41" i="1"/>
  <c r="M41" i="1"/>
  <c r="B42" i="1"/>
  <c r="C42" i="1"/>
  <c r="D42" i="1"/>
  <c r="E42" i="1"/>
  <c r="F42" i="1"/>
  <c r="G42" i="1"/>
  <c r="H42" i="1"/>
  <c r="I42" i="1"/>
  <c r="J42" i="1"/>
  <c r="K42" i="1"/>
  <c r="L42" i="1"/>
  <c r="M42" i="1"/>
  <c r="B43" i="1"/>
  <c r="C43" i="1"/>
  <c r="D43" i="1"/>
  <c r="E43" i="1"/>
  <c r="F43" i="1"/>
  <c r="G43" i="1"/>
  <c r="H43" i="1"/>
  <c r="I43" i="1"/>
  <c r="J43" i="1"/>
  <c r="K43" i="1"/>
  <c r="L43" i="1"/>
  <c r="M43" i="1"/>
  <c r="B44" i="1"/>
  <c r="C44" i="1"/>
  <c r="D44" i="1"/>
  <c r="E44" i="1"/>
  <c r="F44" i="1"/>
  <c r="G44" i="1"/>
  <c r="H44" i="1"/>
  <c r="I44" i="1"/>
  <c r="J44" i="1"/>
  <c r="K44" i="1"/>
  <c r="L44" i="1"/>
  <c r="M44" i="1"/>
  <c r="B45" i="1"/>
  <c r="C45" i="1"/>
  <c r="D45" i="1"/>
  <c r="E45" i="1"/>
  <c r="F45" i="1"/>
  <c r="G45" i="1"/>
  <c r="H45" i="1"/>
  <c r="I45" i="1"/>
  <c r="J45" i="1"/>
  <c r="K45" i="1"/>
  <c r="L45" i="1"/>
  <c r="M45" i="1"/>
  <c r="B46" i="1"/>
  <c r="C46" i="1"/>
  <c r="D46" i="1"/>
  <c r="E46" i="1"/>
  <c r="F46" i="1"/>
  <c r="G46" i="1"/>
  <c r="H46" i="1"/>
  <c r="I46" i="1"/>
  <c r="J46" i="1"/>
  <c r="K46" i="1"/>
  <c r="L46" i="1"/>
  <c r="M46" i="1"/>
  <c r="B47" i="1"/>
  <c r="C47" i="1"/>
  <c r="D47" i="1"/>
  <c r="E47" i="1"/>
  <c r="F47" i="1"/>
  <c r="G47" i="1"/>
  <c r="H47" i="1"/>
  <c r="I47" i="1"/>
  <c r="J47" i="1"/>
  <c r="K47" i="1"/>
  <c r="L47" i="1"/>
  <c r="M47" i="1"/>
  <c r="B48" i="1"/>
  <c r="C48" i="1"/>
  <c r="D48" i="1"/>
  <c r="E48" i="1"/>
  <c r="F48" i="1"/>
  <c r="G48" i="1"/>
  <c r="H48" i="1"/>
  <c r="I48" i="1"/>
  <c r="J48" i="1"/>
  <c r="K48" i="1"/>
  <c r="L48" i="1"/>
  <c r="M48" i="1"/>
  <c r="B49" i="1"/>
  <c r="C49" i="1"/>
  <c r="D49" i="1"/>
  <c r="E49" i="1"/>
  <c r="F49" i="1"/>
  <c r="G49" i="1"/>
  <c r="H49" i="1"/>
  <c r="I49" i="1"/>
  <c r="J49" i="1"/>
  <c r="K49" i="1"/>
  <c r="L49" i="1"/>
  <c r="M49" i="1"/>
  <c r="B50" i="1"/>
  <c r="C50" i="1"/>
  <c r="D50" i="1"/>
  <c r="E50" i="1"/>
  <c r="F50" i="1"/>
  <c r="G50" i="1"/>
  <c r="H50" i="1"/>
  <c r="I50" i="1"/>
  <c r="J50" i="1"/>
  <c r="K50" i="1"/>
  <c r="L50" i="1"/>
  <c r="M50" i="1"/>
  <c r="B51" i="1"/>
  <c r="C51" i="1"/>
  <c r="D51" i="1"/>
  <c r="E51" i="1"/>
  <c r="F51" i="1"/>
  <c r="G51" i="1"/>
  <c r="H51" i="1"/>
  <c r="I51" i="1"/>
  <c r="J51" i="1"/>
  <c r="K51" i="1"/>
  <c r="L51" i="1"/>
  <c r="M51" i="1"/>
  <c r="B52" i="1"/>
  <c r="C52" i="1"/>
  <c r="D52" i="1"/>
  <c r="E52" i="1"/>
  <c r="F52" i="1"/>
  <c r="G52" i="1"/>
  <c r="H52" i="1"/>
  <c r="I52" i="1"/>
  <c r="J52" i="1"/>
  <c r="K52" i="1"/>
  <c r="L52" i="1"/>
  <c r="M52" i="1"/>
  <c r="B53" i="1"/>
  <c r="C53" i="1"/>
  <c r="D53" i="1"/>
  <c r="E53" i="1"/>
  <c r="F53" i="1"/>
  <c r="G53" i="1"/>
  <c r="H53" i="1"/>
  <c r="I53" i="1"/>
  <c r="J53" i="1"/>
  <c r="K53" i="1"/>
  <c r="L53" i="1"/>
  <c r="M53" i="1"/>
  <c r="B54" i="1"/>
  <c r="C54" i="1"/>
  <c r="D54" i="1"/>
  <c r="E54" i="1"/>
  <c r="F54" i="1"/>
  <c r="G54" i="1"/>
  <c r="H54" i="1"/>
  <c r="I54" i="1"/>
  <c r="J54" i="1"/>
  <c r="K54" i="1"/>
  <c r="L54" i="1"/>
  <c r="M54" i="1"/>
  <c r="B55" i="1"/>
  <c r="C55" i="1"/>
  <c r="D55" i="1"/>
  <c r="E55" i="1"/>
  <c r="F55" i="1"/>
  <c r="G55" i="1"/>
  <c r="H55" i="1"/>
  <c r="I55" i="1"/>
  <c r="J55" i="1"/>
  <c r="K55" i="1"/>
  <c r="L55" i="1"/>
  <c r="M55" i="1"/>
  <c r="B56" i="1"/>
  <c r="C56" i="1"/>
  <c r="D56" i="1"/>
  <c r="E56" i="1"/>
  <c r="F56" i="1"/>
  <c r="G56" i="1"/>
  <c r="H56" i="1"/>
  <c r="I56" i="1"/>
  <c r="J56" i="1"/>
  <c r="K56" i="1"/>
  <c r="L56" i="1"/>
  <c r="M56" i="1"/>
  <c r="B57" i="1"/>
  <c r="C57" i="1"/>
  <c r="D57" i="1"/>
  <c r="E57" i="1"/>
  <c r="F57" i="1"/>
  <c r="G57" i="1"/>
  <c r="H57" i="1"/>
  <c r="I57" i="1"/>
  <c r="J57" i="1"/>
  <c r="K57" i="1"/>
  <c r="L57" i="1"/>
  <c r="M57" i="1"/>
  <c r="B58" i="1"/>
  <c r="C58" i="1"/>
  <c r="D58" i="1"/>
  <c r="E58" i="1"/>
  <c r="F58" i="1"/>
  <c r="G58" i="1"/>
  <c r="H58" i="1"/>
  <c r="I58" i="1"/>
  <c r="J58" i="1"/>
  <c r="K58" i="1"/>
  <c r="L58" i="1"/>
  <c r="M58" i="1"/>
  <c r="B59" i="1"/>
  <c r="C59" i="1"/>
  <c r="D59" i="1"/>
  <c r="E59" i="1"/>
  <c r="F59" i="1"/>
  <c r="G59" i="1"/>
  <c r="H59" i="1"/>
  <c r="I59" i="1"/>
  <c r="J59" i="1"/>
  <c r="K59" i="1"/>
  <c r="L59" i="1"/>
  <c r="M59" i="1"/>
  <c r="B60" i="1"/>
  <c r="C60" i="1"/>
  <c r="D60" i="1"/>
  <c r="E60" i="1"/>
  <c r="F60" i="1"/>
  <c r="G60" i="1"/>
  <c r="H60" i="1"/>
  <c r="I60" i="1"/>
  <c r="J60" i="1"/>
  <c r="K60" i="1"/>
  <c r="L60" i="1"/>
  <c r="M60" i="1"/>
  <c r="B61" i="1"/>
  <c r="C61" i="1"/>
  <c r="D61" i="1"/>
  <c r="E61" i="1"/>
  <c r="F61" i="1"/>
  <c r="G61" i="1"/>
  <c r="H61" i="1"/>
  <c r="I61" i="1"/>
  <c r="J61" i="1"/>
  <c r="K61" i="1"/>
  <c r="L61" i="1"/>
  <c r="M61" i="1"/>
  <c r="B62" i="1"/>
  <c r="C62" i="1"/>
  <c r="D62" i="1"/>
  <c r="E62" i="1"/>
  <c r="F62" i="1"/>
  <c r="G62" i="1"/>
  <c r="H62" i="1"/>
  <c r="I62" i="1"/>
  <c r="J62" i="1"/>
  <c r="K62" i="1"/>
  <c r="L62" i="1"/>
  <c r="M62" i="1"/>
  <c r="B63" i="1"/>
  <c r="C63" i="1"/>
  <c r="D63" i="1"/>
  <c r="E63" i="1"/>
  <c r="F63" i="1"/>
  <c r="G63" i="1"/>
  <c r="H63" i="1"/>
  <c r="I63" i="1"/>
  <c r="J63" i="1"/>
  <c r="K63" i="1"/>
  <c r="L63" i="1"/>
  <c r="M63" i="1"/>
  <c r="B64" i="1"/>
  <c r="C64" i="1"/>
  <c r="D64" i="1"/>
  <c r="E64" i="1"/>
  <c r="F64" i="1"/>
  <c r="G64" i="1"/>
  <c r="H64" i="1"/>
  <c r="I64" i="1"/>
  <c r="J64" i="1"/>
  <c r="K64" i="1"/>
  <c r="L64" i="1"/>
  <c r="M64" i="1"/>
  <c r="B65" i="1"/>
  <c r="C65" i="1"/>
  <c r="D65" i="1"/>
  <c r="E65" i="1"/>
  <c r="F65" i="1"/>
  <c r="G65" i="1"/>
  <c r="H65" i="1"/>
  <c r="I65" i="1"/>
  <c r="J65" i="1"/>
  <c r="K65" i="1"/>
  <c r="L65" i="1"/>
  <c r="M65" i="1"/>
  <c r="B66" i="1"/>
  <c r="C66" i="1"/>
  <c r="D66" i="1"/>
  <c r="E66" i="1"/>
  <c r="F66" i="1"/>
  <c r="G66" i="1"/>
  <c r="H66" i="1"/>
  <c r="I66" i="1"/>
  <c r="J66" i="1"/>
  <c r="K66" i="1"/>
  <c r="L66" i="1"/>
  <c r="M66" i="1"/>
  <c r="B67" i="1"/>
  <c r="C67" i="1"/>
  <c r="D67" i="1"/>
  <c r="E67" i="1"/>
  <c r="F67" i="1"/>
  <c r="G67" i="1"/>
  <c r="H67" i="1"/>
  <c r="I67" i="1"/>
  <c r="J67" i="1"/>
  <c r="K67" i="1"/>
  <c r="L67" i="1"/>
  <c r="M67" i="1"/>
  <c r="B68" i="1"/>
  <c r="C68" i="1"/>
  <c r="D68" i="1"/>
  <c r="E68" i="1"/>
  <c r="F68" i="1"/>
  <c r="G68" i="1"/>
  <c r="H68" i="1"/>
  <c r="I68" i="1"/>
  <c r="J68" i="1"/>
  <c r="K68" i="1"/>
  <c r="L68" i="1"/>
  <c r="M68" i="1"/>
  <c r="B69" i="1"/>
  <c r="C69" i="1"/>
  <c r="D69" i="1"/>
  <c r="E69" i="1"/>
  <c r="F69" i="1"/>
  <c r="G69" i="1"/>
  <c r="H69" i="1"/>
  <c r="I69" i="1"/>
  <c r="J69" i="1"/>
  <c r="K69" i="1"/>
  <c r="L69" i="1"/>
  <c r="M69" i="1"/>
  <c r="B70" i="1"/>
  <c r="C70" i="1"/>
  <c r="D70" i="1"/>
  <c r="E70" i="1"/>
  <c r="F70" i="1"/>
  <c r="G70" i="1"/>
  <c r="H70" i="1"/>
  <c r="I70" i="1"/>
  <c r="J70" i="1"/>
  <c r="K70" i="1"/>
  <c r="L70" i="1"/>
  <c r="M70" i="1"/>
  <c r="B71" i="1"/>
  <c r="C71" i="1"/>
  <c r="D71" i="1"/>
  <c r="E71" i="1"/>
  <c r="F71" i="1"/>
  <c r="G71" i="1"/>
  <c r="H71" i="1"/>
  <c r="I71" i="1"/>
  <c r="J71" i="1"/>
  <c r="K71" i="1"/>
  <c r="L71" i="1"/>
  <c r="M71" i="1"/>
  <c r="B72" i="1"/>
  <c r="C72" i="1"/>
  <c r="D72" i="1"/>
  <c r="E72" i="1"/>
  <c r="F72" i="1"/>
  <c r="G72" i="1"/>
  <c r="H72" i="1"/>
  <c r="I72" i="1"/>
  <c r="J72" i="1"/>
  <c r="K72" i="1"/>
  <c r="L72" i="1"/>
  <c r="M72" i="1"/>
  <c r="B73" i="1"/>
  <c r="C73" i="1"/>
  <c r="D73" i="1"/>
  <c r="E73" i="1"/>
  <c r="F73" i="1"/>
  <c r="G73" i="1"/>
  <c r="H73" i="1"/>
  <c r="I73" i="1"/>
  <c r="J73" i="1"/>
  <c r="K73" i="1"/>
  <c r="L73" i="1"/>
  <c r="M73" i="1"/>
  <c r="B74" i="1"/>
  <c r="C74" i="1"/>
  <c r="D74" i="1"/>
  <c r="E74" i="1"/>
  <c r="F74" i="1"/>
  <c r="G74" i="1"/>
  <c r="H74" i="1"/>
  <c r="I74" i="1"/>
  <c r="J74" i="1"/>
  <c r="K74" i="1"/>
  <c r="L74" i="1"/>
  <c r="M74" i="1"/>
  <c r="B75" i="1"/>
  <c r="C75" i="1"/>
  <c r="D75" i="1"/>
  <c r="E75" i="1"/>
  <c r="F75" i="1"/>
  <c r="G75" i="1"/>
  <c r="H75" i="1"/>
  <c r="I75" i="1"/>
  <c r="J75" i="1"/>
  <c r="K75" i="1"/>
  <c r="L75" i="1"/>
  <c r="M75" i="1"/>
  <c r="B76" i="1"/>
  <c r="C76" i="1"/>
  <c r="D76" i="1"/>
  <c r="E76" i="1"/>
  <c r="F76" i="1"/>
  <c r="G76" i="1"/>
  <c r="H76" i="1"/>
  <c r="I76" i="1"/>
  <c r="J76" i="1"/>
  <c r="K76" i="1"/>
  <c r="L76" i="1"/>
  <c r="M76" i="1"/>
  <c r="B77" i="1"/>
  <c r="C77" i="1"/>
  <c r="D77" i="1"/>
  <c r="E77" i="1"/>
  <c r="F77" i="1"/>
  <c r="G77" i="1"/>
  <c r="H77" i="1"/>
  <c r="I77" i="1"/>
  <c r="J77" i="1"/>
  <c r="K77" i="1"/>
  <c r="L77" i="1"/>
  <c r="M77" i="1"/>
  <c r="B78" i="1"/>
  <c r="C78" i="1"/>
  <c r="D78" i="1"/>
  <c r="E78" i="1"/>
  <c r="F78" i="1"/>
  <c r="G78" i="1"/>
  <c r="H78" i="1"/>
  <c r="I78" i="1"/>
  <c r="J78" i="1"/>
  <c r="K78" i="1"/>
  <c r="L78" i="1"/>
  <c r="M78" i="1"/>
  <c r="B79" i="1"/>
  <c r="C79" i="1"/>
  <c r="D79" i="1"/>
  <c r="E79" i="1"/>
  <c r="F79" i="1"/>
  <c r="G79" i="1"/>
  <c r="H79" i="1"/>
  <c r="I79" i="1"/>
  <c r="J79" i="1"/>
  <c r="K79" i="1"/>
  <c r="L79" i="1"/>
  <c r="M79" i="1"/>
  <c r="B80" i="1"/>
  <c r="C80" i="1"/>
  <c r="D80" i="1"/>
  <c r="E80" i="1"/>
  <c r="F80" i="1"/>
  <c r="G80" i="1"/>
  <c r="H80" i="1"/>
  <c r="I80" i="1"/>
  <c r="J80" i="1"/>
  <c r="K80" i="1"/>
  <c r="L80" i="1"/>
  <c r="M80" i="1"/>
  <c r="B81" i="1"/>
  <c r="C81" i="1"/>
  <c r="D81" i="1"/>
  <c r="E81" i="1"/>
  <c r="F81" i="1"/>
  <c r="G81" i="1"/>
  <c r="H81" i="1"/>
  <c r="I81" i="1"/>
  <c r="J81" i="1"/>
  <c r="K81" i="1"/>
  <c r="L81" i="1"/>
  <c r="M81" i="1"/>
  <c r="B82" i="1"/>
  <c r="C82" i="1"/>
  <c r="D82" i="1"/>
  <c r="E82" i="1"/>
  <c r="F82" i="1"/>
  <c r="G82" i="1"/>
  <c r="H82" i="1"/>
  <c r="I82" i="1"/>
  <c r="J82" i="1"/>
  <c r="K82" i="1"/>
  <c r="L82" i="1"/>
  <c r="M82" i="1"/>
  <c r="B83" i="1"/>
  <c r="C83" i="1"/>
  <c r="D83" i="1"/>
  <c r="E83" i="1"/>
  <c r="F83" i="1"/>
  <c r="G83" i="1"/>
  <c r="H83" i="1"/>
  <c r="I83" i="1"/>
  <c r="J83" i="1"/>
  <c r="K83" i="1"/>
  <c r="L83" i="1"/>
  <c r="M83" i="1"/>
  <c r="B84" i="1"/>
  <c r="C84" i="1"/>
  <c r="D84" i="1"/>
  <c r="E84" i="1"/>
  <c r="F84" i="1"/>
  <c r="G84" i="1"/>
  <c r="H84" i="1"/>
  <c r="I84" i="1"/>
  <c r="J84" i="1"/>
  <c r="K84" i="1"/>
  <c r="L84" i="1"/>
  <c r="M84" i="1"/>
  <c r="B85" i="1"/>
  <c r="C85" i="1"/>
  <c r="D85" i="1"/>
  <c r="E85" i="1"/>
  <c r="F85" i="1"/>
  <c r="G85" i="1"/>
  <c r="H85" i="1"/>
  <c r="I85" i="1"/>
  <c r="J85" i="1"/>
  <c r="K85" i="1"/>
  <c r="L85" i="1"/>
  <c r="M85" i="1"/>
  <c r="B86" i="1"/>
  <c r="C86" i="1"/>
  <c r="D86" i="1"/>
  <c r="E86" i="1"/>
  <c r="F86" i="1"/>
  <c r="G86" i="1"/>
  <c r="H86" i="1"/>
  <c r="I86" i="1"/>
  <c r="J86" i="1"/>
  <c r="K86" i="1"/>
  <c r="L86" i="1"/>
  <c r="M86" i="1"/>
  <c r="B87" i="1"/>
  <c r="C87" i="1"/>
  <c r="D87" i="1"/>
  <c r="E87" i="1"/>
  <c r="F87" i="1"/>
  <c r="G87" i="1"/>
  <c r="H87" i="1"/>
  <c r="I87" i="1"/>
  <c r="J87" i="1"/>
  <c r="K87" i="1"/>
  <c r="L87" i="1"/>
  <c r="M87" i="1"/>
  <c r="B88" i="1"/>
  <c r="C88" i="1"/>
  <c r="D88" i="1"/>
  <c r="E88" i="1"/>
  <c r="F88" i="1"/>
  <c r="G88" i="1"/>
  <c r="H88" i="1"/>
  <c r="I88" i="1"/>
  <c r="J88" i="1"/>
  <c r="K88" i="1"/>
  <c r="L88" i="1"/>
  <c r="M88" i="1"/>
  <c r="B89" i="1"/>
  <c r="C89" i="1"/>
  <c r="D89" i="1"/>
  <c r="E89" i="1"/>
  <c r="F89" i="1"/>
  <c r="G89" i="1"/>
  <c r="H89" i="1"/>
  <c r="I89" i="1"/>
  <c r="J89" i="1"/>
  <c r="K89" i="1"/>
  <c r="L89" i="1"/>
  <c r="M89" i="1"/>
  <c r="B90" i="1"/>
  <c r="C90" i="1"/>
  <c r="D90" i="1"/>
  <c r="E90" i="1"/>
  <c r="F90" i="1"/>
  <c r="G90" i="1"/>
  <c r="H90" i="1"/>
  <c r="I90" i="1"/>
  <c r="J90" i="1"/>
  <c r="K90" i="1"/>
  <c r="L90" i="1"/>
  <c r="M90" i="1"/>
  <c r="B91" i="1"/>
  <c r="C91" i="1"/>
  <c r="D91" i="1"/>
  <c r="E91" i="1"/>
  <c r="F91" i="1"/>
  <c r="G91" i="1"/>
  <c r="H91" i="1"/>
  <c r="I91" i="1"/>
  <c r="J91" i="1"/>
  <c r="K91" i="1"/>
  <c r="L91" i="1"/>
  <c r="M91" i="1"/>
  <c r="B92" i="1"/>
  <c r="C92" i="1"/>
  <c r="D92" i="1"/>
  <c r="E92" i="1"/>
  <c r="F92" i="1"/>
  <c r="G92" i="1"/>
  <c r="H92" i="1"/>
  <c r="I92" i="1"/>
  <c r="J92" i="1"/>
  <c r="K92" i="1"/>
  <c r="L92" i="1"/>
  <c r="M92" i="1"/>
  <c r="B93" i="1"/>
  <c r="C93" i="1"/>
  <c r="D93" i="1"/>
  <c r="E93" i="1"/>
  <c r="F93" i="1"/>
  <c r="G93" i="1"/>
  <c r="H93" i="1"/>
  <c r="I93" i="1"/>
  <c r="J93" i="1"/>
  <c r="K93" i="1"/>
  <c r="L93" i="1"/>
  <c r="M93" i="1"/>
  <c r="B94" i="1"/>
  <c r="C94" i="1"/>
  <c r="D94" i="1"/>
  <c r="E94" i="1"/>
  <c r="F94" i="1"/>
  <c r="G94" i="1"/>
  <c r="H94" i="1"/>
  <c r="I94" i="1"/>
  <c r="J94" i="1"/>
  <c r="K94" i="1"/>
  <c r="L94" i="1"/>
  <c r="M94" i="1"/>
  <c r="B95" i="1"/>
  <c r="C95" i="1"/>
  <c r="D95" i="1"/>
  <c r="E95" i="1"/>
  <c r="F95" i="1"/>
  <c r="G95" i="1"/>
  <c r="H95" i="1"/>
  <c r="I95" i="1"/>
  <c r="J95" i="1"/>
  <c r="K95" i="1"/>
  <c r="L95" i="1"/>
  <c r="M95" i="1"/>
  <c r="B96" i="1"/>
  <c r="C96" i="1"/>
  <c r="D96" i="1"/>
  <c r="E96" i="1"/>
  <c r="F96" i="1"/>
  <c r="G96" i="1"/>
  <c r="H96" i="1"/>
  <c r="I96" i="1"/>
  <c r="J96" i="1"/>
  <c r="K96" i="1"/>
  <c r="L96" i="1"/>
  <c r="M96" i="1"/>
  <c r="B97" i="1"/>
  <c r="C97" i="1"/>
  <c r="D97" i="1"/>
  <c r="E97" i="1"/>
  <c r="F97" i="1"/>
  <c r="G97" i="1"/>
  <c r="H97" i="1"/>
  <c r="I97" i="1"/>
  <c r="J97" i="1"/>
  <c r="K97" i="1"/>
  <c r="L97" i="1"/>
  <c r="M97" i="1"/>
  <c r="B98" i="1"/>
  <c r="C98" i="1"/>
  <c r="D98" i="1"/>
  <c r="E98" i="1"/>
  <c r="F98" i="1"/>
  <c r="G98" i="1"/>
  <c r="H98" i="1"/>
  <c r="I98" i="1"/>
  <c r="J98" i="1"/>
  <c r="K98" i="1"/>
  <c r="L98" i="1"/>
  <c r="M98" i="1"/>
  <c r="B99" i="1"/>
  <c r="C99" i="1"/>
  <c r="D99" i="1"/>
  <c r="E99" i="1"/>
  <c r="F99" i="1"/>
  <c r="G99" i="1"/>
  <c r="H99" i="1"/>
  <c r="I99" i="1"/>
  <c r="J99" i="1"/>
  <c r="K99" i="1"/>
  <c r="L99" i="1"/>
  <c r="M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B204" i="1"/>
  <c r="C204" i="1"/>
  <c r="D204" i="1"/>
  <c r="E204" i="1"/>
  <c r="F204" i="1"/>
  <c r="G204" i="1"/>
  <c r="H204" i="1"/>
  <c r="I204" i="1"/>
  <c r="J204" i="1"/>
  <c r="K204" i="1"/>
  <c r="L204" i="1"/>
  <c r="M204" i="1"/>
  <c r="B205" i="1"/>
  <c r="C205" i="1"/>
  <c r="D205" i="1"/>
  <c r="E205" i="1"/>
  <c r="F205" i="1"/>
  <c r="G205" i="1"/>
  <c r="H205" i="1"/>
  <c r="I205" i="1"/>
  <c r="J205" i="1"/>
  <c r="K205" i="1"/>
  <c r="L205" i="1"/>
  <c r="M205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B207" i="1"/>
  <c r="C207" i="1"/>
  <c r="D207" i="1"/>
  <c r="E207" i="1"/>
  <c r="F207" i="1"/>
  <c r="G207" i="1"/>
  <c r="H207" i="1"/>
  <c r="I207" i="1"/>
  <c r="J207" i="1"/>
  <c r="K207" i="1"/>
  <c r="L207" i="1"/>
  <c r="M207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B209" i="1"/>
  <c r="C209" i="1"/>
  <c r="D209" i="1"/>
  <c r="E209" i="1"/>
  <c r="F209" i="1"/>
  <c r="G209" i="1"/>
  <c r="H209" i="1"/>
  <c r="I209" i="1"/>
  <c r="J209" i="1"/>
  <c r="K209" i="1"/>
  <c r="L209" i="1"/>
  <c r="M209" i="1"/>
  <c r="B210" i="1"/>
  <c r="C210" i="1"/>
  <c r="D210" i="1"/>
  <c r="E210" i="1"/>
  <c r="F210" i="1"/>
  <c r="G210" i="1"/>
  <c r="H210" i="1"/>
  <c r="I210" i="1"/>
  <c r="J210" i="1"/>
  <c r="K210" i="1"/>
  <c r="L210" i="1"/>
  <c r="M210" i="1"/>
  <c r="B211" i="1"/>
  <c r="C211" i="1"/>
  <c r="D211" i="1"/>
  <c r="E211" i="1"/>
  <c r="F211" i="1"/>
  <c r="G211" i="1"/>
  <c r="H211" i="1"/>
  <c r="I211" i="1"/>
  <c r="J211" i="1"/>
  <c r="K211" i="1"/>
  <c r="L211" i="1"/>
  <c r="M211" i="1"/>
  <c r="B212" i="1"/>
  <c r="C212" i="1"/>
  <c r="D212" i="1"/>
  <c r="E212" i="1"/>
  <c r="F212" i="1"/>
  <c r="G212" i="1"/>
  <c r="H212" i="1"/>
  <c r="I212" i="1"/>
  <c r="J212" i="1"/>
  <c r="K212" i="1"/>
  <c r="L212" i="1"/>
  <c r="M212" i="1"/>
  <c r="B213" i="1"/>
  <c r="C213" i="1"/>
  <c r="D213" i="1"/>
  <c r="E213" i="1"/>
  <c r="F213" i="1"/>
  <c r="G213" i="1"/>
  <c r="H213" i="1"/>
  <c r="I213" i="1"/>
  <c r="J213" i="1"/>
  <c r="K213" i="1"/>
  <c r="L213" i="1"/>
  <c r="M213" i="1"/>
  <c r="B214" i="1"/>
  <c r="C214" i="1"/>
  <c r="D214" i="1"/>
  <c r="E214" i="1"/>
  <c r="F214" i="1"/>
  <c r="G214" i="1"/>
  <c r="H214" i="1"/>
  <c r="I214" i="1"/>
  <c r="J214" i="1"/>
  <c r="K214" i="1"/>
  <c r="L214" i="1"/>
  <c r="M214" i="1"/>
  <c r="B215" i="1"/>
  <c r="C215" i="1"/>
  <c r="D215" i="1"/>
  <c r="E215" i="1"/>
  <c r="F215" i="1"/>
  <c r="G215" i="1"/>
  <c r="H215" i="1"/>
  <c r="I215" i="1"/>
  <c r="J215" i="1"/>
  <c r="K215" i="1"/>
  <c r="L215" i="1"/>
  <c r="M215" i="1"/>
  <c r="B216" i="1"/>
  <c r="C216" i="1"/>
  <c r="D216" i="1"/>
  <c r="E216" i="1"/>
  <c r="F216" i="1"/>
  <c r="G216" i="1"/>
  <c r="H216" i="1"/>
  <c r="I216" i="1"/>
  <c r="J216" i="1"/>
  <c r="K216" i="1"/>
  <c r="L216" i="1"/>
  <c r="M216" i="1"/>
  <c r="B217" i="1"/>
  <c r="C217" i="1"/>
  <c r="D217" i="1"/>
  <c r="E217" i="1"/>
  <c r="F217" i="1"/>
  <c r="G217" i="1"/>
  <c r="H217" i="1"/>
  <c r="I217" i="1"/>
  <c r="J217" i="1"/>
  <c r="K217" i="1"/>
  <c r="L217" i="1"/>
  <c r="M217" i="1"/>
  <c r="B218" i="1"/>
  <c r="C218" i="1"/>
  <c r="D218" i="1"/>
  <c r="E218" i="1"/>
  <c r="F218" i="1"/>
  <c r="G218" i="1"/>
  <c r="H218" i="1"/>
  <c r="I218" i="1"/>
  <c r="J218" i="1"/>
  <c r="K218" i="1"/>
  <c r="L218" i="1"/>
  <c r="M218" i="1"/>
  <c r="B219" i="1"/>
  <c r="C219" i="1"/>
  <c r="D219" i="1"/>
  <c r="E219" i="1"/>
  <c r="F219" i="1"/>
  <c r="G219" i="1"/>
  <c r="H219" i="1"/>
  <c r="I219" i="1"/>
  <c r="J219" i="1"/>
  <c r="K219" i="1"/>
  <c r="L219" i="1"/>
  <c r="M219" i="1"/>
  <c r="B220" i="1"/>
  <c r="C220" i="1"/>
  <c r="D220" i="1"/>
  <c r="E220" i="1"/>
  <c r="F220" i="1"/>
  <c r="G220" i="1"/>
  <c r="H220" i="1"/>
  <c r="I220" i="1"/>
  <c r="J220" i="1"/>
  <c r="K220" i="1"/>
  <c r="L220" i="1"/>
  <c r="M220" i="1"/>
  <c r="B221" i="1"/>
  <c r="C221" i="1"/>
  <c r="D221" i="1"/>
  <c r="E221" i="1"/>
  <c r="F221" i="1"/>
  <c r="G221" i="1"/>
  <c r="H221" i="1"/>
  <c r="I221" i="1"/>
  <c r="J221" i="1"/>
  <c r="K221" i="1"/>
  <c r="L221" i="1"/>
  <c r="M221" i="1"/>
  <c r="B222" i="1"/>
  <c r="C222" i="1"/>
  <c r="D222" i="1"/>
  <c r="E222" i="1"/>
  <c r="F222" i="1"/>
  <c r="G222" i="1"/>
  <c r="H222" i="1"/>
  <c r="I222" i="1"/>
  <c r="J222" i="1"/>
  <c r="K222" i="1"/>
  <c r="L222" i="1"/>
  <c r="M222" i="1"/>
  <c r="B223" i="1"/>
  <c r="C223" i="1"/>
  <c r="D223" i="1"/>
  <c r="E223" i="1"/>
  <c r="F223" i="1"/>
  <c r="G223" i="1"/>
  <c r="H223" i="1"/>
  <c r="I223" i="1"/>
  <c r="J223" i="1"/>
  <c r="K223" i="1"/>
  <c r="L223" i="1"/>
  <c r="M223" i="1"/>
  <c r="B224" i="1"/>
  <c r="C224" i="1"/>
  <c r="D224" i="1"/>
  <c r="E224" i="1"/>
  <c r="F224" i="1"/>
  <c r="G224" i="1"/>
  <c r="H224" i="1"/>
  <c r="I224" i="1"/>
  <c r="J224" i="1"/>
  <c r="K224" i="1"/>
  <c r="L224" i="1"/>
  <c r="M224" i="1"/>
  <c r="B225" i="1"/>
  <c r="C225" i="1"/>
  <c r="D225" i="1"/>
  <c r="E225" i="1"/>
  <c r="F225" i="1"/>
  <c r="G225" i="1"/>
  <c r="H225" i="1"/>
  <c r="I225" i="1"/>
  <c r="J225" i="1"/>
  <c r="K225" i="1"/>
  <c r="L225" i="1"/>
  <c r="M225" i="1"/>
  <c r="B226" i="1"/>
  <c r="C226" i="1"/>
  <c r="D226" i="1"/>
  <c r="E226" i="1"/>
  <c r="F226" i="1"/>
  <c r="G226" i="1"/>
  <c r="H226" i="1"/>
  <c r="I226" i="1"/>
  <c r="J226" i="1"/>
  <c r="K226" i="1"/>
  <c r="L226" i="1"/>
  <c r="M226" i="1"/>
  <c r="B227" i="1"/>
  <c r="C227" i="1"/>
  <c r="D227" i="1"/>
  <c r="E227" i="1"/>
  <c r="F227" i="1"/>
  <c r="G227" i="1"/>
  <c r="H227" i="1"/>
  <c r="I227" i="1"/>
  <c r="J227" i="1"/>
  <c r="K227" i="1"/>
  <c r="L227" i="1"/>
  <c r="M227" i="1"/>
  <c r="B228" i="1"/>
  <c r="C228" i="1"/>
  <c r="D228" i="1"/>
  <c r="E228" i="1"/>
  <c r="F228" i="1"/>
  <c r="G228" i="1"/>
  <c r="H228" i="1"/>
  <c r="I228" i="1"/>
  <c r="J228" i="1"/>
  <c r="K228" i="1"/>
  <c r="L228" i="1"/>
  <c r="M228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B230" i="1"/>
  <c r="C230" i="1"/>
  <c r="D230" i="1"/>
  <c r="E230" i="1"/>
  <c r="F230" i="1"/>
  <c r="G230" i="1"/>
  <c r="H230" i="1"/>
  <c r="I230" i="1"/>
  <c r="J230" i="1"/>
  <c r="K230" i="1"/>
  <c r="L230" i="1"/>
  <c r="M230" i="1"/>
  <c r="B231" i="1"/>
  <c r="C231" i="1"/>
  <c r="D231" i="1"/>
  <c r="E231" i="1"/>
  <c r="F231" i="1"/>
  <c r="G231" i="1"/>
  <c r="H231" i="1"/>
  <c r="I231" i="1"/>
  <c r="J231" i="1"/>
  <c r="K231" i="1"/>
  <c r="L231" i="1"/>
  <c r="M231" i="1"/>
  <c r="B232" i="1"/>
  <c r="C232" i="1"/>
  <c r="D232" i="1"/>
  <c r="E232" i="1"/>
  <c r="F232" i="1"/>
  <c r="G232" i="1"/>
  <c r="H232" i="1"/>
  <c r="I232" i="1"/>
  <c r="J232" i="1"/>
  <c r="K232" i="1"/>
  <c r="L232" i="1"/>
  <c r="M232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B234" i="1"/>
  <c r="C234" i="1"/>
  <c r="D234" i="1"/>
  <c r="E234" i="1"/>
  <c r="F234" i="1"/>
  <c r="G234" i="1"/>
  <c r="H234" i="1"/>
  <c r="I234" i="1"/>
  <c r="J234" i="1"/>
  <c r="K234" i="1"/>
  <c r="L234" i="1"/>
  <c r="M234" i="1"/>
  <c r="B235" i="1"/>
  <c r="C235" i="1"/>
  <c r="D235" i="1"/>
  <c r="E235" i="1"/>
  <c r="F235" i="1"/>
  <c r="G235" i="1"/>
  <c r="H235" i="1"/>
  <c r="I235" i="1"/>
  <c r="J235" i="1"/>
  <c r="K235" i="1"/>
  <c r="L235" i="1"/>
  <c r="M235" i="1"/>
  <c r="B236" i="1"/>
  <c r="C236" i="1"/>
  <c r="D236" i="1"/>
  <c r="E236" i="1"/>
  <c r="F236" i="1"/>
  <c r="G236" i="1"/>
  <c r="H236" i="1"/>
  <c r="I236" i="1"/>
  <c r="J236" i="1"/>
  <c r="K236" i="1"/>
  <c r="L236" i="1"/>
  <c r="M236" i="1"/>
  <c r="B237" i="1"/>
  <c r="C237" i="1"/>
  <c r="D237" i="1"/>
  <c r="E237" i="1"/>
  <c r="F237" i="1"/>
  <c r="G237" i="1"/>
  <c r="H237" i="1"/>
  <c r="I237" i="1"/>
  <c r="J237" i="1"/>
  <c r="K237" i="1"/>
  <c r="L237" i="1"/>
  <c r="M237" i="1"/>
  <c r="B238" i="1"/>
  <c r="C238" i="1"/>
  <c r="D238" i="1"/>
  <c r="E238" i="1"/>
  <c r="F238" i="1"/>
  <c r="G238" i="1"/>
  <c r="H238" i="1"/>
  <c r="I238" i="1"/>
  <c r="J238" i="1"/>
  <c r="K238" i="1"/>
  <c r="L238" i="1"/>
  <c r="M238" i="1"/>
  <c r="B239" i="1"/>
  <c r="C239" i="1"/>
  <c r="D239" i="1"/>
  <c r="E239" i="1"/>
  <c r="F239" i="1"/>
  <c r="G239" i="1"/>
  <c r="H239" i="1"/>
  <c r="I239" i="1"/>
  <c r="J239" i="1"/>
  <c r="K239" i="1"/>
  <c r="L239" i="1"/>
  <c r="M239" i="1"/>
  <c r="B240" i="1"/>
  <c r="C240" i="1"/>
  <c r="D240" i="1"/>
  <c r="E240" i="1"/>
  <c r="F240" i="1"/>
  <c r="G240" i="1"/>
  <c r="H240" i="1"/>
  <c r="I240" i="1"/>
  <c r="J240" i="1"/>
  <c r="K240" i="1"/>
  <c r="L240" i="1"/>
  <c r="M240" i="1"/>
  <c r="B241" i="1"/>
  <c r="C241" i="1"/>
  <c r="D241" i="1"/>
  <c r="E241" i="1"/>
  <c r="F241" i="1"/>
  <c r="G241" i="1"/>
  <c r="H241" i="1"/>
  <c r="I241" i="1"/>
  <c r="J241" i="1"/>
  <c r="K241" i="1"/>
  <c r="L241" i="1"/>
  <c r="M241" i="1"/>
  <c r="B242" i="1"/>
  <c r="C242" i="1"/>
  <c r="D242" i="1"/>
  <c r="E242" i="1"/>
  <c r="F242" i="1"/>
  <c r="G242" i="1"/>
  <c r="H242" i="1"/>
  <c r="I242" i="1"/>
  <c r="J242" i="1"/>
  <c r="K242" i="1"/>
  <c r="L242" i="1"/>
  <c r="M242" i="1"/>
  <c r="B243" i="1"/>
  <c r="C243" i="1"/>
  <c r="D243" i="1"/>
  <c r="E243" i="1"/>
  <c r="F243" i="1"/>
  <c r="G243" i="1"/>
  <c r="H243" i="1"/>
  <c r="I243" i="1"/>
  <c r="J243" i="1"/>
  <c r="K243" i="1"/>
  <c r="L243" i="1"/>
  <c r="M243" i="1"/>
  <c r="B244" i="1"/>
  <c r="C244" i="1"/>
  <c r="D244" i="1"/>
  <c r="E244" i="1"/>
  <c r="F244" i="1"/>
  <c r="G244" i="1"/>
  <c r="H244" i="1"/>
  <c r="I244" i="1"/>
  <c r="J244" i="1"/>
  <c r="K244" i="1"/>
  <c r="L244" i="1"/>
  <c r="M244" i="1"/>
  <c r="B245" i="1"/>
  <c r="C245" i="1"/>
  <c r="D245" i="1"/>
  <c r="E245" i="1"/>
  <c r="F245" i="1"/>
  <c r="G245" i="1"/>
  <c r="H245" i="1"/>
  <c r="I245" i="1"/>
  <c r="J245" i="1"/>
  <c r="K245" i="1"/>
  <c r="L245" i="1"/>
  <c r="M245" i="1"/>
  <c r="B246" i="1"/>
  <c r="C246" i="1"/>
  <c r="D246" i="1"/>
  <c r="E246" i="1"/>
  <c r="F246" i="1"/>
  <c r="G246" i="1"/>
  <c r="H246" i="1"/>
  <c r="I246" i="1"/>
  <c r="J246" i="1"/>
  <c r="K246" i="1"/>
  <c r="L246" i="1"/>
  <c r="M246" i="1"/>
  <c r="B247" i="1"/>
  <c r="C247" i="1"/>
  <c r="D247" i="1"/>
  <c r="E247" i="1"/>
  <c r="F247" i="1"/>
  <c r="G247" i="1"/>
  <c r="H247" i="1"/>
  <c r="I247" i="1"/>
  <c r="J247" i="1"/>
  <c r="K247" i="1"/>
  <c r="L247" i="1"/>
  <c r="M247" i="1"/>
  <c r="B248" i="1"/>
  <c r="C248" i="1"/>
  <c r="D248" i="1"/>
  <c r="E248" i="1"/>
  <c r="F248" i="1"/>
  <c r="G248" i="1"/>
  <c r="H248" i="1"/>
  <c r="I248" i="1"/>
  <c r="J248" i="1"/>
  <c r="K248" i="1"/>
  <c r="L248" i="1"/>
  <c r="M248" i="1"/>
  <c r="B249" i="1"/>
  <c r="C249" i="1"/>
  <c r="D249" i="1"/>
  <c r="E249" i="1"/>
  <c r="F249" i="1"/>
  <c r="G249" i="1"/>
  <c r="H249" i="1"/>
  <c r="I249" i="1"/>
  <c r="J249" i="1"/>
  <c r="K249" i="1"/>
  <c r="L249" i="1"/>
  <c r="M249" i="1"/>
  <c r="B250" i="1"/>
  <c r="C250" i="1"/>
  <c r="D250" i="1"/>
  <c r="E250" i="1"/>
  <c r="F250" i="1"/>
  <c r="G250" i="1"/>
  <c r="H250" i="1"/>
  <c r="I250" i="1"/>
  <c r="J250" i="1"/>
  <c r="K250" i="1"/>
  <c r="L250" i="1"/>
  <c r="M250" i="1"/>
  <c r="B251" i="1"/>
  <c r="C251" i="1"/>
  <c r="D251" i="1"/>
  <c r="E251" i="1"/>
  <c r="F251" i="1"/>
  <c r="G251" i="1"/>
  <c r="H251" i="1"/>
  <c r="I251" i="1"/>
  <c r="J251" i="1"/>
  <c r="K251" i="1"/>
  <c r="L251" i="1"/>
  <c r="M251" i="1"/>
  <c r="B252" i="1"/>
  <c r="C252" i="1"/>
  <c r="D252" i="1"/>
  <c r="E252" i="1"/>
  <c r="F252" i="1"/>
  <c r="G252" i="1"/>
  <c r="H252" i="1"/>
  <c r="I252" i="1"/>
  <c r="J252" i="1"/>
  <c r="K252" i="1"/>
  <c r="L252" i="1"/>
  <c r="M252" i="1"/>
  <c r="B253" i="1"/>
  <c r="C253" i="1"/>
  <c r="D253" i="1"/>
  <c r="E253" i="1"/>
  <c r="F253" i="1"/>
  <c r="G253" i="1"/>
  <c r="H253" i="1"/>
  <c r="I253" i="1"/>
  <c r="J253" i="1"/>
  <c r="K253" i="1"/>
  <c r="L253" i="1"/>
  <c r="M253" i="1"/>
  <c r="B254" i="1"/>
  <c r="C254" i="1"/>
  <c r="D254" i="1"/>
  <c r="E254" i="1"/>
  <c r="F254" i="1"/>
  <c r="G254" i="1"/>
  <c r="H254" i="1"/>
  <c r="I254" i="1"/>
  <c r="J254" i="1"/>
  <c r="K254" i="1"/>
  <c r="L254" i="1"/>
  <c r="M254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B263" i="1"/>
  <c r="C263" i="1"/>
  <c r="D263" i="1"/>
  <c r="E263" i="1"/>
  <c r="F263" i="1"/>
  <c r="G263" i="1"/>
  <c r="H263" i="1"/>
  <c r="I263" i="1"/>
  <c r="J263" i="1"/>
  <c r="K263" i="1"/>
  <c r="L263" i="1"/>
  <c r="M263" i="1"/>
  <c r="B264" i="1"/>
  <c r="C264" i="1"/>
  <c r="D264" i="1"/>
  <c r="E264" i="1"/>
  <c r="F264" i="1"/>
  <c r="G264" i="1"/>
  <c r="H264" i="1"/>
  <c r="I264" i="1"/>
  <c r="J264" i="1"/>
  <c r="K264" i="1"/>
  <c r="L264" i="1"/>
  <c r="M264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B267" i="1"/>
  <c r="C267" i="1"/>
  <c r="D267" i="1"/>
  <c r="E267" i="1"/>
  <c r="F267" i="1"/>
  <c r="G267" i="1"/>
  <c r="H267" i="1"/>
  <c r="I267" i="1"/>
  <c r="J267" i="1"/>
  <c r="K267" i="1"/>
  <c r="L267" i="1"/>
  <c r="M267" i="1"/>
  <c r="B268" i="1"/>
  <c r="C268" i="1"/>
  <c r="D268" i="1"/>
  <c r="E268" i="1"/>
  <c r="F268" i="1"/>
  <c r="G268" i="1"/>
  <c r="H268" i="1"/>
  <c r="I268" i="1"/>
  <c r="J268" i="1"/>
  <c r="K268" i="1"/>
  <c r="L268" i="1"/>
  <c r="M268" i="1"/>
  <c r="B269" i="1"/>
  <c r="C269" i="1"/>
  <c r="D269" i="1"/>
  <c r="E269" i="1"/>
  <c r="F269" i="1"/>
  <c r="G269" i="1"/>
  <c r="H269" i="1"/>
  <c r="I269" i="1"/>
  <c r="J269" i="1"/>
  <c r="K269" i="1"/>
  <c r="L269" i="1"/>
  <c r="M269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B271" i="1"/>
  <c r="C271" i="1"/>
  <c r="D271" i="1"/>
  <c r="E271" i="1"/>
  <c r="F271" i="1"/>
  <c r="G271" i="1"/>
  <c r="H271" i="1"/>
  <c r="I271" i="1"/>
  <c r="J271" i="1"/>
  <c r="K271" i="1"/>
  <c r="L271" i="1"/>
  <c r="M271" i="1"/>
  <c r="B272" i="1"/>
  <c r="C272" i="1"/>
  <c r="D272" i="1"/>
  <c r="E272" i="1"/>
  <c r="F272" i="1"/>
  <c r="G272" i="1"/>
  <c r="H272" i="1"/>
  <c r="I272" i="1"/>
  <c r="J272" i="1"/>
  <c r="K272" i="1"/>
  <c r="L272" i="1"/>
  <c r="M272" i="1"/>
  <c r="B273" i="1"/>
  <c r="C273" i="1"/>
  <c r="D273" i="1"/>
  <c r="E273" i="1"/>
  <c r="F273" i="1"/>
  <c r="G273" i="1"/>
  <c r="H273" i="1"/>
  <c r="I273" i="1"/>
  <c r="J273" i="1"/>
  <c r="K273" i="1"/>
  <c r="L273" i="1"/>
  <c r="M273" i="1"/>
  <c r="B274" i="1"/>
  <c r="C274" i="1"/>
  <c r="D274" i="1"/>
  <c r="E274" i="1"/>
  <c r="F274" i="1"/>
  <c r="G274" i="1"/>
  <c r="H274" i="1"/>
  <c r="I274" i="1"/>
  <c r="J274" i="1"/>
  <c r="K274" i="1"/>
  <c r="L274" i="1"/>
  <c r="M274" i="1"/>
  <c r="B275" i="1"/>
  <c r="C275" i="1"/>
  <c r="D275" i="1"/>
  <c r="E275" i="1"/>
  <c r="F275" i="1"/>
  <c r="G275" i="1"/>
  <c r="H275" i="1"/>
  <c r="I275" i="1"/>
  <c r="J275" i="1"/>
  <c r="K275" i="1"/>
  <c r="L275" i="1"/>
  <c r="M275" i="1"/>
  <c r="B276" i="1"/>
  <c r="C276" i="1"/>
  <c r="D276" i="1"/>
  <c r="E276" i="1"/>
  <c r="F276" i="1"/>
  <c r="G276" i="1"/>
  <c r="H276" i="1"/>
  <c r="I276" i="1"/>
  <c r="J276" i="1"/>
  <c r="K276" i="1"/>
  <c r="L276" i="1"/>
  <c r="M276" i="1"/>
  <c r="B277" i="1"/>
  <c r="C277" i="1"/>
  <c r="D277" i="1"/>
  <c r="E277" i="1"/>
  <c r="F277" i="1"/>
  <c r="G277" i="1"/>
  <c r="H277" i="1"/>
  <c r="I277" i="1"/>
  <c r="J277" i="1"/>
  <c r="K277" i="1"/>
  <c r="L277" i="1"/>
  <c r="M277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B279" i="1"/>
  <c r="C279" i="1"/>
  <c r="D279" i="1"/>
  <c r="E279" i="1"/>
  <c r="F279" i="1"/>
  <c r="G279" i="1"/>
  <c r="H279" i="1"/>
  <c r="I279" i="1"/>
  <c r="J279" i="1"/>
  <c r="K279" i="1"/>
  <c r="L279" i="1"/>
  <c r="M279" i="1"/>
  <c r="B280" i="1"/>
  <c r="C280" i="1"/>
  <c r="D280" i="1"/>
  <c r="E280" i="1"/>
  <c r="F280" i="1"/>
  <c r="G280" i="1"/>
  <c r="H280" i="1"/>
  <c r="I280" i="1"/>
  <c r="J280" i="1"/>
  <c r="K280" i="1"/>
  <c r="L280" i="1"/>
  <c r="M280" i="1"/>
  <c r="B281" i="1"/>
  <c r="C281" i="1"/>
  <c r="D281" i="1"/>
  <c r="E281" i="1"/>
  <c r="F281" i="1"/>
  <c r="G281" i="1"/>
  <c r="H281" i="1"/>
  <c r="I281" i="1"/>
  <c r="J281" i="1"/>
  <c r="K281" i="1"/>
  <c r="L281" i="1"/>
  <c r="M281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B283" i="1"/>
  <c r="C283" i="1"/>
  <c r="D283" i="1"/>
  <c r="E283" i="1"/>
  <c r="F283" i="1"/>
  <c r="G283" i="1"/>
  <c r="H283" i="1"/>
  <c r="I283" i="1"/>
  <c r="J283" i="1"/>
  <c r="K283" i="1"/>
  <c r="L283" i="1"/>
  <c r="M283" i="1"/>
  <c r="B284" i="1"/>
  <c r="C284" i="1"/>
  <c r="D284" i="1"/>
  <c r="E284" i="1"/>
  <c r="F284" i="1"/>
  <c r="G284" i="1"/>
  <c r="H284" i="1"/>
  <c r="I284" i="1"/>
  <c r="J284" i="1"/>
  <c r="K284" i="1"/>
  <c r="L284" i="1"/>
  <c r="M284" i="1"/>
  <c r="B285" i="1"/>
  <c r="C285" i="1"/>
  <c r="D285" i="1"/>
  <c r="E285" i="1"/>
  <c r="F285" i="1"/>
  <c r="G285" i="1"/>
  <c r="H285" i="1"/>
  <c r="I285" i="1"/>
  <c r="J285" i="1"/>
  <c r="K285" i="1"/>
  <c r="L285" i="1"/>
  <c r="M285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B287" i="1"/>
  <c r="C287" i="1"/>
  <c r="D287" i="1"/>
  <c r="E287" i="1"/>
  <c r="F287" i="1"/>
  <c r="G287" i="1"/>
  <c r="H287" i="1"/>
  <c r="I287" i="1"/>
  <c r="J287" i="1"/>
  <c r="K287" i="1"/>
  <c r="L287" i="1"/>
  <c r="M287" i="1"/>
  <c r="B288" i="1"/>
  <c r="C288" i="1"/>
  <c r="D288" i="1"/>
  <c r="E288" i="1"/>
  <c r="F288" i="1"/>
  <c r="G288" i="1"/>
  <c r="H288" i="1"/>
  <c r="I288" i="1"/>
  <c r="J288" i="1"/>
  <c r="K288" i="1"/>
  <c r="L288" i="1"/>
  <c r="M288" i="1"/>
  <c r="B289" i="1"/>
  <c r="C289" i="1"/>
  <c r="D289" i="1"/>
  <c r="E289" i="1"/>
  <c r="F289" i="1"/>
  <c r="G289" i="1"/>
  <c r="H289" i="1"/>
  <c r="I289" i="1"/>
  <c r="J289" i="1"/>
  <c r="K289" i="1"/>
  <c r="L289" i="1"/>
  <c r="M289" i="1"/>
  <c r="B290" i="1"/>
  <c r="C290" i="1"/>
  <c r="D290" i="1"/>
  <c r="E290" i="1"/>
  <c r="F290" i="1"/>
  <c r="G290" i="1"/>
  <c r="H290" i="1"/>
  <c r="I290" i="1"/>
  <c r="J290" i="1"/>
  <c r="K290" i="1"/>
  <c r="L290" i="1"/>
  <c r="M290" i="1"/>
  <c r="B291" i="1"/>
  <c r="C291" i="1"/>
  <c r="D291" i="1"/>
  <c r="E291" i="1"/>
  <c r="F291" i="1"/>
  <c r="G291" i="1"/>
  <c r="H291" i="1"/>
  <c r="I291" i="1"/>
  <c r="J291" i="1"/>
  <c r="K291" i="1"/>
  <c r="L291" i="1"/>
  <c r="M291" i="1"/>
  <c r="B292" i="1"/>
  <c r="C292" i="1"/>
  <c r="D292" i="1"/>
  <c r="E292" i="1"/>
  <c r="F292" i="1"/>
  <c r="G292" i="1"/>
  <c r="H292" i="1"/>
  <c r="I292" i="1"/>
  <c r="J292" i="1"/>
  <c r="K292" i="1"/>
  <c r="L292" i="1"/>
  <c r="M292" i="1"/>
  <c r="B293" i="1"/>
  <c r="C293" i="1"/>
  <c r="D293" i="1"/>
  <c r="E293" i="1"/>
  <c r="F293" i="1"/>
  <c r="G293" i="1"/>
  <c r="H293" i="1"/>
  <c r="I293" i="1"/>
  <c r="J293" i="1"/>
  <c r="K293" i="1"/>
  <c r="L293" i="1"/>
  <c r="M293" i="1"/>
  <c r="B294" i="1"/>
  <c r="C294" i="1"/>
  <c r="D294" i="1"/>
  <c r="E294" i="1"/>
  <c r="F294" i="1"/>
  <c r="G294" i="1"/>
  <c r="H294" i="1"/>
  <c r="I294" i="1"/>
  <c r="J294" i="1"/>
  <c r="K294" i="1"/>
  <c r="L294" i="1"/>
  <c r="M294" i="1"/>
  <c r="B295" i="1"/>
  <c r="C295" i="1"/>
  <c r="D295" i="1"/>
  <c r="E295" i="1"/>
  <c r="F295" i="1"/>
  <c r="G295" i="1"/>
  <c r="H295" i="1"/>
  <c r="I295" i="1"/>
  <c r="J295" i="1"/>
  <c r="K295" i="1"/>
  <c r="L295" i="1"/>
  <c r="M295" i="1"/>
  <c r="B296" i="1"/>
  <c r="C296" i="1"/>
  <c r="D296" i="1"/>
  <c r="E296" i="1"/>
  <c r="F296" i="1"/>
  <c r="G296" i="1"/>
  <c r="H296" i="1"/>
  <c r="I296" i="1"/>
  <c r="J296" i="1"/>
  <c r="K296" i="1"/>
  <c r="L296" i="1"/>
  <c r="M296" i="1"/>
  <c r="B297" i="1"/>
  <c r="C297" i="1"/>
  <c r="D297" i="1"/>
  <c r="E297" i="1"/>
  <c r="F297" i="1"/>
  <c r="G297" i="1"/>
  <c r="H297" i="1"/>
  <c r="I297" i="1"/>
  <c r="J297" i="1"/>
  <c r="K297" i="1"/>
  <c r="L297" i="1"/>
  <c r="M297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B299" i="1"/>
  <c r="C299" i="1"/>
  <c r="D299" i="1"/>
  <c r="E299" i="1"/>
  <c r="F299" i="1"/>
  <c r="G299" i="1"/>
  <c r="H299" i="1"/>
  <c r="I299" i="1"/>
  <c r="J299" i="1"/>
  <c r="K299" i="1"/>
  <c r="L299" i="1"/>
  <c r="M299" i="1"/>
  <c r="B300" i="1"/>
  <c r="C300" i="1"/>
  <c r="D300" i="1"/>
  <c r="E300" i="1"/>
  <c r="F300" i="1"/>
  <c r="G300" i="1"/>
  <c r="H300" i="1"/>
  <c r="I300" i="1"/>
  <c r="J300" i="1"/>
  <c r="K300" i="1"/>
  <c r="L300" i="1"/>
  <c r="M300" i="1"/>
  <c r="B301" i="1"/>
  <c r="C301" i="1"/>
  <c r="D301" i="1"/>
  <c r="E301" i="1"/>
  <c r="F301" i="1"/>
  <c r="G301" i="1"/>
  <c r="H301" i="1"/>
  <c r="I301" i="1"/>
  <c r="J301" i="1"/>
  <c r="K301" i="1"/>
  <c r="L301" i="1"/>
  <c r="M301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B303" i="1"/>
  <c r="C303" i="1"/>
  <c r="D303" i="1"/>
  <c r="E303" i="1"/>
  <c r="F303" i="1"/>
  <c r="G303" i="1"/>
  <c r="H303" i="1"/>
  <c r="I303" i="1"/>
  <c r="J303" i="1"/>
  <c r="K303" i="1"/>
  <c r="L303" i="1"/>
  <c r="M303" i="1"/>
  <c r="B304" i="1"/>
  <c r="C304" i="1"/>
  <c r="D304" i="1"/>
  <c r="E304" i="1"/>
  <c r="F304" i="1"/>
  <c r="G304" i="1"/>
  <c r="H304" i="1"/>
  <c r="I304" i="1"/>
  <c r="J304" i="1"/>
  <c r="K304" i="1"/>
  <c r="L304" i="1"/>
  <c r="M304" i="1"/>
  <c r="B305" i="1"/>
  <c r="C305" i="1"/>
  <c r="D305" i="1"/>
  <c r="E305" i="1"/>
  <c r="F305" i="1"/>
  <c r="G305" i="1"/>
  <c r="H305" i="1"/>
  <c r="I305" i="1"/>
  <c r="J305" i="1"/>
  <c r="K305" i="1"/>
  <c r="L305" i="1"/>
  <c r="M305" i="1"/>
  <c r="B306" i="1"/>
  <c r="C306" i="1"/>
  <c r="D306" i="1"/>
  <c r="E306" i="1"/>
  <c r="F306" i="1"/>
  <c r="G306" i="1"/>
  <c r="H306" i="1"/>
  <c r="I306" i="1"/>
  <c r="J306" i="1"/>
  <c r="K306" i="1"/>
  <c r="L306" i="1"/>
  <c r="M306" i="1"/>
  <c r="B307" i="1"/>
  <c r="C307" i="1"/>
  <c r="D307" i="1"/>
  <c r="E307" i="1"/>
  <c r="F307" i="1"/>
  <c r="G307" i="1"/>
  <c r="H307" i="1"/>
  <c r="I307" i="1"/>
  <c r="J307" i="1"/>
  <c r="K307" i="1"/>
  <c r="L307" i="1"/>
  <c r="M307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B310" i="1"/>
  <c r="C310" i="1"/>
  <c r="D310" i="1"/>
  <c r="E310" i="1"/>
  <c r="F310" i="1"/>
  <c r="G310" i="1"/>
  <c r="H310" i="1"/>
  <c r="I310" i="1"/>
  <c r="J310" i="1"/>
  <c r="K310" i="1"/>
  <c r="L310" i="1"/>
  <c r="M310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B312" i="1"/>
  <c r="C312" i="1"/>
  <c r="D312" i="1"/>
  <c r="E312" i="1"/>
  <c r="F312" i="1"/>
  <c r="G312" i="1"/>
  <c r="H312" i="1"/>
  <c r="I312" i="1"/>
  <c r="J312" i="1"/>
  <c r="K312" i="1"/>
  <c r="L312" i="1"/>
  <c r="M312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B314" i="1"/>
  <c r="C314" i="1"/>
  <c r="D314" i="1"/>
  <c r="E314" i="1"/>
  <c r="F314" i="1"/>
  <c r="G314" i="1"/>
  <c r="H314" i="1"/>
  <c r="I314" i="1"/>
  <c r="J314" i="1"/>
  <c r="K314" i="1"/>
  <c r="L314" i="1"/>
  <c r="M314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B316" i="1"/>
  <c r="C316" i="1"/>
  <c r="D316" i="1"/>
  <c r="E316" i="1"/>
  <c r="F316" i="1"/>
  <c r="G316" i="1"/>
  <c r="H316" i="1"/>
  <c r="I316" i="1"/>
  <c r="J316" i="1"/>
  <c r="K316" i="1"/>
  <c r="L316" i="1"/>
  <c r="M316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B318" i="1"/>
  <c r="C318" i="1"/>
  <c r="D318" i="1"/>
  <c r="E318" i="1"/>
  <c r="F318" i="1"/>
  <c r="G318" i="1"/>
  <c r="H318" i="1"/>
  <c r="I318" i="1"/>
  <c r="J318" i="1"/>
  <c r="K318" i="1"/>
  <c r="L318" i="1"/>
  <c r="M318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B320" i="1"/>
  <c r="C320" i="1"/>
  <c r="D320" i="1"/>
  <c r="E320" i="1"/>
  <c r="F320" i="1"/>
  <c r="G320" i="1"/>
  <c r="H320" i="1"/>
  <c r="I320" i="1"/>
  <c r="J320" i="1"/>
  <c r="K320" i="1"/>
  <c r="L320" i="1"/>
  <c r="M320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B322" i="1"/>
  <c r="C322" i="1"/>
  <c r="D322" i="1"/>
  <c r="E322" i="1"/>
  <c r="F322" i="1"/>
  <c r="G322" i="1"/>
  <c r="H322" i="1"/>
  <c r="I322" i="1"/>
  <c r="J322" i="1"/>
  <c r="K322" i="1"/>
  <c r="L322" i="1"/>
  <c r="M322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B326" i="1"/>
  <c r="C326" i="1"/>
  <c r="D326" i="1"/>
  <c r="E326" i="1"/>
  <c r="F326" i="1"/>
  <c r="G326" i="1"/>
  <c r="H326" i="1"/>
  <c r="I326" i="1"/>
  <c r="J326" i="1"/>
  <c r="K326" i="1"/>
  <c r="L326" i="1"/>
  <c r="M326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B330" i="1"/>
  <c r="C330" i="1"/>
  <c r="D330" i="1"/>
  <c r="E330" i="1"/>
  <c r="F330" i="1"/>
  <c r="G330" i="1"/>
  <c r="H330" i="1"/>
  <c r="I330" i="1"/>
  <c r="J330" i="1"/>
  <c r="K330" i="1"/>
  <c r="L330" i="1"/>
  <c r="M330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B332" i="1"/>
  <c r="C332" i="1"/>
  <c r="D332" i="1"/>
  <c r="E332" i="1"/>
  <c r="F332" i="1"/>
  <c r="G332" i="1"/>
  <c r="H332" i="1"/>
  <c r="I332" i="1"/>
  <c r="J332" i="1"/>
  <c r="K332" i="1"/>
  <c r="L332" i="1"/>
  <c r="M332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B334" i="1"/>
  <c r="C334" i="1"/>
  <c r="D334" i="1"/>
  <c r="E334" i="1"/>
  <c r="F334" i="1"/>
  <c r="G334" i="1"/>
  <c r="H334" i="1"/>
  <c r="I334" i="1"/>
  <c r="J334" i="1"/>
  <c r="K334" i="1"/>
  <c r="L334" i="1"/>
  <c r="M334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B338" i="1"/>
  <c r="C338" i="1"/>
  <c r="D338" i="1"/>
  <c r="E338" i="1"/>
  <c r="F338" i="1"/>
  <c r="G338" i="1"/>
  <c r="H338" i="1"/>
  <c r="I338" i="1"/>
  <c r="J338" i="1"/>
  <c r="K338" i="1"/>
  <c r="L338" i="1"/>
  <c r="M338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B342" i="1"/>
  <c r="C342" i="1"/>
  <c r="D342" i="1"/>
  <c r="E342" i="1"/>
  <c r="F342" i="1"/>
  <c r="G342" i="1"/>
  <c r="H342" i="1"/>
  <c r="I342" i="1"/>
  <c r="J342" i="1"/>
  <c r="K342" i="1"/>
  <c r="L342" i="1"/>
  <c r="M342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B346" i="1"/>
  <c r="C346" i="1"/>
  <c r="D346" i="1"/>
  <c r="E346" i="1"/>
  <c r="F346" i="1"/>
  <c r="G346" i="1"/>
  <c r="H346" i="1"/>
  <c r="I346" i="1"/>
  <c r="J346" i="1"/>
  <c r="K346" i="1"/>
  <c r="L346" i="1"/>
  <c r="M346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B348" i="1"/>
  <c r="C348" i="1"/>
  <c r="D348" i="1"/>
  <c r="E348" i="1"/>
  <c r="F348" i="1"/>
  <c r="G348" i="1"/>
  <c r="H348" i="1"/>
  <c r="I348" i="1"/>
  <c r="J348" i="1"/>
  <c r="K348" i="1"/>
  <c r="L348" i="1"/>
  <c r="M348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B350" i="1"/>
  <c r="C350" i="1"/>
  <c r="D350" i="1"/>
  <c r="E350" i="1"/>
  <c r="F350" i="1"/>
  <c r="G350" i="1"/>
  <c r="H350" i="1"/>
  <c r="I350" i="1"/>
  <c r="J350" i="1"/>
  <c r="K350" i="1"/>
  <c r="L350" i="1"/>
  <c r="M350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B352" i="1"/>
  <c r="C352" i="1"/>
  <c r="D352" i="1"/>
  <c r="E352" i="1"/>
  <c r="F352" i="1"/>
  <c r="G352" i="1"/>
  <c r="H352" i="1"/>
  <c r="I352" i="1"/>
  <c r="J352" i="1"/>
  <c r="K352" i="1"/>
  <c r="L352" i="1"/>
  <c r="M352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B354" i="1"/>
  <c r="C354" i="1"/>
  <c r="D354" i="1"/>
  <c r="E354" i="1"/>
  <c r="F354" i="1"/>
  <c r="G354" i="1"/>
  <c r="H354" i="1"/>
  <c r="I354" i="1"/>
  <c r="J354" i="1"/>
  <c r="K354" i="1"/>
  <c r="L354" i="1"/>
  <c r="M354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B356" i="1"/>
  <c r="C356" i="1"/>
  <c r="D356" i="1"/>
  <c r="E356" i="1"/>
  <c r="F356" i="1"/>
  <c r="G356" i="1"/>
  <c r="H356" i="1"/>
  <c r="I356" i="1"/>
  <c r="J356" i="1"/>
  <c r="K356" i="1"/>
  <c r="L356" i="1"/>
  <c r="M356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B358" i="1"/>
  <c r="C358" i="1"/>
  <c r="D358" i="1"/>
  <c r="E358" i="1"/>
  <c r="F358" i="1"/>
  <c r="G358" i="1"/>
  <c r="H358" i="1"/>
  <c r="I358" i="1"/>
  <c r="J358" i="1"/>
  <c r="K358" i="1"/>
  <c r="L358" i="1"/>
  <c r="M358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B362" i="1"/>
  <c r="C362" i="1"/>
  <c r="D362" i="1"/>
  <c r="E362" i="1"/>
  <c r="F362" i="1"/>
  <c r="G362" i="1"/>
  <c r="H362" i="1"/>
  <c r="I362" i="1"/>
  <c r="J362" i="1"/>
  <c r="K362" i="1"/>
  <c r="L362" i="1"/>
  <c r="M362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B364" i="1"/>
  <c r="C364" i="1"/>
  <c r="D364" i="1"/>
  <c r="E364" i="1"/>
  <c r="F364" i="1"/>
  <c r="G364" i="1"/>
  <c r="H364" i="1"/>
  <c r="I364" i="1"/>
  <c r="J364" i="1"/>
  <c r="K364" i="1"/>
  <c r="L364" i="1"/>
  <c r="M364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B366" i="1"/>
  <c r="C366" i="1"/>
  <c r="D366" i="1"/>
  <c r="E366" i="1"/>
  <c r="F366" i="1"/>
  <c r="G366" i="1"/>
  <c r="H366" i="1"/>
  <c r="I366" i="1"/>
  <c r="J366" i="1"/>
  <c r="K366" i="1"/>
  <c r="L366" i="1"/>
  <c r="M366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B368" i="1"/>
  <c r="C368" i="1"/>
  <c r="D368" i="1"/>
  <c r="E368" i="1"/>
  <c r="F368" i="1"/>
  <c r="G368" i="1"/>
  <c r="H368" i="1"/>
  <c r="I368" i="1"/>
  <c r="J368" i="1"/>
  <c r="K368" i="1"/>
  <c r="L368" i="1"/>
  <c r="M368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B370" i="1"/>
  <c r="C370" i="1"/>
  <c r="D370" i="1"/>
  <c r="E370" i="1"/>
  <c r="F370" i="1"/>
  <c r="G370" i="1"/>
  <c r="H370" i="1"/>
  <c r="I370" i="1"/>
  <c r="J370" i="1"/>
  <c r="K370" i="1"/>
  <c r="L370" i="1"/>
  <c r="M370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B372" i="1"/>
  <c r="C372" i="1"/>
  <c r="D372" i="1"/>
  <c r="E372" i="1"/>
  <c r="F372" i="1"/>
  <c r="G372" i="1"/>
  <c r="H372" i="1"/>
  <c r="I372" i="1"/>
  <c r="J372" i="1"/>
  <c r="K372" i="1"/>
  <c r="L372" i="1"/>
  <c r="M372" i="1"/>
  <c r="B373" i="1"/>
  <c r="C373" i="1"/>
  <c r="D373" i="1"/>
  <c r="E373" i="1"/>
  <c r="F373" i="1"/>
  <c r="G373" i="1"/>
  <c r="H373" i="1"/>
  <c r="I373" i="1"/>
  <c r="J373" i="1"/>
  <c r="K373" i="1"/>
  <c r="L373" i="1"/>
  <c r="M373" i="1"/>
  <c r="B374" i="1"/>
  <c r="C374" i="1"/>
  <c r="D374" i="1"/>
  <c r="E374" i="1"/>
  <c r="F374" i="1"/>
  <c r="G374" i="1"/>
  <c r="H374" i="1"/>
  <c r="I374" i="1"/>
  <c r="J374" i="1"/>
  <c r="K374" i="1"/>
  <c r="L374" i="1"/>
  <c r="M374" i="1"/>
  <c r="B375" i="1"/>
  <c r="C375" i="1"/>
  <c r="D375" i="1"/>
  <c r="E375" i="1"/>
  <c r="F375" i="1"/>
  <c r="G375" i="1"/>
  <c r="H375" i="1"/>
  <c r="I375" i="1"/>
  <c r="J375" i="1"/>
  <c r="K375" i="1"/>
  <c r="L375" i="1"/>
  <c r="M375" i="1"/>
  <c r="B376" i="1"/>
  <c r="C376" i="1"/>
  <c r="D376" i="1"/>
  <c r="E376" i="1"/>
  <c r="F376" i="1"/>
  <c r="G376" i="1"/>
  <c r="H376" i="1"/>
  <c r="I376" i="1"/>
  <c r="J376" i="1"/>
  <c r="K376" i="1"/>
  <c r="L376" i="1"/>
  <c r="M376" i="1"/>
  <c r="B377" i="1"/>
  <c r="C377" i="1"/>
  <c r="D377" i="1"/>
  <c r="E377" i="1"/>
  <c r="F377" i="1"/>
  <c r="G377" i="1"/>
  <c r="H377" i="1"/>
  <c r="I377" i="1"/>
  <c r="J377" i="1"/>
  <c r="K377" i="1"/>
  <c r="L377" i="1"/>
  <c r="M377" i="1"/>
  <c r="B378" i="1"/>
  <c r="C378" i="1"/>
  <c r="D378" i="1"/>
  <c r="E378" i="1"/>
  <c r="F378" i="1"/>
  <c r="G378" i="1"/>
  <c r="H378" i="1"/>
  <c r="I378" i="1"/>
  <c r="J378" i="1"/>
  <c r="K378" i="1"/>
  <c r="L378" i="1"/>
  <c r="M378" i="1"/>
  <c r="B379" i="1"/>
  <c r="C379" i="1"/>
  <c r="D379" i="1"/>
  <c r="E379" i="1"/>
  <c r="F379" i="1"/>
  <c r="G379" i="1"/>
  <c r="H379" i="1"/>
  <c r="I379" i="1"/>
  <c r="J379" i="1"/>
  <c r="K379" i="1"/>
  <c r="L379" i="1"/>
  <c r="M379" i="1"/>
  <c r="B380" i="1"/>
  <c r="C380" i="1"/>
  <c r="D380" i="1"/>
  <c r="E380" i="1"/>
  <c r="F380" i="1"/>
  <c r="G380" i="1"/>
  <c r="H380" i="1"/>
  <c r="I380" i="1"/>
  <c r="J380" i="1"/>
  <c r="K380" i="1"/>
  <c r="L380" i="1"/>
  <c r="M380" i="1"/>
  <c r="B381" i="1"/>
  <c r="C381" i="1"/>
  <c r="D381" i="1"/>
  <c r="E381" i="1"/>
  <c r="F381" i="1"/>
  <c r="G381" i="1"/>
  <c r="H381" i="1"/>
  <c r="I381" i="1"/>
  <c r="J381" i="1"/>
  <c r="K381" i="1"/>
  <c r="L381" i="1"/>
  <c r="M381" i="1"/>
  <c r="B382" i="1"/>
  <c r="C382" i="1"/>
  <c r="D382" i="1"/>
  <c r="E382" i="1"/>
  <c r="F382" i="1"/>
  <c r="G382" i="1"/>
  <c r="H382" i="1"/>
  <c r="I382" i="1"/>
  <c r="J382" i="1"/>
  <c r="K382" i="1"/>
  <c r="L382" i="1"/>
  <c r="M382" i="1"/>
  <c r="B383" i="1"/>
  <c r="C383" i="1"/>
  <c r="D383" i="1"/>
  <c r="E383" i="1"/>
  <c r="F383" i="1"/>
  <c r="G383" i="1"/>
  <c r="H383" i="1"/>
  <c r="I383" i="1"/>
  <c r="J383" i="1"/>
  <c r="K383" i="1"/>
  <c r="L383" i="1"/>
  <c r="M383" i="1"/>
  <c r="B384" i="1"/>
  <c r="C384" i="1"/>
  <c r="D384" i="1"/>
  <c r="E384" i="1"/>
  <c r="F384" i="1"/>
  <c r="G384" i="1"/>
  <c r="H384" i="1"/>
  <c r="I384" i="1"/>
  <c r="J384" i="1"/>
  <c r="K384" i="1"/>
  <c r="L384" i="1"/>
  <c r="M384" i="1"/>
  <c r="B385" i="1"/>
  <c r="C385" i="1"/>
  <c r="D385" i="1"/>
  <c r="E385" i="1"/>
  <c r="F385" i="1"/>
  <c r="G385" i="1"/>
  <c r="H385" i="1"/>
  <c r="I385" i="1"/>
  <c r="J385" i="1"/>
  <c r="K385" i="1"/>
  <c r="L385" i="1"/>
  <c r="M385" i="1"/>
  <c r="B386" i="1"/>
  <c r="C386" i="1"/>
  <c r="D386" i="1"/>
  <c r="E386" i="1"/>
  <c r="F386" i="1"/>
  <c r="G386" i="1"/>
  <c r="H386" i="1"/>
  <c r="I386" i="1"/>
  <c r="J386" i="1"/>
  <c r="K386" i="1"/>
  <c r="L386" i="1"/>
  <c r="M386" i="1"/>
  <c r="B387" i="1"/>
  <c r="C387" i="1"/>
  <c r="D387" i="1"/>
  <c r="E387" i="1"/>
  <c r="F387" i="1"/>
  <c r="G387" i="1"/>
  <c r="H387" i="1"/>
  <c r="I387" i="1"/>
  <c r="J387" i="1"/>
  <c r="K387" i="1"/>
  <c r="L387" i="1"/>
  <c r="M387" i="1"/>
  <c r="B388" i="1"/>
  <c r="C388" i="1"/>
  <c r="D388" i="1"/>
  <c r="E388" i="1"/>
  <c r="F388" i="1"/>
  <c r="G388" i="1"/>
  <c r="H388" i="1"/>
  <c r="I388" i="1"/>
  <c r="J388" i="1"/>
  <c r="K388" i="1"/>
  <c r="L388" i="1"/>
  <c r="M388" i="1"/>
  <c r="B389" i="1"/>
  <c r="C389" i="1"/>
  <c r="D389" i="1"/>
  <c r="E389" i="1"/>
  <c r="F389" i="1"/>
  <c r="G389" i="1"/>
  <c r="H389" i="1"/>
  <c r="I389" i="1"/>
  <c r="J389" i="1"/>
  <c r="K389" i="1"/>
  <c r="L389" i="1"/>
  <c r="M389" i="1"/>
  <c r="B390" i="1"/>
  <c r="C390" i="1"/>
  <c r="D390" i="1"/>
  <c r="E390" i="1"/>
  <c r="F390" i="1"/>
  <c r="G390" i="1"/>
  <c r="H390" i="1"/>
  <c r="I390" i="1"/>
  <c r="J390" i="1"/>
  <c r="K390" i="1"/>
  <c r="L390" i="1"/>
  <c r="M390" i="1"/>
  <c r="B391" i="1"/>
  <c r="C391" i="1"/>
  <c r="D391" i="1"/>
  <c r="E391" i="1"/>
  <c r="F391" i="1"/>
  <c r="G391" i="1"/>
  <c r="H391" i="1"/>
  <c r="I391" i="1"/>
  <c r="J391" i="1"/>
  <c r="K391" i="1"/>
  <c r="L391" i="1"/>
  <c r="M391" i="1"/>
  <c r="B392" i="1"/>
  <c r="C392" i="1"/>
  <c r="D392" i="1"/>
  <c r="E392" i="1"/>
  <c r="F392" i="1"/>
  <c r="G392" i="1"/>
  <c r="H392" i="1"/>
  <c r="I392" i="1"/>
  <c r="J392" i="1"/>
  <c r="K392" i="1"/>
  <c r="L392" i="1"/>
  <c r="M392" i="1"/>
  <c r="B393" i="1"/>
  <c r="C393" i="1"/>
  <c r="D393" i="1"/>
  <c r="E393" i="1"/>
  <c r="F393" i="1"/>
  <c r="G393" i="1"/>
  <c r="H393" i="1"/>
  <c r="I393" i="1"/>
  <c r="J393" i="1"/>
  <c r="K393" i="1"/>
  <c r="L393" i="1"/>
  <c r="M393" i="1"/>
  <c r="B394" i="1"/>
  <c r="C394" i="1"/>
  <c r="D394" i="1"/>
  <c r="E394" i="1"/>
  <c r="F394" i="1"/>
  <c r="G394" i="1"/>
  <c r="H394" i="1"/>
  <c r="I394" i="1"/>
  <c r="J394" i="1"/>
  <c r="K394" i="1"/>
  <c r="L394" i="1"/>
  <c r="M394" i="1"/>
  <c r="B395" i="1"/>
  <c r="C395" i="1"/>
  <c r="D395" i="1"/>
  <c r="E395" i="1"/>
  <c r="F395" i="1"/>
  <c r="G395" i="1"/>
  <c r="H395" i="1"/>
  <c r="I395" i="1"/>
  <c r="J395" i="1"/>
  <c r="K395" i="1"/>
  <c r="L395" i="1"/>
  <c r="M395" i="1"/>
  <c r="B396" i="1"/>
  <c r="C396" i="1"/>
  <c r="D396" i="1"/>
  <c r="E396" i="1"/>
  <c r="F396" i="1"/>
  <c r="G396" i="1"/>
  <c r="H396" i="1"/>
  <c r="I396" i="1"/>
  <c r="J396" i="1"/>
  <c r="K396" i="1"/>
  <c r="L396" i="1"/>
  <c r="M396" i="1"/>
  <c r="B397" i="1"/>
  <c r="C397" i="1"/>
  <c r="D397" i="1"/>
  <c r="E397" i="1"/>
  <c r="F397" i="1"/>
  <c r="G397" i="1"/>
  <c r="H397" i="1"/>
  <c r="I397" i="1"/>
  <c r="J397" i="1"/>
  <c r="K397" i="1"/>
  <c r="L397" i="1"/>
  <c r="M397" i="1"/>
  <c r="B398" i="1"/>
  <c r="C398" i="1"/>
  <c r="D398" i="1"/>
  <c r="E398" i="1"/>
  <c r="F398" i="1"/>
  <c r="G398" i="1"/>
  <c r="H398" i="1"/>
  <c r="I398" i="1"/>
  <c r="J398" i="1"/>
  <c r="K398" i="1"/>
  <c r="L398" i="1"/>
  <c r="M398" i="1"/>
  <c r="B399" i="1"/>
  <c r="C399" i="1"/>
  <c r="D399" i="1"/>
  <c r="E399" i="1"/>
  <c r="F399" i="1"/>
  <c r="G399" i="1"/>
  <c r="H399" i="1"/>
  <c r="I399" i="1"/>
  <c r="J399" i="1"/>
  <c r="K399" i="1"/>
  <c r="L399" i="1"/>
  <c r="M399" i="1"/>
  <c r="B400" i="1"/>
  <c r="C400" i="1"/>
  <c r="D400" i="1"/>
  <c r="E400" i="1"/>
  <c r="F400" i="1"/>
  <c r="G400" i="1"/>
  <c r="H400" i="1"/>
  <c r="I400" i="1"/>
  <c r="J400" i="1"/>
  <c r="K400" i="1"/>
  <c r="L400" i="1"/>
  <c r="M400" i="1"/>
  <c r="B401" i="1"/>
  <c r="C401" i="1"/>
  <c r="D401" i="1"/>
  <c r="E401" i="1"/>
  <c r="F401" i="1"/>
  <c r="G401" i="1"/>
  <c r="H401" i="1"/>
  <c r="I401" i="1"/>
  <c r="J401" i="1"/>
  <c r="K401" i="1"/>
  <c r="L401" i="1"/>
  <c r="M401" i="1"/>
  <c r="B402" i="1"/>
  <c r="C402" i="1"/>
  <c r="D402" i="1"/>
  <c r="E402" i="1"/>
  <c r="F402" i="1"/>
  <c r="G402" i="1"/>
  <c r="H402" i="1"/>
  <c r="I402" i="1"/>
  <c r="J402" i="1"/>
  <c r="K402" i="1"/>
  <c r="L402" i="1"/>
  <c r="M402" i="1"/>
  <c r="B403" i="1"/>
  <c r="C403" i="1"/>
  <c r="D403" i="1"/>
  <c r="E403" i="1"/>
  <c r="F403" i="1"/>
  <c r="G403" i="1"/>
  <c r="H403" i="1"/>
  <c r="I403" i="1"/>
  <c r="J403" i="1"/>
  <c r="K403" i="1"/>
  <c r="L403" i="1"/>
  <c r="M403" i="1"/>
  <c r="B404" i="1"/>
  <c r="C404" i="1"/>
  <c r="D404" i="1"/>
  <c r="E404" i="1"/>
  <c r="F404" i="1"/>
  <c r="G404" i="1"/>
  <c r="H404" i="1"/>
  <c r="I404" i="1"/>
  <c r="J404" i="1"/>
  <c r="K404" i="1"/>
  <c r="L404" i="1"/>
  <c r="M404" i="1"/>
  <c r="B405" i="1"/>
  <c r="C405" i="1"/>
  <c r="D405" i="1"/>
  <c r="E405" i="1"/>
  <c r="F405" i="1"/>
  <c r="G405" i="1"/>
  <c r="H405" i="1"/>
  <c r="I405" i="1"/>
  <c r="J405" i="1"/>
  <c r="K405" i="1"/>
  <c r="L405" i="1"/>
  <c r="M405" i="1"/>
  <c r="B406" i="1"/>
  <c r="C406" i="1"/>
  <c r="D406" i="1"/>
  <c r="E406" i="1"/>
  <c r="F406" i="1"/>
  <c r="G406" i="1"/>
  <c r="H406" i="1"/>
  <c r="I406" i="1"/>
  <c r="J406" i="1"/>
  <c r="K406" i="1"/>
  <c r="L406" i="1"/>
  <c r="M406" i="1"/>
  <c r="B407" i="1"/>
  <c r="C407" i="1"/>
  <c r="D407" i="1"/>
  <c r="E407" i="1"/>
  <c r="F407" i="1"/>
  <c r="G407" i="1"/>
  <c r="H407" i="1"/>
  <c r="I407" i="1"/>
  <c r="J407" i="1"/>
  <c r="K407" i="1"/>
  <c r="L407" i="1"/>
  <c r="M407" i="1"/>
  <c r="B408" i="1"/>
  <c r="C408" i="1"/>
  <c r="D408" i="1"/>
  <c r="E408" i="1"/>
  <c r="F408" i="1"/>
  <c r="G408" i="1"/>
  <c r="H408" i="1"/>
  <c r="I408" i="1"/>
  <c r="J408" i="1"/>
  <c r="K408" i="1"/>
  <c r="L408" i="1"/>
  <c r="M408" i="1"/>
  <c r="B409" i="1"/>
  <c r="C409" i="1"/>
  <c r="D409" i="1"/>
  <c r="E409" i="1"/>
  <c r="F409" i="1"/>
  <c r="G409" i="1"/>
  <c r="H409" i="1"/>
  <c r="I409" i="1"/>
  <c r="J409" i="1"/>
  <c r="K409" i="1"/>
  <c r="L409" i="1"/>
  <c r="M409" i="1"/>
  <c r="B410" i="1"/>
  <c r="C410" i="1"/>
  <c r="D410" i="1"/>
  <c r="E410" i="1"/>
  <c r="F410" i="1"/>
  <c r="G410" i="1"/>
  <c r="H410" i="1"/>
  <c r="I410" i="1"/>
  <c r="J410" i="1"/>
  <c r="K410" i="1"/>
  <c r="L410" i="1"/>
  <c r="M410" i="1"/>
  <c r="B411" i="1"/>
  <c r="C411" i="1"/>
  <c r="D411" i="1"/>
  <c r="E411" i="1"/>
  <c r="F411" i="1"/>
  <c r="G411" i="1"/>
  <c r="H411" i="1"/>
  <c r="I411" i="1"/>
  <c r="J411" i="1"/>
  <c r="K411" i="1"/>
  <c r="L411" i="1"/>
  <c r="M411" i="1"/>
  <c r="B412" i="1"/>
  <c r="C412" i="1"/>
  <c r="D412" i="1"/>
  <c r="E412" i="1"/>
  <c r="F412" i="1"/>
  <c r="G412" i="1"/>
  <c r="H412" i="1"/>
  <c r="I412" i="1"/>
  <c r="J412" i="1"/>
  <c r="K412" i="1"/>
  <c r="L412" i="1"/>
  <c r="M412" i="1"/>
  <c r="B413" i="1"/>
  <c r="C413" i="1"/>
  <c r="D413" i="1"/>
  <c r="E413" i="1"/>
  <c r="F413" i="1"/>
  <c r="G413" i="1"/>
  <c r="H413" i="1"/>
  <c r="I413" i="1"/>
  <c r="J413" i="1"/>
  <c r="K413" i="1"/>
  <c r="L413" i="1"/>
  <c r="M413" i="1"/>
  <c r="B414" i="1"/>
  <c r="C414" i="1"/>
  <c r="D414" i="1"/>
  <c r="E414" i="1"/>
  <c r="F414" i="1"/>
  <c r="G414" i="1"/>
  <c r="H414" i="1"/>
  <c r="I414" i="1"/>
  <c r="J414" i="1"/>
  <c r="K414" i="1"/>
  <c r="L414" i="1"/>
  <c r="M414" i="1"/>
  <c r="B415" i="1"/>
  <c r="C415" i="1"/>
  <c r="D415" i="1"/>
  <c r="E415" i="1"/>
  <c r="F415" i="1"/>
  <c r="G415" i="1"/>
  <c r="H415" i="1"/>
  <c r="I415" i="1"/>
  <c r="J415" i="1"/>
  <c r="K415" i="1"/>
  <c r="L415" i="1"/>
  <c r="M415" i="1"/>
  <c r="B416" i="1"/>
  <c r="C416" i="1"/>
  <c r="D416" i="1"/>
  <c r="E416" i="1"/>
  <c r="F416" i="1"/>
  <c r="G416" i="1"/>
  <c r="H416" i="1"/>
  <c r="I416" i="1"/>
  <c r="J416" i="1"/>
  <c r="K416" i="1"/>
  <c r="L416" i="1"/>
  <c r="M416" i="1"/>
  <c r="B417" i="1"/>
  <c r="C417" i="1"/>
  <c r="D417" i="1"/>
  <c r="E417" i="1"/>
  <c r="F417" i="1"/>
  <c r="G417" i="1"/>
  <c r="H417" i="1"/>
  <c r="I417" i="1"/>
  <c r="J417" i="1"/>
  <c r="K417" i="1"/>
  <c r="L417" i="1"/>
  <c r="M417" i="1"/>
  <c r="B418" i="1"/>
  <c r="C418" i="1"/>
  <c r="D418" i="1"/>
  <c r="E418" i="1"/>
  <c r="F418" i="1"/>
  <c r="G418" i="1"/>
  <c r="H418" i="1"/>
  <c r="I418" i="1"/>
  <c r="J418" i="1"/>
  <c r="K418" i="1"/>
  <c r="L418" i="1"/>
  <c r="M418" i="1"/>
  <c r="B419" i="1"/>
  <c r="C419" i="1"/>
  <c r="D419" i="1"/>
  <c r="E419" i="1"/>
  <c r="F419" i="1"/>
  <c r="G419" i="1"/>
  <c r="H419" i="1"/>
  <c r="I419" i="1"/>
  <c r="J419" i="1"/>
  <c r="K419" i="1"/>
  <c r="L419" i="1"/>
  <c r="M419" i="1"/>
  <c r="B420" i="1"/>
  <c r="C420" i="1"/>
  <c r="D420" i="1"/>
  <c r="E420" i="1"/>
  <c r="F420" i="1"/>
  <c r="G420" i="1"/>
  <c r="H420" i="1"/>
  <c r="I420" i="1"/>
  <c r="J420" i="1"/>
  <c r="K420" i="1"/>
  <c r="L420" i="1"/>
  <c r="M420" i="1"/>
  <c r="B421" i="1"/>
  <c r="C421" i="1"/>
  <c r="D421" i="1"/>
  <c r="E421" i="1"/>
  <c r="F421" i="1"/>
  <c r="G421" i="1"/>
  <c r="H421" i="1"/>
  <c r="I421" i="1"/>
  <c r="J421" i="1"/>
  <c r="K421" i="1"/>
  <c r="L421" i="1"/>
  <c r="M421" i="1"/>
  <c r="B422" i="1"/>
  <c r="C422" i="1"/>
  <c r="D422" i="1"/>
  <c r="E422" i="1"/>
  <c r="F422" i="1"/>
  <c r="G422" i="1"/>
  <c r="H422" i="1"/>
  <c r="I422" i="1"/>
  <c r="J422" i="1"/>
  <c r="K422" i="1"/>
  <c r="L422" i="1"/>
  <c r="M422" i="1"/>
  <c r="B423" i="1"/>
  <c r="C423" i="1"/>
  <c r="D423" i="1"/>
  <c r="E423" i="1"/>
  <c r="F423" i="1"/>
  <c r="G423" i="1"/>
  <c r="H423" i="1"/>
  <c r="I423" i="1"/>
  <c r="J423" i="1"/>
  <c r="K423" i="1"/>
  <c r="L423" i="1"/>
  <c r="M423" i="1"/>
  <c r="B424" i="1"/>
  <c r="C424" i="1"/>
  <c r="D424" i="1"/>
  <c r="E424" i="1"/>
  <c r="F424" i="1"/>
  <c r="G424" i="1"/>
  <c r="H424" i="1"/>
  <c r="I424" i="1"/>
  <c r="J424" i="1"/>
  <c r="K424" i="1"/>
  <c r="L424" i="1"/>
  <c r="M424" i="1"/>
  <c r="B425" i="1"/>
  <c r="C425" i="1"/>
  <c r="D425" i="1"/>
  <c r="E425" i="1"/>
  <c r="F425" i="1"/>
  <c r="G425" i="1"/>
  <c r="H425" i="1"/>
  <c r="I425" i="1"/>
  <c r="J425" i="1"/>
  <c r="K425" i="1"/>
  <c r="L425" i="1"/>
  <c r="M425" i="1"/>
  <c r="B426" i="1"/>
  <c r="C426" i="1"/>
  <c r="D426" i="1"/>
  <c r="E426" i="1"/>
  <c r="F426" i="1"/>
  <c r="G426" i="1"/>
  <c r="H426" i="1"/>
  <c r="I426" i="1"/>
  <c r="J426" i="1"/>
  <c r="K426" i="1"/>
  <c r="L426" i="1"/>
  <c r="M426" i="1"/>
  <c r="B427" i="1"/>
  <c r="C427" i="1"/>
  <c r="D427" i="1"/>
  <c r="E427" i="1"/>
  <c r="F427" i="1"/>
  <c r="G427" i="1"/>
  <c r="H427" i="1"/>
  <c r="I427" i="1"/>
  <c r="J427" i="1"/>
  <c r="K427" i="1"/>
  <c r="L427" i="1"/>
  <c r="M427" i="1"/>
  <c r="B428" i="1"/>
  <c r="C428" i="1"/>
  <c r="D428" i="1"/>
  <c r="E428" i="1"/>
  <c r="F428" i="1"/>
  <c r="G428" i="1"/>
  <c r="H428" i="1"/>
  <c r="I428" i="1"/>
  <c r="J428" i="1"/>
  <c r="K428" i="1"/>
  <c r="L428" i="1"/>
  <c r="M428" i="1"/>
  <c r="B429" i="1"/>
  <c r="C429" i="1"/>
  <c r="D429" i="1"/>
  <c r="E429" i="1"/>
  <c r="F429" i="1"/>
  <c r="G429" i="1"/>
  <c r="H429" i="1"/>
  <c r="I429" i="1"/>
  <c r="J429" i="1"/>
  <c r="K429" i="1"/>
  <c r="L429" i="1"/>
  <c r="M429" i="1"/>
  <c r="B430" i="1"/>
  <c r="C430" i="1"/>
  <c r="D430" i="1"/>
  <c r="E430" i="1"/>
  <c r="F430" i="1"/>
  <c r="G430" i="1"/>
  <c r="H430" i="1"/>
  <c r="I430" i="1"/>
  <c r="J430" i="1"/>
  <c r="K430" i="1"/>
  <c r="L430" i="1"/>
  <c r="M430" i="1"/>
  <c r="B431" i="1"/>
  <c r="C431" i="1"/>
  <c r="D431" i="1"/>
  <c r="E431" i="1"/>
  <c r="F431" i="1"/>
  <c r="G431" i="1"/>
  <c r="H431" i="1"/>
  <c r="I431" i="1"/>
  <c r="J431" i="1"/>
  <c r="K431" i="1"/>
  <c r="L431" i="1"/>
  <c r="M431" i="1"/>
  <c r="B432" i="1"/>
  <c r="C432" i="1"/>
  <c r="D432" i="1"/>
  <c r="E432" i="1"/>
  <c r="F432" i="1"/>
  <c r="G432" i="1"/>
  <c r="H432" i="1"/>
  <c r="I432" i="1"/>
  <c r="J432" i="1"/>
  <c r="K432" i="1"/>
  <c r="L432" i="1"/>
  <c r="M432" i="1"/>
  <c r="B433" i="1"/>
  <c r="C433" i="1"/>
  <c r="D433" i="1"/>
  <c r="E433" i="1"/>
  <c r="F433" i="1"/>
  <c r="G433" i="1"/>
  <c r="H433" i="1"/>
  <c r="I433" i="1"/>
  <c r="J433" i="1"/>
  <c r="K433" i="1"/>
  <c r="L433" i="1"/>
  <c r="M433" i="1"/>
  <c r="B434" i="1"/>
  <c r="C434" i="1"/>
  <c r="D434" i="1"/>
  <c r="E434" i="1"/>
  <c r="F434" i="1"/>
  <c r="G434" i="1"/>
  <c r="H434" i="1"/>
  <c r="I434" i="1"/>
  <c r="J434" i="1"/>
  <c r="K434" i="1"/>
  <c r="L434" i="1"/>
  <c r="M434" i="1"/>
  <c r="B435" i="1"/>
  <c r="C435" i="1"/>
  <c r="D435" i="1"/>
  <c r="E435" i="1"/>
  <c r="F435" i="1"/>
  <c r="G435" i="1"/>
  <c r="H435" i="1"/>
  <c r="I435" i="1"/>
  <c r="J435" i="1"/>
  <c r="K435" i="1"/>
  <c r="L435" i="1"/>
  <c r="M435" i="1"/>
  <c r="B436" i="1"/>
  <c r="C436" i="1"/>
  <c r="D436" i="1"/>
  <c r="E436" i="1"/>
  <c r="F436" i="1"/>
  <c r="G436" i="1"/>
  <c r="H436" i="1"/>
  <c r="I436" i="1"/>
  <c r="J436" i="1"/>
  <c r="K436" i="1"/>
  <c r="L436" i="1"/>
  <c r="M436" i="1"/>
  <c r="B437" i="1"/>
  <c r="C437" i="1"/>
  <c r="D437" i="1"/>
  <c r="E437" i="1"/>
  <c r="F437" i="1"/>
  <c r="G437" i="1"/>
  <c r="H437" i="1"/>
  <c r="I437" i="1"/>
  <c r="J437" i="1"/>
  <c r="K437" i="1"/>
  <c r="L437" i="1"/>
  <c r="M437" i="1"/>
  <c r="B438" i="1"/>
  <c r="C438" i="1"/>
  <c r="D438" i="1"/>
  <c r="E438" i="1"/>
  <c r="F438" i="1"/>
  <c r="G438" i="1"/>
  <c r="H438" i="1"/>
  <c r="I438" i="1"/>
  <c r="J438" i="1"/>
  <c r="K438" i="1"/>
  <c r="L438" i="1"/>
  <c r="M438" i="1"/>
  <c r="B439" i="1"/>
  <c r="C439" i="1"/>
  <c r="D439" i="1"/>
  <c r="E439" i="1"/>
  <c r="F439" i="1"/>
  <c r="G439" i="1"/>
  <c r="H439" i="1"/>
  <c r="I439" i="1"/>
  <c r="J439" i="1"/>
  <c r="K439" i="1"/>
  <c r="L439" i="1"/>
  <c r="M439" i="1"/>
  <c r="B440" i="1"/>
  <c r="C440" i="1"/>
  <c r="D440" i="1"/>
  <c r="E440" i="1"/>
  <c r="F440" i="1"/>
  <c r="G440" i="1"/>
  <c r="H440" i="1"/>
  <c r="I440" i="1"/>
  <c r="J440" i="1"/>
  <c r="K440" i="1"/>
  <c r="L440" i="1"/>
  <c r="M440" i="1"/>
  <c r="B441" i="1"/>
  <c r="C441" i="1"/>
  <c r="D441" i="1"/>
  <c r="E441" i="1"/>
  <c r="F441" i="1"/>
  <c r="G441" i="1"/>
  <c r="H441" i="1"/>
  <c r="I441" i="1"/>
  <c r="J441" i="1"/>
  <c r="K441" i="1"/>
  <c r="L441" i="1"/>
  <c r="M441" i="1"/>
  <c r="B442" i="1"/>
  <c r="C442" i="1"/>
  <c r="D442" i="1"/>
  <c r="E442" i="1"/>
  <c r="F442" i="1"/>
  <c r="G442" i="1"/>
  <c r="H442" i="1"/>
  <c r="I442" i="1"/>
  <c r="J442" i="1"/>
  <c r="K442" i="1"/>
  <c r="L442" i="1"/>
  <c r="M442" i="1"/>
  <c r="B443" i="1"/>
  <c r="C443" i="1"/>
  <c r="D443" i="1"/>
  <c r="E443" i="1"/>
  <c r="F443" i="1"/>
  <c r="G443" i="1"/>
  <c r="H443" i="1"/>
  <c r="I443" i="1"/>
  <c r="J443" i="1"/>
  <c r="K443" i="1"/>
  <c r="L443" i="1"/>
  <c r="M443" i="1"/>
  <c r="B444" i="1"/>
  <c r="C444" i="1"/>
  <c r="D444" i="1"/>
  <c r="E444" i="1"/>
  <c r="F444" i="1"/>
  <c r="G444" i="1"/>
  <c r="H444" i="1"/>
  <c r="I444" i="1"/>
  <c r="J444" i="1"/>
  <c r="K444" i="1"/>
  <c r="L444" i="1"/>
  <c r="M444" i="1"/>
  <c r="B445" i="1"/>
  <c r="C445" i="1"/>
  <c r="D445" i="1"/>
  <c r="E445" i="1"/>
  <c r="F445" i="1"/>
  <c r="G445" i="1"/>
  <c r="H445" i="1"/>
  <c r="I445" i="1"/>
  <c r="J445" i="1"/>
  <c r="K445" i="1"/>
  <c r="L445" i="1"/>
  <c r="M445" i="1"/>
  <c r="B446" i="1"/>
  <c r="C446" i="1"/>
  <c r="D446" i="1"/>
  <c r="E446" i="1"/>
  <c r="F446" i="1"/>
  <c r="G446" i="1"/>
  <c r="H446" i="1"/>
  <c r="I446" i="1"/>
  <c r="J446" i="1"/>
  <c r="K446" i="1"/>
  <c r="L446" i="1"/>
  <c r="M446" i="1"/>
  <c r="B447" i="1"/>
  <c r="C447" i="1"/>
  <c r="D447" i="1"/>
  <c r="E447" i="1"/>
  <c r="F447" i="1"/>
  <c r="G447" i="1"/>
  <c r="H447" i="1"/>
  <c r="I447" i="1"/>
  <c r="J447" i="1"/>
  <c r="K447" i="1"/>
  <c r="L447" i="1"/>
  <c r="M447" i="1"/>
  <c r="B448" i="1"/>
  <c r="C448" i="1"/>
  <c r="D448" i="1"/>
  <c r="E448" i="1"/>
  <c r="F448" i="1"/>
  <c r="G448" i="1"/>
  <c r="H448" i="1"/>
  <c r="I448" i="1"/>
  <c r="J448" i="1"/>
  <c r="K448" i="1"/>
  <c r="L448" i="1"/>
  <c r="M448" i="1"/>
  <c r="B449" i="1"/>
  <c r="C449" i="1"/>
  <c r="D449" i="1"/>
  <c r="E449" i="1"/>
  <c r="F449" i="1"/>
  <c r="G449" i="1"/>
  <c r="H449" i="1"/>
  <c r="I449" i="1"/>
  <c r="J449" i="1"/>
  <c r="K449" i="1"/>
  <c r="L449" i="1"/>
  <c r="M449" i="1"/>
  <c r="B450" i="1"/>
  <c r="C450" i="1"/>
  <c r="D450" i="1"/>
  <c r="E450" i="1"/>
  <c r="F450" i="1"/>
  <c r="G450" i="1"/>
  <c r="H450" i="1"/>
  <c r="I450" i="1"/>
  <c r="J450" i="1"/>
  <c r="K450" i="1"/>
  <c r="L450" i="1"/>
  <c r="M450" i="1"/>
  <c r="B451" i="1"/>
  <c r="C451" i="1"/>
  <c r="D451" i="1"/>
  <c r="E451" i="1"/>
  <c r="F451" i="1"/>
  <c r="G451" i="1"/>
  <c r="H451" i="1"/>
  <c r="I451" i="1"/>
  <c r="J451" i="1"/>
  <c r="K451" i="1"/>
  <c r="L451" i="1"/>
  <c r="M451" i="1"/>
  <c r="B452" i="1"/>
  <c r="C452" i="1"/>
  <c r="D452" i="1"/>
  <c r="E452" i="1"/>
  <c r="F452" i="1"/>
  <c r="G452" i="1"/>
  <c r="H452" i="1"/>
  <c r="I452" i="1"/>
  <c r="J452" i="1"/>
  <c r="K452" i="1"/>
  <c r="L452" i="1"/>
  <c r="M452" i="1"/>
  <c r="B453" i="1"/>
  <c r="C453" i="1"/>
  <c r="D453" i="1"/>
  <c r="E453" i="1"/>
  <c r="F453" i="1"/>
  <c r="G453" i="1"/>
  <c r="H453" i="1"/>
  <c r="I453" i="1"/>
  <c r="J453" i="1"/>
  <c r="K453" i="1"/>
  <c r="L453" i="1"/>
  <c r="M453" i="1"/>
  <c r="B454" i="1"/>
  <c r="C454" i="1"/>
  <c r="D454" i="1"/>
  <c r="E454" i="1"/>
  <c r="F454" i="1"/>
  <c r="G454" i="1"/>
  <c r="H454" i="1"/>
  <c r="I454" i="1"/>
  <c r="J454" i="1"/>
  <c r="K454" i="1"/>
  <c r="L454" i="1"/>
  <c r="M454" i="1"/>
  <c r="B455" i="1"/>
  <c r="C455" i="1"/>
  <c r="D455" i="1"/>
  <c r="E455" i="1"/>
  <c r="F455" i="1"/>
  <c r="G455" i="1"/>
  <c r="H455" i="1"/>
  <c r="I455" i="1"/>
  <c r="J455" i="1"/>
  <c r="K455" i="1"/>
  <c r="L455" i="1"/>
  <c r="M455" i="1"/>
  <c r="B456" i="1"/>
  <c r="C456" i="1"/>
  <c r="D456" i="1"/>
  <c r="E456" i="1"/>
  <c r="F456" i="1"/>
  <c r="G456" i="1"/>
  <c r="H456" i="1"/>
  <c r="I456" i="1"/>
  <c r="J456" i="1"/>
  <c r="K456" i="1"/>
  <c r="L456" i="1"/>
  <c r="M456" i="1"/>
  <c r="B457" i="1"/>
  <c r="C457" i="1"/>
  <c r="D457" i="1"/>
  <c r="E457" i="1"/>
  <c r="F457" i="1"/>
  <c r="G457" i="1"/>
  <c r="H457" i="1"/>
  <c r="I457" i="1"/>
  <c r="J457" i="1"/>
  <c r="K457" i="1"/>
  <c r="L457" i="1"/>
  <c r="M457" i="1"/>
  <c r="B458" i="1"/>
  <c r="C458" i="1"/>
  <c r="D458" i="1"/>
  <c r="E458" i="1"/>
  <c r="F458" i="1"/>
  <c r="G458" i="1"/>
  <c r="H458" i="1"/>
  <c r="I458" i="1"/>
  <c r="J458" i="1"/>
  <c r="K458" i="1"/>
  <c r="L458" i="1"/>
  <c r="M458" i="1"/>
  <c r="B459" i="1"/>
  <c r="C459" i="1"/>
  <c r="D459" i="1"/>
  <c r="E459" i="1"/>
  <c r="F459" i="1"/>
  <c r="G459" i="1"/>
  <c r="H459" i="1"/>
  <c r="I459" i="1"/>
  <c r="J459" i="1"/>
  <c r="K459" i="1"/>
  <c r="L459" i="1"/>
  <c r="M459" i="1"/>
  <c r="B460" i="1"/>
  <c r="C460" i="1"/>
  <c r="D460" i="1"/>
  <c r="E460" i="1"/>
  <c r="F460" i="1"/>
  <c r="G460" i="1"/>
  <c r="H460" i="1"/>
  <c r="I460" i="1"/>
  <c r="J460" i="1"/>
  <c r="K460" i="1"/>
  <c r="L460" i="1"/>
  <c r="M460" i="1"/>
  <c r="B461" i="1"/>
  <c r="C461" i="1"/>
  <c r="D461" i="1"/>
  <c r="E461" i="1"/>
  <c r="F461" i="1"/>
  <c r="G461" i="1"/>
  <c r="H461" i="1"/>
  <c r="I461" i="1"/>
  <c r="J461" i="1"/>
  <c r="K461" i="1"/>
  <c r="L461" i="1"/>
  <c r="M461" i="1"/>
  <c r="B462" i="1"/>
  <c r="C462" i="1"/>
  <c r="D462" i="1"/>
  <c r="E462" i="1"/>
  <c r="F462" i="1"/>
  <c r="G462" i="1"/>
  <c r="H462" i="1"/>
  <c r="I462" i="1"/>
  <c r="J462" i="1"/>
  <c r="K462" i="1"/>
  <c r="L462" i="1"/>
  <c r="M462" i="1"/>
  <c r="B463" i="1"/>
  <c r="C463" i="1"/>
  <c r="D463" i="1"/>
  <c r="E463" i="1"/>
  <c r="F463" i="1"/>
  <c r="G463" i="1"/>
  <c r="H463" i="1"/>
  <c r="I463" i="1"/>
  <c r="J463" i="1"/>
  <c r="K463" i="1"/>
  <c r="L463" i="1"/>
  <c r="M463" i="1"/>
  <c r="B464" i="1"/>
  <c r="C464" i="1"/>
  <c r="D464" i="1"/>
  <c r="E464" i="1"/>
  <c r="F464" i="1"/>
  <c r="G464" i="1"/>
  <c r="H464" i="1"/>
  <c r="I464" i="1"/>
  <c r="J464" i="1"/>
  <c r="K464" i="1"/>
  <c r="L464" i="1"/>
  <c r="M464" i="1"/>
  <c r="B465" i="1"/>
  <c r="C465" i="1"/>
  <c r="D465" i="1"/>
  <c r="E465" i="1"/>
  <c r="F465" i="1"/>
  <c r="G465" i="1"/>
  <c r="H465" i="1"/>
  <c r="I465" i="1"/>
  <c r="J465" i="1"/>
  <c r="K465" i="1"/>
  <c r="L465" i="1"/>
  <c r="M465" i="1"/>
  <c r="B466" i="1"/>
  <c r="C466" i="1"/>
  <c r="D466" i="1"/>
  <c r="E466" i="1"/>
  <c r="F466" i="1"/>
  <c r="G466" i="1"/>
  <c r="H466" i="1"/>
  <c r="I466" i="1"/>
  <c r="J466" i="1"/>
  <c r="K466" i="1"/>
  <c r="L466" i="1"/>
  <c r="M466" i="1"/>
  <c r="B467" i="1"/>
  <c r="C467" i="1"/>
  <c r="D467" i="1"/>
  <c r="E467" i="1"/>
  <c r="F467" i="1"/>
  <c r="G467" i="1"/>
  <c r="H467" i="1"/>
  <c r="I467" i="1"/>
  <c r="J467" i="1"/>
  <c r="K467" i="1"/>
  <c r="L467" i="1"/>
  <c r="M467" i="1"/>
  <c r="B468" i="1"/>
  <c r="C468" i="1"/>
  <c r="D468" i="1"/>
  <c r="E468" i="1"/>
  <c r="F468" i="1"/>
  <c r="G468" i="1"/>
  <c r="H468" i="1"/>
  <c r="I468" i="1"/>
  <c r="J468" i="1"/>
  <c r="K468" i="1"/>
  <c r="L468" i="1"/>
  <c r="M468" i="1"/>
  <c r="B469" i="1"/>
  <c r="C469" i="1"/>
  <c r="D469" i="1"/>
  <c r="E469" i="1"/>
  <c r="F469" i="1"/>
  <c r="G469" i="1"/>
  <c r="H469" i="1"/>
  <c r="I469" i="1"/>
  <c r="J469" i="1"/>
  <c r="K469" i="1"/>
  <c r="L469" i="1"/>
  <c r="M469" i="1"/>
  <c r="B470" i="1"/>
  <c r="C470" i="1"/>
  <c r="D470" i="1"/>
  <c r="E470" i="1"/>
  <c r="F470" i="1"/>
  <c r="G470" i="1"/>
  <c r="H470" i="1"/>
  <c r="I470" i="1"/>
  <c r="J470" i="1"/>
  <c r="K470" i="1"/>
  <c r="L470" i="1"/>
  <c r="M470" i="1"/>
  <c r="B471" i="1"/>
  <c r="C471" i="1"/>
  <c r="D471" i="1"/>
  <c r="E471" i="1"/>
  <c r="F471" i="1"/>
  <c r="G471" i="1"/>
  <c r="H471" i="1"/>
  <c r="I471" i="1"/>
  <c r="J471" i="1"/>
  <c r="K471" i="1"/>
  <c r="L471" i="1"/>
  <c r="M471" i="1"/>
  <c r="B472" i="1"/>
  <c r="C472" i="1"/>
  <c r="D472" i="1"/>
  <c r="E472" i="1"/>
  <c r="F472" i="1"/>
  <c r="G472" i="1"/>
  <c r="H472" i="1"/>
  <c r="I472" i="1"/>
  <c r="J472" i="1"/>
  <c r="K472" i="1"/>
  <c r="L472" i="1"/>
  <c r="M472" i="1"/>
  <c r="B473" i="1"/>
  <c r="C473" i="1"/>
  <c r="D473" i="1"/>
  <c r="E473" i="1"/>
  <c r="F473" i="1"/>
  <c r="G473" i="1"/>
  <c r="H473" i="1"/>
  <c r="I473" i="1"/>
  <c r="J473" i="1"/>
  <c r="K473" i="1"/>
  <c r="L473" i="1"/>
  <c r="M473" i="1"/>
  <c r="B474" i="1"/>
  <c r="C474" i="1"/>
  <c r="D474" i="1"/>
  <c r="E474" i="1"/>
  <c r="F474" i="1"/>
  <c r="G474" i="1"/>
  <c r="H474" i="1"/>
  <c r="I474" i="1"/>
  <c r="J474" i="1"/>
  <c r="K474" i="1"/>
  <c r="L474" i="1"/>
  <c r="M474" i="1"/>
  <c r="B475" i="1"/>
  <c r="C475" i="1"/>
  <c r="D475" i="1"/>
  <c r="E475" i="1"/>
  <c r="F475" i="1"/>
  <c r="G475" i="1"/>
  <c r="H475" i="1"/>
  <c r="I475" i="1"/>
  <c r="J475" i="1"/>
  <c r="K475" i="1"/>
  <c r="L475" i="1"/>
  <c r="M475" i="1"/>
  <c r="B476" i="1"/>
  <c r="C476" i="1"/>
  <c r="D476" i="1"/>
  <c r="E476" i="1"/>
  <c r="F476" i="1"/>
  <c r="G476" i="1"/>
  <c r="H476" i="1"/>
  <c r="I476" i="1"/>
  <c r="J476" i="1"/>
  <c r="K476" i="1"/>
  <c r="L476" i="1"/>
  <c r="M476" i="1"/>
  <c r="B477" i="1"/>
  <c r="C477" i="1"/>
  <c r="D477" i="1"/>
  <c r="E477" i="1"/>
  <c r="F477" i="1"/>
  <c r="G477" i="1"/>
  <c r="H477" i="1"/>
  <c r="I477" i="1"/>
  <c r="J477" i="1"/>
  <c r="K477" i="1"/>
  <c r="L477" i="1"/>
  <c r="M477" i="1"/>
  <c r="B478" i="1"/>
  <c r="C478" i="1"/>
  <c r="D478" i="1"/>
  <c r="E478" i="1"/>
  <c r="F478" i="1"/>
  <c r="G478" i="1"/>
  <c r="H478" i="1"/>
  <c r="I478" i="1"/>
  <c r="J478" i="1"/>
  <c r="K478" i="1"/>
  <c r="L478" i="1"/>
  <c r="M478" i="1"/>
  <c r="B479" i="1"/>
  <c r="C479" i="1"/>
  <c r="D479" i="1"/>
  <c r="E479" i="1"/>
  <c r="F479" i="1"/>
  <c r="G479" i="1"/>
  <c r="H479" i="1"/>
  <c r="I479" i="1"/>
  <c r="J479" i="1"/>
  <c r="K479" i="1"/>
  <c r="L479" i="1"/>
  <c r="M479" i="1"/>
  <c r="B480" i="1"/>
  <c r="C480" i="1"/>
  <c r="D480" i="1"/>
  <c r="E480" i="1"/>
  <c r="F480" i="1"/>
  <c r="G480" i="1"/>
  <c r="H480" i="1"/>
  <c r="I480" i="1"/>
  <c r="J480" i="1"/>
  <c r="K480" i="1"/>
  <c r="L480" i="1"/>
  <c r="M480" i="1"/>
  <c r="B481" i="1"/>
  <c r="C481" i="1"/>
  <c r="D481" i="1"/>
  <c r="E481" i="1"/>
  <c r="F481" i="1"/>
  <c r="G481" i="1"/>
  <c r="H481" i="1"/>
  <c r="I481" i="1"/>
  <c r="J481" i="1"/>
  <c r="K481" i="1"/>
  <c r="L481" i="1"/>
  <c r="M481" i="1"/>
  <c r="B482" i="1"/>
  <c r="C482" i="1"/>
  <c r="D482" i="1"/>
  <c r="E482" i="1"/>
  <c r="F482" i="1"/>
  <c r="G482" i="1"/>
  <c r="H482" i="1"/>
  <c r="I482" i="1"/>
  <c r="J482" i="1"/>
  <c r="K482" i="1"/>
  <c r="L482" i="1"/>
  <c r="M482" i="1"/>
  <c r="B483" i="1"/>
  <c r="C483" i="1"/>
  <c r="D483" i="1"/>
  <c r="E483" i="1"/>
  <c r="F483" i="1"/>
  <c r="G483" i="1"/>
  <c r="H483" i="1"/>
  <c r="I483" i="1"/>
  <c r="J483" i="1"/>
  <c r="K483" i="1"/>
  <c r="L483" i="1"/>
  <c r="M483" i="1"/>
  <c r="B484" i="1"/>
  <c r="C484" i="1"/>
  <c r="D484" i="1"/>
  <c r="E484" i="1"/>
  <c r="F484" i="1"/>
  <c r="G484" i="1"/>
  <c r="H484" i="1"/>
  <c r="I484" i="1"/>
  <c r="J484" i="1"/>
  <c r="K484" i="1"/>
  <c r="L484" i="1"/>
  <c r="M484" i="1"/>
  <c r="B485" i="1"/>
  <c r="C485" i="1"/>
  <c r="D485" i="1"/>
  <c r="E485" i="1"/>
  <c r="F485" i="1"/>
  <c r="G485" i="1"/>
  <c r="H485" i="1"/>
  <c r="I485" i="1"/>
  <c r="J485" i="1"/>
  <c r="K485" i="1"/>
  <c r="L485" i="1"/>
  <c r="M485" i="1"/>
  <c r="B486" i="1"/>
  <c r="C486" i="1"/>
  <c r="D486" i="1"/>
  <c r="E486" i="1"/>
  <c r="F486" i="1"/>
  <c r="G486" i="1"/>
  <c r="H486" i="1"/>
  <c r="I486" i="1"/>
  <c r="J486" i="1"/>
  <c r="K486" i="1"/>
  <c r="L486" i="1"/>
  <c r="M486" i="1"/>
  <c r="B487" i="1"/>
  <c r="C487" i="1"/>
  <c r="D487" i="1"/>
  <c r="E487" i="1"/>
  <c r="F487" i="1"/>
  <c r="G487" i="1"/>
  <c r="H487" i="1"/>
  <c r="I487" i="1"/>
  <c r="J487" i="1"/>
  <c r="K487" i="1"/>
  <c r="L487" i="1"/>
  <c r="M487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B489" i="1"/>
  <c r="C489" i="1"/>
  <c r="D489" i="1"/>
  <c r="E489" i="1"/>
  <c r="F489" i="1"/>
  <c r="G489" i="1"/>
  <c r="H489" i="1"/>
  <c r="I489" i="1"/>
  <c r="J489" i="1"/>
  <c r="K489" i="1"/>
  <c r="L489" i="1"/>
  <c r="M489" i="1"/>
  <c r="B490" i="1"/>
  <c r="C490" i="1"/>
  <c r="D490" i="1"/>
  <c r="E490" i="1"/>
  <c r="F490" i="1"/>
  <c r="G490" i="1"/>
  <c r="H490" i="1"/>
  <c r="I490" i="1"/>
  <c r="J490" i="1"/>
  <c r="K490" i="1"/>
  <c r="L490" i="1"/>
  <c r="M490" i="1"/>
  <c r="B491" i="1"/>
  <c r="C491" i="1"/>
  <c r="D491" i="1"/>
  <c r="E491" i="1"/>
  <c r="F491" i="1"/>
  <c r="G491" i="1"/>
  <c r="H491" i="1"/>
  <c r="I491" i="1"/>
  <c r="J491" i="1"/>
  <c r="K491" i="1"/>
  <c r="L491" i="1"/>
  <c r="M491" i="1"/>
  <c r="B492" i="1"/>
  <c r="C492" i="1"/>
  <c r="D492" i="1"/>
  <c r="E492" i="1"/>
  <c r="F492" i="1"/>
  <c r="G492" i="1"/>
  <c r="H492" i="1"/>
  <c r="I492" i="1"/>
  <c r="J492" i="1"/>
  <c r="K492" i="1"/>
  <c r="L492" i="1"/>
  <c r="M492" i="1"/>
  <c r="B493" i="1"/>
  <c r="C493" i="1"/>
  <c r="D493" i="1"/>
  <c r="E493" i="1"/>
  <c r="F493" i="1"/>
  <c r="G493" i="1"/>
  <c r="H493" i="1"/>
  <c r="I493" i="1"/>
  <c r="J493" i="1"/>
  <c r="K493" i="1"/>
  <c r="L493" i="1"/>
  <c r="M493" i="1"/>
  <c r="B494" i="1"/>
  <c r="C494" i="1"/>
  <c r="D494" i="1"/>
  <c r="E494" i="1"/>
  <c r="F494" i="1"/>
  <c r="G494" i="1"/>
  <c r="H494" i="1"/>
  <c r="I494" i="1"/>
  <c r="J494" i="1"/>
  <c r="K494" i="1"/>
  <c r="L494" i="1"/>
  <c r="M494" i="1"/>
  <c r="B495" i="1"/>
  <c r="C495" i="1"/>
  <c r="D495" i="1"/>
  <c r="E495" i="1"/>
  <c r="F495" i="1"/>
  <c r="G495" i="1"/>
  <c r="H495" i="1"/>
  <c r="I495" i="1"/>
  <c r="J495" i="1"/>
  <c r="K495" i="1"/>
  <c r="L495" i="1"/>
  <c r="M495" i="1"/>
  <c r="B496" i="1"/>
  <c r="C496" i="1"/>
  <c r="D496" i="1"/>
  <c r="E496" i="1"/>
  <c r="F496" i="1"/>
  <c r="G496" i="1"/>
  <c r="H496" i="1"/>
  <c r="I496" i="1"/>
  <c r="J496" i="1"/>
  <c r="K496" i="1"/>
  <c r="L496" i="1"/>
  <c r="M496" i="1"/>
  <c r="B497" i="1"/>
  <c r="C497" i="1"/>
  <c r="D497" i="1"/>
  <c r="E497" i="1"/>
  <c r="F497" i="1"/>
  <c r="G497" i="1"/>
  <c r="H497" i="1"/>
  <c r="I497" i="1"/>
  <c r="J497" i="1"/>
  <c r="K497" i="1"/>
  <c r="L497" i="1"/>
  <c r="M497" i="1"/>
  <c r="B498" i="1"/>
  <c r="C498" i="1"/>
  <c r="D498" i="1"/>
  <c r="E498" i="1"/>
  <c r="F498" i="1"/>
  <c r="G498" i="1"/>
  <c r="H498" i="1"/>
  <c r="I498" i="1"/>
  <c r="J498" i="1"/>
  <c r="K498" i="1"/>
  <c r="L498" i="1"/>
  <c r="M498" i="1"/>
  <c r="B499" i="1"/>
  <c r="C499" i="1"/>
  <c r="D499" i="1"/>
  <c r="E499" i="1"/>
  <c r="F499" i="1"/>
  <c r="G499" i="1"/>
  <c r="H499" i="1"/>
  <c r="I499" i="1"/>
  <c r="J499" i="1"/>
  <c r="K499" i="1"/>
  <c r="L499" i="1"/>
  <c r="M499" i="1"/>
  <c r="B500" i="1"/>
  <c r="C500" i="1"/>
  <c r="D500" i="1"/>
  <c r="E500" i="1"/>
  <c r="F500" i="1"/>
  <c r="G500" i="1"/>
  <c r="H500" i="1"/>
  <c r="I500" i="1"/>
  <c r="J500" i="1"/>
  <c r="K500" i="1"/>
  <c r="L500" i="1"/>
  <c r="M500" i="1"/>
  <c r="B501" i="1"/>
  <c r="C501" i="1"/>
  <c r="D501" i="1"/>
  <c r="E501" i="1"/>
  <c r="F501" i="1"/>
  <c r="G501" i="1"/>
  <c r="H501" i="1"/>
  <c r="I501" i="1"/>
  <c r="J501" i="1"/>
  <c r="K501" i="1"/>
  <c r="L501" i="1"/>
  <c r="M501" i="1"/>
  <c r="M1" i="1"/>
  <c r="L1" i="1"/>
  <c r="C1" i="1"/>
  <c r="D1" i="1"/>
  <c r="E1" i="1"/>
  <c r="F1" i="1"/>
  <c r="G1" i="1"/>
  <c r="H1" i="1"/>
  <c r="I1" i="1"/>
  <c r="J1" i="1"/>
  <c r="K1" i="1"/>
  <c r="B1" i="1"/>
  <c r="I235" i="3" l="1"/>
  <c r="G235" i="3"/>
  <c r="I219" i="3"/>
  <c r="J219" i="3" s="1"/>
  <c r="G219" i="3"/>
  <c r="I187" i="3"/>
  <c r="G187" i="3"/>
  <c r="H501" i="3"/>
  <c r="J501" i="3" s="1"/>
  <c r="G501" i="3"/>
  <c r="H497" i="3"/>
  <c r="G497" i="3"/>
  <c r="H493" i="3"/>
  <c r="J493" i="3" s="1"/>
  <c r="G493" i="3"/>
  <c r="H487" i="3"/>
  <c r="G487" i="3"/>
  <c r="H485" i="3"/>
  <c r="J485" i="3" s="1"/>
  <c r="G485" i="3"/>
  <c r="H481" i="3"/>
  <c r="G481" i="3"/>
  <c r="H477" i="3"/>
  <c r="J477" i="3" s="1"/>
  <c r="G477" i="3"/>
  <c r="H471" i="3"/>
  <c r="G471" i="3"/>
  <c r="H467" i="3"/>
  <c r="J467" i="3" s="1"/>
  <c r="G467" i="3"/>
  <c r="H463" i="3"/>
  <c r="G463" i="3"/>
  <c r="H459" i="3"/>
  <c r="J459" i="3" s="1"/>
  <c r="G459" i="3"/>
  <c r="H455" i="3"/>
  <c r="G455" i="3"/>
  <c r="H451" i="3"/>
  <c r="J451" i="3" s="1"/>
  <c r="G451" i="3"/>
  <c r="H447" i="3"/>
  <c r="G447" i="3"/>
  <c r="H445" i="3"/>
  <c r="J445" i="3" s="1"/>
  <c r="G445" i="3"/>
  <c r="H441" i="3"/>
  <c r="G441" i="3"/>
  <c r="H439" i="3"/>
  <c r="J439" i="3" s="1"/>
  <c r="G439" i="3"/>
  <c r="H435" i="3"/>
  <c r="G435" i="3"/>
  <c r="H431" i="3"/>
  <c r="J431" i="3" s="1"/>
  <c r="G431" i="3"/>
  <c r="H427" i="3"/>
  <c r="G427" i="3"/>
  <c r="H425" i="3"/>
  <c r="J425" i="3" s="1"/>
  <c r="G425" i="3"/>
  <c r="H421" i="3"/>
  <c r="J421" i="3" s="1"/>
  <c r="G421" i="3"/>
  <c r="H417" i="3"/>
  <c r="J417" i="3" s="1"/>
  <c r="G417" i="3"/>
  <c r="H415" i="3"/>
  <c r="G415" i="3"/>
  <c r="H411" i="3"/>
  <c r="J411" i="3" s="1"/>
  <c r="G411" i="3"/>
  <c r="H407" i="3"/>
  <c r="G407" i="3"/>
  <c r="H401" i="3"/>
  <c r="J401" i="3" s="1"/>
  <c r="G401" i="3"/>
  <c r="H397" i="3"/>
  <c r="J397" i="3" s="1"/>
  <c r="G397" i="3"/>
  <c r="H395" i="3"/>
  <c r="J395" i="3" s="1"/>
  <c r="G395" i="3"/>
  <c r="H391" i="3"/>
  <c r="G391" i="3"/>
  <c r="H389" i="3"/>
  <c r="J389" i="3" s="1"/>
  <c r="G389" i="3"/>
  <c r="H385" i="3"/>
  <c r="G385" i="3"/>
  <c r="H381" i="3"/>
  <c r="J381" i="3" s="1"/>
  <c r="G381" i="3"/>
  <c r="H377" i="3"/>
  <c r="G377" i="3"/>
  <c r="H373" i="3"/>
  <c r="J373" i="3" s="1"/>
  <c r="G373" i="3"/>
  <c r="H367" i="3"/>
  <c r="G367" i="3"/>
  <c r="H365" i="3"/>
  <c r="J365" i="3" s="1"/>
  <c r="G365" i="3"/>
  <c r="H361" i="3"/>
  <c r="G361" i="3"/>
  <c r="H357" i="3"/>
  <c r="J357" i="3" s="1"/>
  <c r="G357" i="3"/>
  <c r="H353" i="3"/>
  <c r="G353" i="3"/>
  <c r="H349" i="3"/>
  <c r="J349" i="3" s="1"/>
  <c r="G349" i="3"/>
  <c r="H345" i="3"/>
  <c r="G345" i="3"/>
  <c r="H341" i="3"/>
  <c r="J341" i="3" s="1"/>
  <c r="G341" i="3"/>
  <c r="H337" i="3"/>
  <c r="G337" i="3"/>
  <c r="H333" i="3"/>
  <c r="J333" i="3" s="1"/>
  <c r="G333" i="3"/>
  <c r="H329" i="3"/>
  <c r="G329" i="3"/>
  <c r="H327" i="3"/>
  <c r="J327" i="3" s="1"/>
  <c r="G327" i="3"/>
  <c r="H323" i="3"/>
  <c r="J323" i="3" s="1"/>
  <c r="G323" i="3"/>
  <c r="H319" i="3"/>
  <c r="J319" i="3" s="1"/>
  <c r="G319" i="3"/>
  <c r="H315" i="3"/>
  <c r="G315" i="3"/>
  <c r="H311" i="3"/>
  <c r="J311" i="3" s="1"/>
  <c r="G311" i="3"/>
  <c r="H309" i="3"/>
  <c r="G309" i="3"/>
  <c r="H305" i="3"/>
  <c r="J305" i="3" s="1"/>
  <c r="G305" i="3"/>
  <c r="H301" i="3"/>
  <c r="G301" i="3"/>
  <c r="J291" i="3"/>
  <c r="H287" i="3"/>
  <c r="J287" i="3" s="1"/>
  <c r="G287" i="3"/>
  <c r="H285" i="3"/>
  <c r="J285" i="3" s="1"/>
  <c r="G285" i="3"/>
  <c r="H281" i="3"/>
  <c r="J281" i="3" s="1"/>
  <c r="G281" i="3"/>
  <c r="H279" i="3"/>
  <c r="J279" i="3" s="1"/>
  <c r="G279" i="3"/>
  <c r="H277" i="3"/>
  <c r="J277" i="3" s="1"/>
  <c r="G277" i="3"/>
  <c r="J275" i="3"/>
  <c r="H273" i="3"/>
  <c r="J273" i="3" s="1"/>
  <c r="G273" i="3"/>
  <c r="G259" i="3"/>
  <c r="G195" i="3"/>
  <c r="F499" i="3"/>
  <c r="F495" i="3"/>
  <c r="F491" i="3"/>
  <c r="F489" i="3"/>
  <c r="F485" i="3"/>
  <c r="F481" i="3"/>
  <c r="F477" i="3"/>
  <c r="F473" i="3"/>
  <c r="F469" i="3"/>
  <c r="F465" i="3"/>
  <c r="F461" i="3"/>
  <c r="F457" i="3"/>
  <c r="F453" i="3"/>
  <c r="F449" i="3"/>
  <c r="F445" i="3"/>
  <c r="F439" i="3"/>
  <c r="F435" i="3"/>
  <c r="F431" i="3"/>
  <c r="F427" i="3"/>
  <c r="F423" i="3"/>
  <c r="F419" i="3"/>
  <c r="F415" i="3"/>
  <c r="F411" i="3"/>
  <c r="F407" i="3"/>
  <c r="F403" i="3"/>
  <c r="F399" i="3"/>
  <c r="F397" i="3"/>
  <c r="F393" i="3"/>
  <c r="F387" i="3"/>
  <c r="F383" i="3"/>
  <c r="F379" i="3"/>
  <c r="F377" i="3"/>
  <c r="F371" i="3"/>
  <c r="F367" i="3"/>
  <c r="F363" i="3"/>
  <c r="F361" i="3"/>
  <c r="F355" i="3"/>
  <c r="F351" i="3"/>
  <c r="F349" i="3"/>
  <c r="F345" i="3"/>
  <c r="F341" i="3"/>
  <c r="F337" i="3"/>
  <c r="F333" i="3"/>
  <c r="F329" i="3"/>
  <c r="F325" i="3"/>
  <c r="F321" i="3"/>
  <c r="F317" i="3"/>
  <c r="F313" i="3"/>
  <c r="F309" i="3"/>
  <c r="F305" i="3"/>
  <c r="F301" i="3"/>
  <c r="F295" i="3"/>
  <c r="F279" i="3"/>
  <c r="F263" i="3"/>
  <c r="F239" i="3"/>
  <c r="F231" i="3"/>
  <c r="F215" i="3"/>
  <c r="F199" i="3"/>
  <c r="F175" i="3"/>
  <c r="I4" i="3"/>
  <c r="B1" i="3"/>
  <c r="I472" i="3"/>
  <c r="I470" i="3"/>
  <c r="I468" i="3"/>
  <c r="I466" i="3"/>
  <c r="I464" i="3"/>
  <c r="I462" i="3"/>
  <c r="I460" i="3"/>
  <c r="I458" i="3"/>
  <c r="I456" i="3"/>
  <c r="I454" i="3"/>
  <c r="I452" i="3"/>
  <c r="I450" i="3"/>
  <c r="I448" i="3"/>
  <c r="I446" i="3"/>
  <c r="I444" i="3"/>
  <c r="I442" i="3"/>
  <c r="I440" i="3"/>
  <c r="I438" i="3"/>
  <c r="I436" i="3"/>
  <c r="I434" i="3"/>
  <c r="I432" i="3"/>
  <c r="I430" i="3"/>
  <c r="I428" i="3"/>
  <c r="I426" i="3"/>
  <c r="I424" i="3"/>
  <c r="I422" i="3"/>
  <c r="I420" i="3"/>
  <c r="I418" i="3"/>
  <c r="I416" i="3"/>
  <c r="I414" i="3"/>
  <c r="I412" i="3"/>
  <c r="I410" i="3"/>
  <c r="I408" i="3"/>
  <c r="I406" i="3"/>
  <c r="I404" i="3"/>
  <c r="G496" i="3"/>
  <c r="G480" i="3"/>
  <c r="G464" i="3"/>
  <c r="G448" i="3"/>
  <c r="G432" i="3"/>
  <c r="G416" i="3"/>
  <c r="G275" i="3"/>
  <c r="G243" i="3"/>
  <c r="G211" i="3"/>
  <c r="G179" i="3"/>
  <c r="I267" i="3"/>
  <c r="G267" i="3"/>
  <c r="I251" i="3"/>
  <c r="J251" i="3" s="1"/>
  <c r="G251" i="3"/>
  <c r="I203" i="3"/>
  <c r="G203" i="3"/>
  <c r="H503" i="3"/>
  <c r="G503" i="3"/>
  <c r="H499" i="3"/>
  <c r="G499" i="3"/>
  <c r="H495" i="3"/>
  <c r="J495" i="3" s="1"/>
  <c r="G495" i="3"/>
  <c r="H491" i="3"/>
  <c r="G491" i="3"/>
  <c r="H489" i="3"/>
  <c r="J489" i="3" s="1"/>
  <c r="G489" i="3"/>
  <c r="H483" i="3"/>
  <c r="G483" i="3"/>
  <c r="H479" i="3"/>
  <c r="J479" i="3" s="1"/>
  <c r="G479" i="3"/>
  <c r="H475" i="3"/>
  <c r="G475" i="3"/>
  <c r="H473" i="3"/>
  <c r="J473" i="3" s="1"/>
  <c r="G473" i="3"/>
  <c r="H469" i="3"/>
  <c r="J469" i="3" s="1"/>
  <c r="G469" i="3"/>
  <c r="H465" i="3"/>
  <c r="J465" i="3" s="1"/>
  <c r="G465" i="3"/>
  <c r="H461" i="3"/>
  <c r="J461" i="3" s="1"/>
  <c r="G461" i="3"/>
  <c r="H457" i="3"/>
  <c r="J457" i="3" s="1"/>
  <c r="G457" i="3"/>
  <c r="H453" i="3"/>
  <c r="J453" i="3" s="1"/>
  <c r="G453" i="3"/>
  <c r="H449" i="3"/>
  <c r="J449" i="3" s="1"/>
  <c r="G449" i="3"/>
  <c r="H443" i="3"/>
  <c r="G443" i="3"/>
  <c r="H437" i="3"/>
  <c r="J437" i="3" s="1"/>
  <c r="G437" i="3"/>
  <c r="H433" i="3"/>
  <c r="J433" i="3" s="1"/>
  <c r="G433" i="3"/>
  <c r="H429" i="3"/>
  <c r="J429" i="3" s="1"/>
  <c r="G429" i="3"/>
  <c r="H423" i="3"/>
  <c r="J423" i="3" s="1"/>
  <c r="G423" i="3"/>
  <c r="H419" i="3"/>
  <c r="J419" i="3" s="1"/>
  <c r="G419" i="3"/>
  <c r="H413" i="3"/>
  <c r="J413" i="3" s="1"/>
  <c r="G413" i="3"/>
  <c r="H409" i="3"/>
  <c r="J409" i="3" s="1"/>
  <c r="G409" i="3"/>
  <c r="H405" i="3"/>
  <c r="J405" i="3" s="1"/>
  <c r="G405" i="3"/>
  <c r="H403" i="3"/>
  <c r="J403" i="3" s="1"/>
  <c r="G403" i="3"/>
  <c r="H399" i="3"/>
  <c r="G399" i="3"/>
  <c r="H393" i="3"/>
  <c r="J393" i="3" s="1"/>
  <c r="G393" i="3"/>
  <c r="H387" i="3"/>
  <c r="J387" i="3" s="1"/>
  <c r="G387" i="3"/>
  <c r="H383" i="3"/>
  <c r="J383" i="3" s="1"/>
  <c r="G383" i="3"/>
  <c r="H379" i="3"/>
  <c r="J379" i="3" s="1"/>
  <c r="G379" i="3"/>
  <c r="H375" i="3"/>
  <c r="J375" i="3" s="1"/>
  <c r="G375" i="3"/>
  <c r="H371" i="3"/>
  <c r="G371" i="3"/>
  <c r="H369" i="3"/>
  <c r="J369" i="3" s="1"/>
  <c r="G369" i="3"/>
  <c r="H363" i="3"/>
  <c r="G363" i="3"/>
  <c r="H359" i="3"/>
  <c r="J359" i="3" s="1"/>
  <c r="G359" i="3"/>
  <c r="H355" i="3"/>
  <c r="J355" i="3" s="1"/>
  <c r="G355" i="3"/>
  <c r="H351" i="3"/>
  <c r="J351" i="3" s="1"/>
  <c r="G351" i="3"/>
  <c r="H347" i="3"/>
  <c r="G347" i="3"/>
  <c r="H343" i="3"/>
  <c r="J343" i="3" s="1"/>
  <c r="G343" i="3"/>
  <c r="H339" i="3"/>
  <c r="J339" i="3" s="1"/>
  <c r="G339" i="3"/>
  <c r="H335" i="3"/>
  <c r="J335" i="3" s="1"/>
  <c r="G335" i="3"/>
  <c r="H331" i="3"/>
  <c r="J331" i="3" s="1"/>
  <c r="G331" i="3"/>
  <c r="H325" i="3"/>
  <c r="J325" i="3" s="1"/>
  <c r="G325" i="3"/>
  <c r="H321" i="3"/>
  <c r="G321" i="3"/>
  <c r="H317" i="3"/>
  <c r="J317" i="3" s="1"/>
  <c r="G317" i="3"/>
  <c r="H313" i="3"/>
  <c r="G313" i="3"/>
  <c r="H307" i="3"/>
  <c r="J307" i="3" s="1"/>
  <c r="G307" i="3"/>
  <c r="H303" i="3"/>
  <c r="G303" i="3"/>
  <c r="H299" i="3"/>
  <c r="J299" i="3" s="1"/>
  <c r="G299" i="3"/>
  <c r="H297" i="3"/>
  <c r="J297" i="3" s="1"/>
  <c r="G297" i="3"/>
  <c r="H295" i="3"/>
  <c r="J295" i="3" s="1"/>
  <c r="G295" i="3"/>
  <c r="H293" i="3"/>
  <c r="G293" i="3"/>
  <c r="H289" i="3"/>
  <c r="J289" i="3" s="1"/>
  <c r="G289" i="3"/>
  <c r="H283" i="3"/>
  <c r="J283" i="3" s="1"/>
  <c r="G283" i="3"/>
  <c r="G291" i="3"/>
  <c r="G227" i="3"/>
  <c r="F503" i="3"/>
  <c r="F501" i="3"/>
  <c r="F497" i="3"/>
  <c r="F493" i="3"/>
  <c r="F487" i="3"/>
  <c r="F483" i="3"/>
  <c r="F479" i="3"/>
  <c r="F475" i="3"/>
  <c r="F471" i="3"/>
  <c r="F467" i="3"/>
  <c r="F463" i="3"/>
  <c r="F459" i="3"/>
  <c r="F455" i="3"/>
  <c r="F451" i="3"/>
  <c r="F447" i="3"/>
  <c r="F443" i="3"/>
  <c r="F441" i="3"/>
  <c r="F437" i="3"/>
  <c r="F433" i="3"/>
  <c r="F429" i="3"/>
  <c r="F425" i="3"/>
  <c r="F421" i="3"/>
  <c r="F417" i="3"/>
  <c r="F413" i="3"/>
  <c r="F409" i="3"/>
  <c r="F405" i="3"/>
  <c r="F401" i="3"/>
  <c r="F395" i="3"/>
  <c r="F391" i="3"/>
  <c r="F389" i="3"/>
  <c r="F385" i="3"/>
  <c r="F381" i="3"/>
  <c r="F375" i="3"/>
  <c r="F373" i="3"/>
  <c r="F369" i="3"/>
  <c r="F365" i="3"/>
  <c r="F359" i="3"/>
  <c r="F357" i="3"/>
  <c r="F353" i="3"/>
  <c r="F347" i="3"/>
  <c r="F343" i="3"/>
  <c r="F339" i="3"/>
  <c r="F335" i="3"/>
  <c r="F331" i="3"/>
  <c r="F327" i="3"/>
  <c r="F323" i="3"/>
  <c r="F319" i="3"/>
  <c r="F315" i="3"/>
  <c r="F311" i="3"/>
  <c r="F307" i="3"/>
  <c r="F303" i="3"/>
  <c r="F299" i="3"/>
  <c r="F297" i="3"/>
  <c r="F287" i="3"/>
  <c r="F271" i="3"/>
  <c r="F255" i="3"/>
  <c r="F247" i="3"/>
  <c r="F223" i="3"/>
  <c r="F207" i="3"/>
  <c r="F191" i="3"/>
  <c r="F183" i="3"/>
  <c r="C1" i="3"/>
  <c r="F500" i="3"/>
  <c r="F492" i="3"/>
  <c r="F484" i="3"/>
  <c r="F476" i="3"/>
  <c r="F468" i="3"/>
  <c r="F460" i="3"/>
  <c r="F452" i="3"/>
  <c r="F444" i="3"/>
  <c r="F436" i="3"/>
  <c r="F428" i="3"/>
  <c r="F420" i="3"/>
  <c r="F412" i="3"/>
  <c r="F404" i="3"/>
  <c r="F396" i="3"/>
  <c r="F388" i="3"/>
  <c r="F380" i="3"/>
  <c r="F372" i="3"/>
  <c r="F364" i="3"/>
  <c r="F356" i="3"/>
  <c r="F348" i="3"/>
  <c r="F340" i="3"/>
  <c r="F332" i="3"/>
  <c r="F324" i="3"/>
  <c r="F316" i="3"/>
  <c r="F308" i="3"/>
  <c r="I402" i="3"/>
  <c r="I400" i="3"/>
  <c r="I398" i="3"/>
  <c r="I396" i="3"/>
  <c r="I394" i="3"/>
  <c r="I392" i="3"/>
  <c r="I390" i="3"/>
  <c r="I388" i="3"/>
  <c r="I386" i="3"/>
  <c r="I384" i="3"/>
  <c r="I382" i="3"/>
  <c r="I380" i="3"/>
  <c r="I378" i="3"/>
  <c r="I376" i="3"/>
  <c r="I374" i="3"/>
  <c r="I372" i="3"/>
  <c r="I370" i="3"/>
  <c r="I368" i="3"/>
  <c r="I366" i="3"/>
  <c r="I364" i="3"/>
  <c r="I362" i="3"/>
  <c r="I360" i="3"/>
  <c r="I358" i="3"/>
  <c r="I356" i="3"/>
  <c r="I354" i="3"/>
  <c r="I352" i="3"/>
  <c r="I350" i="3"/>
  <c r="I348" i="3"/>
  <c r="I346" i="3"/>
  <c r="I344" i="3"/>
  <c r="I342" i="3"/>
  <c r="I340" i="3"/>
  <c r="I338" i="3"/>
  <c r="I336" i="3"/>
  <c r="I334" i="3"/>
  <c r="I332" i="3"/>
  <c r="I330" i="3"/>
  <c r="I328" i="3"/>
  <c r="I326" i="3"/>
  <c r="I324" i="3"/>
  <c r="I322" i="3"/>
  <c r="I320" i="3"/>
  <c r="I318" i="3"/>
  <c r="I316" i="3"/>
  <c r="I314" i="3"/>
  <c r="I312" i="3"/>
  <c r="I310" i="3"/>
  <c r="I308" i="3"/>
  <c r="I306" i="3"/>
  <c r="I304" i="3"/>
  <c r="I302" i="3"/>
  <c r="I300" i="3"/>
  <c r="I298" i="3"/>
  <c r="I296" i="3"/>
  <c r="I294" i="3"/>
  <c r="I292" i="3"/>
  <c r="I290" i="3"/>
  <c r="I288" i="3"/>
  <c r="I286" i="3"/>
  <c r="I284" i="3"/>
  <c r="I282" i="3"/>
  <c r="I280" i="3"/>
  <c r="I278" i="3"/>
  <c r="I276" i="3"/>
  <c r="I274" i="3"/>
  <c r="I272" i="3"/>
  <c r="I270" i="3"/>
  <c r="I268" i="3"/>
  <c r="I266" i="3"/>
  <c r="I264" i="3"/>
  <c r="I262" i="3"/>
  <c r="I260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I232" i="3"/>
  <c r="I230" i="3"/>
  <c r="I228" i="3"/>
  <c r="I226" i="3"/>
  <c r="I224" i="3"/>
  <c r="I222" i="3"/>
  <c r="I220" i="3"/>
  <c r="I218" i="3"/>
  <c r="I216" i="3"/>
  <c r="I214" i="3"/>
  <c r="I212" i="3"/>
  <c r="I210" i="3"/>
  <c r="I208" i="3"/>
  <c r="I206" i="3"/>
  <c r="I204" i="3"/>
  <c r="I202" i="3"/>
  <c r="I200" i="3"/>
  <c r="I198" i="3"/>
  <c r="I196" i="3"/>
  <c r="I194" i="3"/>
  <c r="I192" i="3"/>
  <c r="I190" i="3"/>
  <c r="I188" i="3"/>
  <c r="I186" i="3"/>
  <c r="I184" i="3"/>
  <c r="I182" i="3"/>
  <c r="I180" i="3"/>
  <c r="I178" i="3"/>
  <c r="I176" i="3"/>
  <c r="I174" i="3"/>
  <c r="I172" i="3"/>
  <c r="I170" i="3"/>
  <c r="I168" i="3"/>
  <c r="I166" i="3"/>
  <c r="I164" i="3"/>
  <c r="I162" i="3"/>
  <c r="I160" i="3"/>
  <c r="I158" i="3"/>
  <c r="I156" i="3"/>
  <c r="I154" i="3"/>
  <c r="I152" i="3"/>
  <c r="I150" i="3"/>
  <c r="I148" i="3"/>
  <c r="I146" i="3"/>
  <c r="I144" i="3"/>
  <c r="I142" i="3"/>
  <c r="I140" i="3"/>
  <c r="I138" i="3"/>
  <c r="I136" i="3"/>
  <c r="I134" i="3"/>
  <c r="I132" i="3"/>
  <c r="I130" i="3"/>
  <c r="I128" i="3"/>
  <c r="I126" i="3"/>
  <c r="I124" i="3"/>
  <c r="I122" i="3"/>
  <c r="I120" i="3"/>
  <c r="I118" i="3"/>
  <c r="I116" i="3"/>
  <c r="I114" i="3"/>
  <c r="I112" i="3"/>
  <c r="I110" i="3"/>
  <c r="I108" i="3"/>
  <c r="I106" i="3"/>
  <c r="I104" i="3"/>
  <c r="I102" i="3"/>
  <c r="I100" i="3"/>
  <c r="I98" i="3"/>
  <c r="I96" i="3"/>
  <c r="I94" i="3"/>
  <c r="I92" i="3"/>
  <c r="I90" i="3"/>
  <c r="I88" i="3"/>
  <c r="I86" i="3"/>
  <c r="I84" i="3"/>
  <c r="I82" i="3"/>
  <c r="I80" i="3"/>
  <c r="I78" i="3"/>
  <c r="I76" i="3"/>
  <c r="I74" i="3"/>
  <c r="I72" i="3"/>
  <c r="I70" i="3"/>
  <c r="I68" i="3"/>
  <c r="I66" i="3"/>
  <c r="I64" i="3"/>
  <c r="I62" i="3"/>
  <c r="I60" i="3"/>
  <c r="I58" i="3"/>
  <c r="I56" i="3"/>
  <c r="I54" i="3"/>
  <c r="I52" i="3"/>
  <c r="I50" i="3"/>
  <c r="I48" i="3"/>
  <c r="I46" i="3"/>
  <c r="I44" i="3"/>
  <c r="I42" i="3"/>
  <c r="I40" i="3"/>
  <c r="I38" i="3"/>
  <c r="I36" i="3"/>
  <c r="I34" i="3"/>
  <c r="I32" i="3"/>
  <c r="I30" i="3"/>
  <c r="I28" i="3"/>
  <c r="I26" i="3"/>
  <c r="I24" i="3"/>
  <c r="I22" i="3"/>
  <c r="I20" i="3"/>
  <c r="I18" i="3"/>
  <c r="I16" i="3"/>
  <c r="I14" i="3"/>
  <c r="I12" i="3"/>
  <c r="I10" i="3"/>
  <c r="I8" i="3"/>
  <c r="I6" i="3"/>
  <c r="D1" i="3"/>
  <c r="H502" i="3"/>
  <c r="J502" i="3" s="1"/>
  <c r="G502" i="3"/>
  <c r="H500" i="3"/>
  <c r="J500" i="3" s="1"/>
  <c r="H498" i="3"/>
  <c r="J498" i="3" s="1"/>
  <c r="G498" i="3"/>
  <c r="H496" i="3"/>
  <c r="J496" i="3" s="1"/>
  <c r="H494" i="3"/>
  <c r="J494" i="3" s="1"/>
  <c r="G494" i="3"/>
  <c r="H492" i="3"/>
  <c r="J492" i="3" s="1"/>
  <c r="H490" i="3"/>
  <c r="J490" i="3" s="1"/>
  <c r="G490" i="3"/>
  <c r="H488" i="3"/>
  <c r="J488" i="3" s="1"/>
  <c r="H486" i="3"/>
  <c r="J486" i="3" s="1"/>
  <c r="G486" i="3"/>
  <c r="H484" i="3"/>
  <c r="J484" i="3" s="1"/>
  <c r="H482" i="3"/>
  <c r="J482" i="3" s="1"/>
  <c r="G482" i="3"/>
  <c r="H480" i="3"/>
  <c r="J480" i="3" s="1"/>
  <c r="H478" i="3"/>
  <c r="J478" i="3" s="1"/>
  <c r="G478" i="3"/>
  <c r="H476" i="3"/>
  <c r="J476" i="3" s="1"/>
  <c r="H474" i="3"/>
  <c r="J474" i="3" s="1"/>
  <c r="G474" i="3"/>
  <c r="H472" i="3"/>
  <c r="H470" i="3"/>
  <c r="G470" i="3"/>
  <c r="H468" i="3"/>
  <c r="J468" i="3" s="1"/>
  <c r="H466" i="3"/>
  <c r="J466" i="3" s="1"/>
  <c r="G466" i="3"/>
  <c r="H464" i="3"/>
  <c r="H462" i="3"/>
  <c r="G462" i="3"/>
  <c r="H460" i="3"/>
  <c r="H458" i="3"/>
  <c r="G458" i="3"/>
  <c r="H456" i="3"/>
  <c r="H454" i="3"/>
  <c r="G454" i="3"/>
  <c r="H452" i="3"/>
  <c r="J452" i="3" s="1"/>
  <c r="H450" i="3"/>
  <c r="J450" i="3" s="1"/>
  <c r="G450" i="3"/>
  <c r="H448" i="3"/>
  <c r="H446" i="3"/>
  <c r="G446" i="3"/>
  <c r="H444" i="3"/>
  <c r="H442" i="3"/>
  <c r="G442" i="3"/>
  <c r="H440" i="3"/>
  <c r="H438" i="3"/>
  <c r="G438" i="3"/>
  <c r="H436" i="3"/>
  <c r="J436" i="3" s="1"/>
  <c r="H434" i="3"/>
  <c r="J434" i="3" s="1"/>
  <c r="G434" i="3"/>
  <c r="H432" i="3"/>
  <c r="H430" i="3"/>
  <c r="G430" i="3"/>
  <c r="H428" i="3"/>
  <c r="H426" i="3"/>
  <c r="G426" i="3"/>
  <c r="H424" i="3"/>
  <c r="H422" i="3"/>
  <c r="G422" i="3"/>
  <c r="H420" i="3"/>
  <c r="J420" i="3" s="1"/>
  <c r="H418" i="3"/>
  <c r="J418" i="3" s="1"/>
  <c r="G418" i="3"/>
  <c r="H416" i="3"/>
  <c r="H414" i="3"/>
  <c r="G414" i="3"/>
  <c r="H412" i="3"/>
  <c r="H410" i="3"/>
  <c r="G410" i="3"/>
  <c r="H408" i="3"/>
  <c r="H406" i="3"/>
  <c r="G406" i="3"/>
  <c r="H404" i="3"/>
  <c r="J404" i="3" s="1"/>
  <c r="H402" i="3"/>
  <c r="G402" i="3"/>
  <c r="H400" i="3"/>
  <c r="J400" i="3" s="1"/>
  <c r="H398" i="3"/>
  <c r="J398" i="3" s="1"/>
  <c r="G398" i="3"/>
  <c r="H396" i="3"/>
  <c r="H394" i="3"/>
  <c r="G394" i="3"/>
  <c r="H392" i="3"/>
  <c r="H390" i="3"/>
  <c r="G390" i="3"/>
  <c r="H388" i="3"/>
  <c r="H386" i="3"/>
  <c r="G386" i="3"/>
  <c r="H384" i="3"/>
  <c r="J384" i="3" s="1"/>
  <c r="H382" i="3"/>
  <c r="J382" i="3" s="1"/>
  <c r="G382" i="3"/>
  <c r="H380" i="3"/>
  <c r="H378" i="3"/>
  <c r="G378" i="3"/>
  <c r="H376" i="3"/>
  <c r="H374" i="3"/>
  <c r="G374" i="3"/>
  <c r="H372" i="3"/>
  <c r="H370" i="3"/>
  <c r="G370" i="3"/>
  <c r="H368" i="3"/>
  <c r="H366" i="3"/>
  <c r="J366" i="3" s="1"/>
  <c r="G366" i="3"/>
  <c r="H364" i="3"/>
  <c r="H362" i="3"/>
  <c r="G362" i="3"/>
  <c r="H360" i="3"/>
  <c r="H358" i="3"/>
  <c r="G358" i="3"/>
  <c r="H356" i="3"/>
  <c r="H354" i="3"/>
  <c r="G354" i="3"/>
  <c r="H352" i="3"/>
  <c r="H350" i="3"/>
  <c r="J350" i="3" s="1"/>
  <c r="G350" i="3"/>
  <c r="H348" i="3"/>
  <c r="H346" i="3"/>
  <c r="G346" i="3"/>
  <c r="H344" i="3"/>
  <c r="H342" i="3"/>
  <c r="G342" i="3"/>
  <c r="H340" i="3"/>
  <c r="H338" i="3"/>
  <c r="G338" i="3"/>
  <c r="H336" i="3"/>
  <c r="J336" i="3" s="1"/>
  <c r="H334" i="3"/>
  <c r="J334" i="3" s="1"/>
  <c r="G334" i="3"/>
  <c r="H332" i="3"/>
  <c r="H330" i="3"/>
  <c r="G330" i="3"/>
  <c r="H328" i="3"/>
  <c r="H326" i="3"/>
  <c r="G326" i="3"/>
  <c r="H324" i="3"/>
  <c r="H322" i="3"/>
  <c r="G322" i="3"/>
  <c r="H320" i="3"/>
  <c r="J320" i="3" s="1"/>
  <c r="H318" i="3"/>
  <c r="G318" i="3"/>
  <c r="H316" i="3"/>
  <c r="H314" i="3"/>
  <c r="G314" i="3"/>
  <c r="H312" i="3"/>
  <c r="H310" i="3"/>
  <c r="G310" i="3"/>
  <c r="H308" i="3"/>
  <c r="H306" i="3"/>
  <c r="G306" i="3"/>
  <c r="H304" i="3"/>
  <c r="J304" i="3" s="1"/>
  <c r="H302" i="3"/>
  <c r="J302" i="3" s="1"/>
  <c r="G302" i="3"/>
  <c r="H300" i="3"/>
  <c r="G300" i="3"/>
  <c r="H298" i="3"/>
  <c r="G298" i="3"/>
  <c r="H296" i="3"/>
  <c r="G296" i="3"/>
  <c r="H294" i="3"/>
  <c r="J294" i="3" s="1"/>
  <c r="G294" i="3"/>
  <c r="H292" i="3"/>
  <c r="G292" i="3"/>
  <c r="H290" i="3"/>
  <c r="G290" i="3"/>
  <c r="H288" i="3"/>
  <c r="G288" i="3"/>
  <c r="H286" i="3"/>
  <c r="J286" i="3" s="1"/>
  <c r="G286" i="3"/>
  <c r="H284" i="3"/>
  <c r="G284" i="3"/>
  <c r="H282" i="3"/>
  <c r="G282" i="3"/>
  <c r="H280" i="3"/>
  <c r="G280" i="3"/>
  <c r="H278" i="3"/>
  <c r="J278" i="3" s="1"/>
  <c r="G278" i="3"/>
  <c r="H276" i="3"/>
  <c r="G276" i="3"/>
  <c r="H274" i="3"/>
  <c r="G274" i="3"/>
  <c r="H272" i="3"/>
  <c r="G272" i="3"/>
  <c r="H270" i="3"/>
  <c r="J270" i="3" s="1"/>
  <c r="G270" i="3"/>
  <c r="H268" i="3"/>
  <c r="G268" i="3"/>
  <c r="H266" i="3"/>
  <c r="G266" i="3"/>
  <c r="H264" i="3"/>
  <c r="G264" i="3"/>
  <c r="H262" i="3"/>
  <c r="J262" i="3" s="1"/>
  <c r="G262" i="3"/>
  <c r="H260" i="3"/>
  <c r="G260" i="3"/>
  <c r="H258" i="3"/>
  <c r="G258" i="3"/>
  <c r="H256" i="3"/>
  <c r="G256" i="3"/>
  <c r="H254" i="3"/>
  <c r="J254" i="3" s="1"/>
  <c r="G254" i="3"/>
  <c r="H252" i="3"/>
  <c r="G252" i="3"/>
  <c r="H250" i="3"/>
  <c r="G250" i="3"/>
  <c r="H248" i="3"/>
  <c r="G248" i="3"/>
  <c r="H246" i="3"/>
  <c r="J246" i="3" s="1"/>
  <c r="G246" i="3"/>
  <c r="H244" i="3"/>
  <c r="G244" i="3"/>
  <c r="H242" i="3"/>
  <c r="G242" i="3"/>
  <c r="H240" i="3"/>
  <c r="G240" i="3"/>
  <c r="H238" i="3"/>
  <c r="J238" i="3" s="1"/>
  <c r="G238" i="3"/>
  <c r="H236" i="3"/>
  <c r="G236" i="3"/>
  <c r="H234" i="3"/>
  <c r="G234" i="3"/>
  <c r="H232" i="3"/>
  <c r="G232" i="3"/>
  <c r="H230" i="3"/>
  <c r="J230" i="3" s="1"/>
  <c r="G230" i="3"/>
  <c r="H228" i="3"/>
  <c r="G228" i="3"/>
  <c r="H226" i="3"/>
  <c r="G226" i="3"/>
  <c r="H224" i="3"/>
  <c r="G224" i="3"/>
  <c r="H222" i="3"/>
  <c r="J222" i="3" s="1"/>
  <c r="G222" i="3"/>
  <c r="H220" i="3"/>
  <c r="G220" i="3"/>
  <c r="H218" i="3"/>
  <c r="G218" i="3"/>
  <c r="H216" i="3"/>
  <c r="G216" i="3"/>
  <c r="H214" i="3"/>
  <c r="J214" i="3" s="1"/>
  <c r="G214" i="3"/>
  <c r="H212" i="3"/>
  <c r="G212" i="3"/>
  <c r="H210" i="3"/>
  <c r="G210" i="3"/>
  <c r="H208" i="3"/>
  <c r="G208" i="3"/>
  <c r="H206" i="3"/>
  <c r="J206" i="3" s="1"/>
  <c r="G206" i="3"/>
  <c r="H204" i="3"/>
  <c r="G204" i="3"/>
  <c r="H202" i="3"/>
  <c r="G202" i="3"/>
  <c r="H200" i="3"/>
  <c r="G200" i="3"/>
  <c r="H198" i="3"/>
  <c r="J198" i="3" s="1"/>
  <c r="G198" i="3"/>
  <c r="H196" i="3"/>
  <c r="G196" i="3"/>
  <c r="H194" i="3"/>
  <c r="G194" i="3"/>
  <c r="H192" i="3"/>
  <c r="G192" i="3"/>
  <c r="H190" i="3"/>
  <c r="G190" i="3"/>
  <c r="H188" i="3"/>
  <c r="G188" i="3"/>
  <c r="H186" i="3"/>
  <c r="G186" i="3"/>
  <c r="H184" i="3"/>
  <c r="G184" i="3"/>
  <c r="H182" i="3"/>
  <c r="J182" i="3" s="1"/>
  <c r="G182" i="3"/>
  <c r="H180" i="3"/>
  <c r="G180" i="3"/>
  <c r="H178" i="3"/>
  <c r="G178" i="3"/>
  <c r="H176" i="3"/>
  <c r="G176" i="3"/>
  <c r="H174" i="3"/>
  <c r="J174" i="3" s="1"/>
  <c r="G174" i="3"/>
  <c r="H172" i="3"/>
  <c r="G172" i="3"/>
  <c r="H170" i="3"/>
  <c r="G170" i="3"/>
  <c r="H168" i="3"/>
  <c r="G168" i="3"/>
  <c r="H166" i="3"/>
  <c r="J166" i="3" s="1"/>
  <c r="G166" i="3"/>
  <c r="H164" i="3"/>
  <c r="G164" i="3"/>
  <c r="H162" i="3"/>
  <c r="G162" i="3"/>
  <c r="H160" i="3"/>
  <c r="G160" i="3"/>
  <c r="H158" i="3"/>
  <c r="J158" i="3" s="1"/>
  <c r="G158" i="3"/>
  <c r="H156" i="3"/>
  <c r="G156" i="3"/>
  <c r="H154" i="3"/>
  <c r="G154" i="3"/>
  <c r="H152" i="3"/>
  <c r="G152" i="3"/>
  <c r="H150" i="3"/>
  <c r="J150" i="3" s="1"/>
  <c r="G150" i="3"/>
  <c r="H148" i="3"/>
  <c r="G148" i="3"/>
  <c r="H146" i="3"/>
  <c r="G146" i="3"/>
  <c r="H144" i="3"/>
  <c r="G144" i="3"/>
  <c r="H142" i="3"/>
  <c r="J142" i="3" s="1"/>
  <c r="G142" i="3"/>
  <c r="H140" i="3"/>
  <c r="G140" i="3"/>
  <c r="H138" i="3"/>
  <c r="G138" i="3"/>
  <c r="H136" i="3"/>
  <c r="G136" i="3"/>
  <c r="H134" i="3"/>
  <c r="J134" i="3" s="1"/>
  <c r="G134" i="3"/>
  <c r="H132" i="3"/>
  <c r="G132" i="3"/>
  <c r="H130" i="3"/>
  <c r="G130" i="3"/>
  <c r="H128" i="3"/>
  <c r="G128" i="3"/>
  <c r="H126" i="3"/>
  <c r="J126" i="3" s="1"/>
  <c r="G126" i="3"/>
  <c r="H124" i="3"/>
  <c r="G124" i="3"/>
  <c r="H122" i="3"/>
  <c r="G122" i="3"/>
  <c r="H120" i="3"/>
  <c r="G120" i="3"/>
  <c r="H118" i="3"/>
  <c r="J118" i="3" s="1"/>
  <c r="G118" i="3"/>
  <c r="H116" i="3"/>
  <c r="G116" i="3"/>
  <c r="H114" i="3"/>
  <c r="G114" i="3"/>
  <c r="H112" i="3"/>
  <c r="G112" i="3"/>
  <c r="H110" i="3"/>
  <c r="J110" i="3" s="1"/>
  <c r="G110" i="3"/>
  <c r="H108" i="3"/>
  <c r="G108" i="3"/>
  <c r="H106" i="3"/>
  <c r="G106" i="3"/>
  <c r="H104" i="3"/>
  <c r="G104" i="3"/>
  <c r="H102" i="3"/>
  <c r="J102" i="3" s="1"/>
  <c r="G102" i="3"/>
  <c r="H100" i="3"/>
  <c r="G100" i="3"/>
  <c r="H98" i="3"/>
  <c r="G98" i="3"/>
  <c r="H96" i="3"/>
  <c r="G96" i="3"/>
  <c r="H94" i="3"/>
  <c r="J94" i="3" s="1"/>
  <c r="G94" i="3"/>
  <c r="H92" i="3"/>
  <c r="G92" i="3"/>
  <c r="H90" i="3"/>
  <c r="G90" i="3"/>
  <c r="H88" i="3"/>
  <c r="G88" i="3"/>
  <c r="H86" i="3"/>
  <c r="J86" i="3" s="1"/>
  <c r="G86" i="3"/>
  <c r="H84" i="3"/>
  <c r="G84" i="3"/>
  <c r="G500" i="3"/>
  <c r="G492" i="3"/>
  <c r="G484" i="3"/>
  <c r="G476" i="3"/>
  <c r="G468" i="3"/>
  <c r="G460" i="3"/>
  <c r="G452" i="3"/>
  <c r="G444" i="3"/>
  <c r="G436" i="3"/>
  <c r="G428" i="3"/>
  <c r="G420" i="3"/>
  <c r="G412" i="3"/>
  <c r="G404" i="3"/>
  <c r="G396" i="3"/>
  <c r="G388" i="3"/>
  <c r="G380" i="3"/>
  <c r="G372" i="3"/>
  <c r="G364" i="3"/>
  <c r="G356" i="3"/>
  <c r="G348" i="3"/>
  <c r="G340" i="3"/>
  <c r="G332" i="3"/>
  <c r="G324" i="3"/>
  <c r="G316" i="3"/>
  <c r="G308" i="3"/>
  <c r="E1" i="3"/>
  <c r="F502" i="3"/>
  <c r="F498" i="3"/>
  <c r="F494" i="3"/>
  <c r="F490" i="3"/>
  <c r="F486" i="3"/>
  <c r="F482" i="3"/>
  <c r="F478" i="3"/>
  <c r="F474" i="3"/>
  <c r="F470" i="3"/>
  <c r="F466" i="3"/>
  <c r="F462" i="3"/>
  <c r="F458" i="3"/>
  <c r="F454" i="3"/>
  <c r="F450" i="3"/>
  <c r="F446" i="3"/>
  <c r="F442" i="3"/>
  <c r="F438" i="3"/>
  <c r="F434" i="3"/>
  <c r="F430" i="3"/>
  <c r="F426" i="3"/>
  <c r="F422" i="3"/>
  <c r="F418" i="3"/>
  <c r="F414" i="3"/>
  <c r="F410" i="3"/>
  <c r="F406" i="3"/>
  <c r="F402" i="3"/>
  <c r="F398" i="3"/>
  <c r="F394" i="3"/>
  <c r="F390" i="3"/>
  <c r="F386" i="3"/>
  <c r="F382" i="3"/>
  <c r="F378" i="3"/>
  <c r="F374" i="3"/>
  <c r="F370" i="3"/>
  <c r="F366" i="3"/>
  <c r="F362" i="3"/>
  <c r="F358" i="3"/>
  <c r="F354" i="3"/>
  <c r="F350" i="3"/>
  <c r="F346" i="3"/>
  <c r="F342" i="3"/>
  <c r="F338" i="3"/>
  <c r="F334" i="3"/>
  <c r="F330" i="3"/>
  <c r="F326" i="3"/>
  <c r="F322" i="3"/>
  <c r="F318" i="3"/>
  <c r="F314" i="3"/>
  <c r="F310" i="3"/>
  <c r="F306" i="3"/>
  <c r="F302" i="3"/>
  <c r="F300" i="3"/>
  <c r="F298" i="3"/>
  <c r="F296" i="3"/>
  <c r="F294" i="3"/>
  <c r="F292" i="3"/>
  <c r="F290" i="3"/>
  <c r="F288" i="3"/>
  <c r="F286" i="3"/>
  <c r="F284" i="3"/>
  <c r="F282" i="3"/>
  <c r="F280" i="3"/>
  <c r="F278" i="3"/>
  <c r="F276" i="3"/>
  <c r="F274" i="3"/>
  <c r="F272" i="3"/>
  <c r="F270" i="3"/>
  <c r="F268" i="3"/>
  <c r="F266" i="3"/>
  <c r="F264" i="3"/>
  <c r="F262" i="3"/>
  <c r="F260" i="3"/>
  <c r="F258" i="3"/>
  <c r="F256" i="3"/>
  <c r="F254" i="3"/>
  <c r="F252" i="3"/>
  <c r="F250" i="3"/>
  <c r="F248" i="3"/>
  <c r="F246" i="3"/>
  <c r="F244" i="3"/>
  <c r="F242" i="3"/>
  <c r="F240" i="3"/>
  <c r="F238" i="3"/>
  <c r="F236" i="3"/>
  <c r="F234" i="3"/>
  <c r="F232" i="3"/>
  <c r="F230" i="3"/>
  <c r="F228" i="3"/>
  <c r="F226" i="3"/>
  <c r="F224" i="3"/>
  <c r="F222" i="3"/>
  <c r="F220" i="3"/>
  <c r="F218" i="3"/>
  <c r="F216" i="3"/>
  <c r="F214" i="3"/>
  <c r="F212" i="3"/>
  <c r="F210" i="3"/>
  <c r="F208" i="3"/>
  <c r="F206" i="3"/>
  <c r="F204" i="3"/>
  <c r="F202" i="3"/>
  <c r="F200" i="3"/>
  <c r="F198" i="3"/>
  <c r="F196" i="3"/>
  <c r="F194" i="3"/>
  <c r="F192" i="3"/>
  <c r="F190" i="3"/>
  <c r="F188" i="3"/>
  <c r="F186" i="3"/>
  <c r="F184" i="3"/>
  <c r="F182" i="3"/>
  <c r="F180" i="3"/>
  <c r="F178" i="3"/>
  <c r="F176" i="3"/>
  <c r="F174" i="3"/>
  <c r="F172" i="3"/>
  <c r="F170" i="3"/>
  <c r="F168" i="3"/>
  <c r="F166" i="3"/>
  <c r="F160" i="3"/>
  <c r="F158" i="3"/>
  <c r="F156" i="3"/>
  <c r="F154" i="3"/>
  <c r="F152" i="3"/>
  <c r="F150" i="3"/>
  <c r="F148" i="3"/>
  <c r="F146" i="3"/>
  <c r="F144" i="3"/>
  <c r="F142" i="3"/>
  <c r="F140" i="3"/>
  <c r="F138" i="3"/>
  <c r="F136" i="3"/>
  <c r="F134" i="3"/>
  <c r="F128" i="3"/>
  <c r="F126" i="3"/>
  <c r="F124" i="3"/>
  <c r="F122" i="3"/>
  <c r="F120" i="3"/>
  <c r="F118" i="3"/>
  <c r="F116" i="3"/>
  <c r="F114" i="3"/>
  <c r="F112" i="3"/>
  <c r="F110" i="3"/>
  <c r="F108" i="3"/>
  <c r="F106" i="3"/>
  <c r="F104" i="3"/>
  <c r="F102" i="3"/>
  <c r="F96" i="3"/>
  <c r="F94" i="3"/>
  <c r="F92" i="3"/>
  <c r="F90" i="3"/>
  <c r="F88" i="3"/>
  <c r="F86" i="3"/>
  <c r="F84" i="3"/>
  <c r="F82" i="3"/>
  <c r="F80" i="3"/>
  <c r="F78" i="3"/>
  <c r="F76" i="3"/>
  <c r="F74" i="3"/>
  <c r="F72" i="3"/>
  <c r="F70" i="3"/>
  <c r="F64" i="3"/>
  <c r="F62" i="3"/>
  <c r="F60" i="3"/>
  <c r="F58" i="3"/>
  <c r="F56" i="3"/>
  <c r="F54" i="3"/>
  <c r="F52" i="3"/>
  <c r="F50" i="3"/>
  <c r="F48" i="3"/>
  <c r="F46" i="3"/>
  <c r="F44" i="3"/>
  <c r="F42" i="3"/>
  <c r="F40" i="3"/>
  <c r="F38" i="3"/>
  <c r="F32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H269" i="3"/>
  <c r="J269" i="3" s="1"/>
  <c r="G269" i="3"/>
  <c r="H265" i="3"/>
  <c r="J265" i="3" s="1"/>
  <c r="G265" i="3"/>
  <c r="H261" i="3"/>
  <c r="J261" i="3" s="1"/>
  <c r="G261" i="3"/>
  <c r="J259" i="3"/>
  <c r="H257" i="3"/>
  <c r="J257" i="3" s="1"/>
  <c r="G257" i="3"/>
  <c r="H253" i="3"/>
  <c r="J253" i="3" s="1"/>
  <c r="G253" i="3"/>
  <c r="H249" i="3"/>
  <c r="J249" i="3" s="1"/>
  <c r="G249" i="3"/>
  <c r="H245" i="3"/>
  <c r="J245" i="3" s="1"/>
  <c r="G245" i="3"/>
  <c r="J243" i="3"/>
  <c r="H241" i="3"/>
  <c r="J241" i="3" s="1"/>
  <c r="G241" i="3"/>
  <c r="H237" i="3"/>
  <c r="J237" i="3" s="1"/>
  <c r="G237" i="3"/>
  <c r="H233" i="3"/>
  <c r="J233" i="3" s="1"/>
  <c r="G233" i="3"/>
  <c r="H229" i="3"/>
  <c r="J229" i="3" s="1"/>
  <c r="G229" i="3"/>
  <c r="J227" i="3"/>
  <c r="H225" i="3"/>
  <c r="J225" i="3" s="1"/>
  <c r="G225" i="3"/>
  <c r="H221" i="3"/>
  <c r="J221" i="3" s="1"/>
  <c r="G221" i="3"/>
  <c r="H217" i="3"/>
  <c r="J217" i="3" s="1"/>
  <c r="G217" i="3"/>
  <c r="H213" i="3"/>
  <c r="J213" i="3" s="1"/>
  <c r="G213" i="3"/>
  <c r="J211" i="3"/>
  <c r="H209" i="3"/>
  <c r="J209" i="3" s="1"/>
  <c r="G209" i="3"/>
  <c r="H205" i="3"/>
  <c r="J205" i="3" s="1"/>
  <c r="G205" i="3"/>
  <c r="H201" i="3"/>
  <c r="J201" i="3" s="1"/>
  <c r="G201" i="3"/>
  <c r="H197" i="3"/>
  <c r="J197" i="3" s="1"/>
  <c r="G197" i="3"/>
  <c r="J195" i="3"/>
  <c r="H193" i="3"/>
  <c r="J193" i="3" s="1"/>
  <c r="G193" i="3"/>
  <c r="H189" i="3"/>
  <c r="J189" i="3" s="1"/>
  <c r="G189" i="3"/>
  <c r="H185" i="3"/>
  <c r="J185" i="3" s="1"/>
  <c r="G185" i="3"/>
  <c r="H181" i="3"/>
  <c r="J181" i="3" s="1"/>
  <c r="G181" i="3"/>
  <c r="J179" i="3"/>
  <c r="H177" i="3"/>
  <c r="J177" i="3" s="1"/>
  <c r="G177" i="3"/>
  <c r="H173" i="3"/>
  <c r="J173" i="3" s="1"/>
  <c r="G173" i="3"/>
  <c r="H171" i="3"/>
  <c r="J171" i="3" s="1"/>
  <c r="G171" i="3"/>
  <c r="H169" i="3"/>
  <c r="J169" i="3" s="1"/>
  <c r="G169" i="3"/>
  <c r="H167" i="3"/>
  <c r="J167" i="3" s="1"/>
  <c r="G167" i="3"/>
  <c r="H165" i="3"/>
  <c r="J165" i="3" s="1"/>
  <c r="G165" i="3"/>
  <c r="H163" i="3"/>
  <c r="J163" i="3" s="1"/>
  <c r="G163" i="3"/>
  <c r="H161" i="3"/>
  <c r="J161" i="3" s="1"/>
  <c r="G161" i="3"/>
  <c r="H159" i="3"/>
  <c r="J159" i="3" s="1"/>
  <c r="G159" i="3"/>
  <c r="H157" i="3"/>
  <c r="J157" i="3" s="1"/>
  <c r="G157" i="3"/>
  <c r="H155" i="3"/>
  <c r="J155" i="3" s="1"/>
  <c r="G155" i="3"/>
  <c r="H153" i="3"/>
  <c r="J153" i="3" s="1"/>
  <c r="G153" i="3"/>
  <c r="H151" i="3"/>
  <c r="J151" i="3" s="1"/>
  <c r="G151" i="3"/>
  <c r="H149" i="3"/>
  <c r="J149" i="3" s="1"/>
  <c r="G149" i="3"/>
  <c r="H147" i="3"/>
  <c r="J147" i="3" s="1"/>
  <c r="G147" i="3"/>
  <c r="H145" i="3"/>
  <c r="J145" i="3" s="1"/>
  <c r="G145" i="3"/>
  <c r="H143" i="3"/>
  <c r="J143" i="3" s="1"/>
  <c r="G143" i="3"/>
  <c r="H141" i="3"/>
  <c r="J141" i="3" s="1"/>
  <c r="G141" i="3"/>
  <c r="H139" i="3"/>
  <c r="J139" i="3" s="1"/>
  <c r="G139" i="3"/>
  <c r="H137" i="3"/>
  <c r="J137" i="3" s="1"/>
  <c r="G137" i="3"/>
  <c r="H135" i="3"/>
  <c r="J135" i="3" s="1"/>
  <c r="G135" i="3"/>
  <c r="H133" i="3"/>
  <c r="J133" i="3" s="1"/>
  <c r="G133" i="3"/>
  <c r="H131" i="3"/>
  <c r="J131" i="3" s="1"/>
  <c r="G131" i="3"/>
  <c r="H129" i="3"/>
  <c r="J129" i="3" s="1"/>
  <c r="G129" i="3"/>
  <c r="H127" i="3"/>
  <c r="J127" i="3" s="1"/>
  <c r="G127" i="3"/>
  <c r="H125" i="3"/>
  <c r="J125" i="3" s="1"/>
  <c r="G125" i="3"/>
  <c r="H123" i="3"/>
  <c r="J123" i="3" s="1"/>
  <c r="G123" i="3"/>
  <c r="H121" i="3"/>
  <c r="J121" i="3" s="1"/>
  <c r="G121" i="3"/>
  <c r="H119" i="3"/>
  <c r="J119" i="3" s="1"/>
  <c r="G119" i="3"/>
  <c r="H117" i="3"/>
  <c r="J117" i="3" s="1"/>
  <c r="G117" i="3"/>
  <c r="H115" i="3"/>
  <c r="J115" i="3" s="1"/>
  <c r="G115" i="3"/>
  <c r="H113" i="3"/>
  <c r="J113" i="3" s="1"/>
  <c r="G113" i="3"/>
  <c r="H111" i="3"/>
  <c r="J111" i="3" s="1"/>
  <c r="G111" i="3"/>
  <c r="H109" i="3"/>
  <c r="J109" i="3" s="1"/>
  <c r="G109" i="3"/>
  <c r="H107" i="3"/>
  <c r="J107" i="3" s="1"/>
  <c r="G107" i="3"/>
  <c r="H105" i="3"/>
  <c r="J105" i="3" s="1"/>
  <c r="G105" i="3"/>
  <c r="H103" i="3"/>
  <c r="J103" i="3" s="1"/>
  <c r="G103" i="3"/>
  <c r="H101" i="3"/>
  <c r="J101" i="3" s="1"/>
  <c r="G101" i="3"/>
  <c r="H99" i="3"/>
  <c r="J99" i="3" s="1"/>
  <c r="G99" i="3"/>
  <c r="H97" i="3"/>
  <c r="J97" i="3" s="1"/>
  <c r="G97" i="3"/>
  <c r="H95" i="3"/>
  <c r="J95" i="3" s="1"/>
  <c r="G95" i="3"/>
  <c r="H93" i="3"/>
  <c r="J93" i="3" s="1"/>
  <c r="G93" i="3"/>
  <c r="H91" i="3"/>
  <c r="J91" i="3" s="1"/>
  <c r="G91" i="3"/>
  <c r="H89" i="3"/>
  <c r="J89" i="3" s="1"/>
  <c r="G89" i="3"/>
  <c r="H87" i="3"/>
  <c r="J87" i="3" s="1"/>
  <c r="G87" i="3"/>
  <c r="H85" i="3"/>
  <c r="J85" i="3" s="1"/>
  <c r="G85" i="3"/>
  <c r="H83" i="3"/>
  <c r="J83" i="3" s="1"/>
  <c r="G83" i="3"/>
  <c r="H81" i="3"/>
  <c r="J81" i="3" s="1"/>
  <c r="G81" i="3"/>
  <c r="H79" i="3"/>
  <c r="J79" i="3" s="1"/>
  <c r="G79" i="3"/>
  <c r="H77" i="3"/>
  <c r="J77" i="3" s="1"/>
  <c r="G77" i="3"/>
  <c r="H75" i="3"/>
  <c r="J75" i="3" s="1"/>
  <c r="G75" i="3"/>
  <c r="H73" i="3"/>
  <c r="J73" i="3" s="1"/>
  <c r="G73" i="3"/>
  <c r="H71" i="3"/>
  <c r="J71" i="3" s="1"/>
  <c r="G71" i="3"/>
  <c r="H69" i="3"/>
  <c r="J69" i="3" s="1"/>
  <c r="G69" i="3"/>
  <c r="H67" i="3"/>
  <c r="J67" i="3" s="1"/>
  <c r="G67" i="3"/>
  <c r="H65" i="3"/>
  <c r="J65" i="3" s="1"/>
  <c r="G65" i="3"/>
  <c r="H63" i="3"/>
  <c r="J63" i="3" s="1"/>
  <c r="G63" i="3"/>
  <c r="H61" i="3"/>
  <c r="J61" i="3" s="1"/>
  <c r="G61" i="3"/>
  <c r="H59" i="3"/>
  <c r="J59" i="3" s="1"/>
  <c r="G59" i="3"/>
  <c r="H57" i="3"/>
  <c r="J57" i="3" s="1"/>
  <c r="G57" i="3"/>
  <c r="H55" i="3"/>
  <c r="J55" i="3" s="1"/>
  <c r="G55" i="3"/>
  <c r="H53" i="3"/>
  <c r="J53" i="3" s="1"/>
  <c r="G53" i="3"/>
  <c r="H51" i="3"/>
  <c r="J51" i="3" s="1"/>
  <c r="G51" i="3"/>
  <c r="H49" i="3"/>
  <c r="J49" i="3" s="1"/>
  <c r="G49" i="3"/>
  <c r="H47" i="3"/>
  <c r="J47" i="3" s="1"/>
  <c r="G47" i="3"/>
  <c r="H45" i="3"/>
  <c r="J45" i="3" s="1"/>
  <c r="G45" i="3"/>
  <c r="H43" i="3"/>
  <c r="J43" i="3" s="1"/>
  <c r="G43" i="3"/>
  <c r="H41" i="3"/>
  <c r="J41" i="3" s="1"/>
  <c r="G41" i="3"/>
  <c r="H39" i="3"/>
  <c r="J39" i="3" s="1"/>
  <c r="G39" i="3"/>
  <c r="H37" i="3"/>
  <c r="J37" i="3" s="1"/>
  <c r="G37" i="3"/>
  <c r="H35" i="3"/>
  <c r="J35" i="3" s="1"/>
  <c r="G35" i="3"/>
  <c r="H33" i="3"/>
  <c r="J33" i="3" s="1"/>
  <c r="G33" i="3"/>
  <c r="H31" i="3"/>
  <c r="J31" i="3" s="1"/>
  <c r="G31" i="3"/>
  <c r="H29" i="3"/>
  <c r="J29" i="3" s="1"/>
  <c r="G29" i="3"/>
  <c r="H27" i="3"/>
  <c r="J27" i="3" s="1"/>
  <c r="G27" i="3"/>
  <c r="H25" i="3"/>
  <c r="J25" i="3" s="1"/>
  <c r="G25" i="3"/>
  <c r="H23" i="3"/>
  <c r="J23" i="3" s="1"/>
  <c r="G23" i="3"/>
  <c r="H21" i="3"/>
  <c r="J21" i="3" s="1"/>
  <c r="G21" i="3"/>
  <c r="H19" i="3"/>
  <c r="J19" i="3" s="1"/>
  <c r="G19" i="3"/>
  <c r="H17" i="3"/>
  <c r="J17" i="3" s="1"/>
  <c r="G17" i="3"/>
  <c r="H15" i="3"/>
  <c r="J15" i="3" s="1"/>
  <c r="G15" i="3"/>
  <c r="H13" i="3"/>
  <c r="J13" i="3" s="1"/>
  <c r="G13" i="3"/>
  <c r="H11" i="3"/>
  <c r="J11" i="3" s="1"/>
  <c r="G11" i="3"/>
  <c r="H9" i="3"/>
  <c r="J9" i="3" s="1"/>
  <c r="G9" i="3"/>
  <c r="H7" i="3"/>
  <c r="J7" i="3" s="1"/>
  <c r="G7" i="3"/>
  <c r="H5" i="3"/>
  <c r="J5" i="3" s="1"/>
  <c r="G5" i="3"/>
  <c r="G271" i="3"/>
  <c r="G263" i="3"/>
  <c r="G255" i="3"/>
  <c r="G247" i="3"/>
  <c r="G239" i="3"/>
  <c r="G231" i="3"/>
  <c r="G223" i="3"/>
  <c r="G215" i="3"/>
  <c r="G207" i="3"/>
  <c r="G199" i="3"/>
  <c r="G191" i="3"/>
  <c r="G183" i="3"/>
  <c r="G175" i="3"/>
  <c r="F293" i="3"/>
  <c r="F289" i="3"/>
  <c r="F285" i="3"/>
  <c r="F281" i="3"/>
  <c r="F277" i="3"/>
  <c r="F273" i="3"/>
  <c r="F269" i="3"/>
  <c r="F265" i="3"/>
  <c r="F261" i="3"/>
  <c r="F257" i="3"/>
  <c r="F253" i="3"/>
  <c r="F249" i="3"/>
  <c r="F245" i="3"/>
  <c r="F241" i="3"/>
  <c r="F237" i="3"/>
  <c r="F233" i="3"/>
  <c r="F229" i="3"/>
  <c r="F225" i="3"/>
  <c r="F221" i="3"/>
  <c r="F217" i="3"/>
  <c r="F213" i="3"/>
  <c r="F209" i="3"/>
  <c r="F205" i="3"/>
  <c r="F201" i="3"/>
  <c r="F197" i="3"/>
  <c r="F193" i="3"/>
  <c r="F189" i="3"/>
  <c r="F185" i="3"/>
  <c r="F181" i="3"/>
  <c r="F177" i="3"/>
  <c r="F173" i="3"/>
  <c r="F171" i="3"/>
  <c r="F169" i="3"/>
  <c r="F167" i="3"/>
  <c r="F165" i="3"/>
  <c r="F163" i="3"/>
  <c r="F161" i="3"/>
  <c r="F159" i="3"/>
  <c r="F157" i="3"/>
  <c r="F155" i="3"/>
  <c r="F153" i="3"/>
  <c r="F151" i="3"/>
  <c r="F149" i="3"/>
  <c r="F147" i="3"/>
  <c r="F145" i="3"/>
  <c r="F143" i="3"/>
  <c r="F141" i="3"/>
  <c r="F139" i="3"/>
  <c r="F137" i="3"/>
  <c r="F135" i="3"/>
  <c r="F133" i="3"/>
  <c r="F131" i="3"/>
  <c r="F129" i="3"/>
  <c r="F127" i="3"/>
  <c r="F125" i="3"/>
  <c r="F123" i="3"/>
  <c r="F121" i="3"/>
  <c r="F119" i="3"/>
  <c r="F117" i="3"/>
  <c r="F115" i="3"/>
  <c r="F113" i="3"/>
  <c r="F111" i="3"/>
  <c r="F109" i="3"/>
  <c r="F107" i="3"/>
  <c r="F105" i="3"/>
  <c r="F103" i="3"/>
  <c r="F101" i="3"/>
  <c r="F99" i="3"/>
  <c r="F97" i="3"/>
  <c r="F95" i="3"/>
  <c r="F93" i="3"/>
  <c r="F91" i="3"/>
  <c r="F89" i="3"/>
  <c r="F87" i="3"/>
  <c r="F85" i="3"/>
  <c r="F83" i="3"/>
  <c r="F81" i="3"/>
  <c r="F79" i="3"/>
  <c r="F77" i="3"/>
  <c r="F75" i="3"/>
  <c r="F73" i="3"/>
  <c r="F71" i="3"/>
  <c r="F69" i="3"/>
  <c r="F67" i="3"/>
  <c r="F65" i="3"/>
  <c r="F63" i="3"/>
  <c r="F61" i="3"/>
  <c r="F59" i="3"/>
  <c r="F57" i="3"/>
  <c r="F55" i="3"/>
  <c r="F53" i="3"/>
  <c r="F51" i="3"/>
  <c r="F49" i="3"/>
  <c r="F47" i="3"/>
  <c r="F45" i="3"/>
  <c r="F43" i="3"/>
  <c r="F41" i="3"/>
  <c r="F39" i="3"/>
  <c r="F37" i="3"/>
  <c r="F35" i="3"/>
  <c r="F33" i="3"/>
  <c r="F31" i="3"/>
  <c r="F29" i="3"/>
  <c r="F27" i="3"/>
  <c r="F25" i="3"/>
  <c r="F23" i="3"/>
  <c r="F21" i="3"/>
  <c r="F19" i="3"/>
  <c r="F17" i="3"/>
  <c r="F15" i="3"/>
  <c r="F13" i="3"/>
  <c r="F11" i="3"/>
  <c r="F9" i="3"/>
  <c r="F7" i="3"/>
  <c r="F5" i="3"/>
  <c r="F1" i="3" s="1"/>
  <c r="H82" i="3"/>
  <c r="G82" i="3"/>
  <c r="H80" i="3"/>
  <c r="G80" i="3"/>
  <c r="H78" i="3"/>
  <c r="G78" i="3"/>
  <c r="H76" i="3"/>
  <c r="J76" i="3" s="1"/>
  <c r="G76" i="3"/>
  <c r="H74" i="3"/>
  <c r="G74" i="3"/>
  <c r="H72" i="3"/>
  <c r="G72" i="3"/>
  <c r="H70" i="3"/>
  <c r="G70" i="3"/>
  <c r="H68" i="3"/>
  <c r="J68" i="3" s="1"/>
  <c r="G68" i="3"/>
  <c r="H66" i="3"/>
  <c r="G66" i="3"/>
  <c r="H64" i="3"/>
  <c r="G64" i="3"/>
  <c r="H62" i="3"/>
  <c r="G62" i="3"/>
  <c r="H60" i="3"/>
  <c r="J60" i="3" s="1"/>
  <c r="G60" i="3"/>
  <c r="H58" i="3"/>
  <c r="G58" i="3"/>
  <c r="H56" i="3"/>
  <c r="G56" i="3"/>
  <c r="H54" i="3"/>
  <c r="G54" i="3"/>
  <c r="H52" i="3"/>
  <c r="J52" i="3" s="1"/>
  <c r="G52" i="3"/>
  <c r="H50" i="3"/>
  <c r="G50" i="3"/>
  <c r="H48" i="3"/>
  <c r="G48" i="3"/>
  <c r="H46" i="3"/>
  <c r="G46" i="3"/>
  <c r="H44" i="3"/>
  <c r="J44" i="3" s="1"/>
  <c r="G44" i="3"/>
  <c r="H42" i="3"/>
  <c r="G42" i="3"/>
  <c r="H40" i="3"/>
  <c r="G40" i="3"/>
  <c r="H38" i="3"/>
  <c r="G38" i="3"/>
  <c r="H36" i="3"/>
  <c r="J36" i="3" s="1"/>
  <c r="G36" i="3"/>
  <c r="H34" i="3"/>
  <c r="G34" i="3"/>
  <c r="H32" i="3"/>
  <c r="G32" i="3"/>
  <c r="H30" i="3"/>
  <c r="G30" i="3"/>
  <c r="H28" i="3"/>
  <c r="J28" i="3" s="1"/>
  <c r="G28" i="3"/>
  <c r="H26" i="3"/>
  <c r="G26" i="3"/>
  <c r="H24" i="3"/>
  <c r="G24" i="3"/>
  <c r="H22" i="3"/>
  <c r="G22" i="3"/>
  <c r="H20" i="3"/>
  <c r="G20" i="3"/>
  <c r="H18" i="3"/>
  <c r="G18" i="3"/>
  <c r="H16" i="3"/>
  <c r="G16" i="3"/>
  <c r="H14" i="3"/>
  <c r="G14" i="3"/>
  <c r="H12" i="3"/>
  <c r="J12" i="3" s="1"/>
  <c r="G12" i="3"/>
  <c r="H10" i="3"/>
  <c r="G10" i="3"/>
  <c r="H8" i="3"/>
  <c r="G8" i="3"/>
  <c r="H6" i="3"/>
  <c r="G6" i="3"/>
  <c r="J503" i="3"/>
  <c r="J499" i="3"/>
  <c r="J483" i="3"/>
  <c r="J447" i="3"/>
  <c r="J443" i="3"/>
  <c r="J427" i="3"/>
  <c r="J399" i="3"/>
  <c r="J377" i="3"/>
  <c r="J361" i="3"/>
  <c r="J353" i="3"/>
  <c r="J345" i="3"/>
  <c r="J337" i="3"/>
  <c r="J329" i="3"/>
  <c r="J321" i="3"/>
  <c r="J315" i="3"/>
  <c r="J301" i="3"/>
  <c r="J293" i="3"/>
  <c r="J271" i="3"/>
  <c r="J267" i="3"/>
  <c r="J263" i="3"/>
  <c r="J247" i="3"/>
  <c r="J239" i="3"/>
  <c r="J235" i="3"/>
  <c r="J231" i="3"/>
  <c r="J215" i="3"/>
  <c r="J207" i="3"/>
  <c r="J203" i="3"/>
  <c r="J199" i="3"/>
  <c r="J497" i="3"/>
  <c r="J491" i="3"/>
  <c r="J487" i="3"/>
  <c r="J481" i="3"/>
  <c r="J475" i="3"/>
  <c r="J471" i="3"/>
  <c r="J463" i="3"/>
  <c r="J455" i="3"/>
  <c r="J441" i="3"/>
  <c r="J435" i="3"/>
  <c r="J415" i="3"/>
  <c r="J407" i="3"/>
  <c r="J391" i="3"/>
  <c r="J385" i="3"/>
  <c r="J371" i="3"/>
  <c r="J367" i="3"/>
  <c r="J363" i="3"/>
  <c r="J347" i="3"/>
  <c r="J313" i="3"/>
  <c r="J309" i="3"/>
  <c r="J303" i="3"/>
  <c r="J255" i="3"/>
  <c r="J223" i="3"/>
  <c r="J191" i="3"/>
  <c r="J187" i="3"/>
  <c r="J183" i="3"/>
  <c r="J175" i="3"/>
  <c r="H4" i="3"/>
  <c r="J8" i="3" l="1"/>
  <c r="J16" i="3"/>
  <c r="J24" i="3"/>
  <c r="J32" i="3"/>
  <c r="J40" i="3"/>
  <c r="J48" i="3"/>
  <c r="J352" i="3"/>
  <c r="J368" i="3"/>
  <c r="J190" i="3"/>
  <c r="J318" i="3"/>
  <c r="J88" i="3"/>
  <c r="J96" i="3"/>
  <c r="J104" i="3"/>
  <c r="J112" i="3"/>
  <c r="J120" i="3"/>
  <c r="J128" i="3"/>
  <c r="J136" i="3"/>
  <c r="J144" i="3"/>
  <c r="J152" i="3"/>
  <c r="J160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J288" i="3"/>
  <c r="J296" i="3"/>
  <c r="J406" i="3"/>
  <c r="J422" i="3"/>
  <c r="J438" i="3"/>
  <c r="J454" i="3"/>
  <c r="J470" i="3"/>
  <c r="J56" i="3"/>
  <c r="J64" i="3"/>
  <c r="J312" i="3"/>
  <c r="J328" i="3"/>
  <c r="J344" i="3"/>
  <c r="J360" i="3"/>
  <c r="J376" i="3"/>
  <c r="J392" i="3"/>
  <c r="J72" i="3"/>
  <c r="J80" i="3"/>
  <c r="J414" i="3"/>
  <c r="J446" i="3"/>
  <c r="J20" i="3"/>
  <c r="J374" i="3"/>
  <c r="J22" i="3"/>
  <c r="J170" i="3"/>
  <c r="J140" i="3"/>
  <c r="J172" i="3"/>
  <c r="J204" i="3"/>
  <c r="J236" i="3"/>
  <c r="J58" i="3"/>
  <c r="J298" i="3"/>
  <c r="J456" i="3"/>
  <c r="J46" i="3"/>
  <c r="J370" i="3"/>
  <c r="J402" i="3"/>
  <c r="J430" i="3"/>
  <c r="J462" i="3"/>
  <c r="J14" i="3"/>
  <c r="J54" i="3"/>
  <c r="J78" i="3"/>
  <c r="J310" i="3"/>
  <c r="J108" i="3"/>
  <c r="J268" i="3"/>
  <c r="J342" i="3"/>
  <c r="J300" i="3"/>
  <c r="J332" i="3"/>
  <c r="J10" i="3"/>
  <c r="J42" i="3"/>
  <c r="J74" i="3"/>
  <c r="J106" i="3"/>
  <c r="J122" i="3"/>
  <c r="J186" i="3"/>
  <c r="J234" i="3"/>
  <c r="J250" i="3"/>
  <c r="J314" i="3"/>
  <c r="J330" i="3"/>
  <c r="J346" i="3"/>
  <c r="J362" i="3"/>
  <c r="J378" i="3"/>
  <c r="J394" i="3"/>
  <c r="J416" i="3"/>
  <c r="J424" i="3"/>
  <c r="J432" i="3"/>
  <c r="J448" i="3"/>
  <c r="J464" i="3"/>
  <c r="J308" i="3"/>
  <c r="J322" i="3"/>
  <c r="J354" i="3"/>
  <c r="J386" i="3"/>
  <c r="J408" i="3"/>
  <c r="J440" i="3"/>
  <c r="J472" i="3"/>
  <c r="J90" i="3"/>
  <c r="J98" i="3"/>
  <c r="J130" i="3"/>
  <c r="J138" i="3"/>
  <c r="J154" i="3"/>
  <c r="J162" i="3"/>
  <c r="J194" i="3"/>
  <c r="J202" i="3"/>
  <c r="J218" i="3"/>
  <c r="J226" i="3"/>
  <c r="J258" i="3"/>
  <c r="J266" i="3"/>
  <c r="J282" i="3"/>
  <c r="J290" i="3"/>
  <c r="J26" i="3"/>
  <c r="J34" i="3"/>
  <c r="J66" i="3"/>
  <c r="J340" i="3"/>
  <c r="J84" i="3"/>
  <c r="J92" i="3"/>
  <c r="J100" i="3"/>
  <c r="J116" i="3"/>
  <c r="J124" i="3"/>
  <c r="J132" i="3"/>
  <c r="J148" i="3"/>
  <c r="J156" i="3"/>
  <c r="J164" i="3"/>
  <c r="J180" i="3"/>
  <c r="J188" i="3"/>
  <c r="J196" i="3"/>
  <c r="J212" i="3"/>
  <c r="J220" i="3"/>
  <c r="J228" i="3"/>
  <c r="J244" i="3"/>
  <c r="J252" i="3"/>
  <c r="J260" i="3"/>
  <c r="J276" i="3"/>
  <c r="J284" i="3"/>
  <c r="J292" i="3"/>
  <c r="J316" i="3"/>
  <c r="J324" i="3"/>
  <c r="J410" i="3"/>
  <c r="J426" i="3"/>
  <c r="J442" i="3"/>
  <c r="J458" i="3"/>
  <c r="J6" i="3"/>
  <c r="J30" i="3"/>
  <c r="J38" i="3"/>
  <c r="J62" i="3"/>
  <c r="J70" i="3"/>
  <c r="J326" i="3"/>
  <c r="J358" i="3"/>
  <c r="J390" i="3"/>
  <c r="J388" i="3"/>
  <c r="G1" i="3"/>
  <c r="J356" i="3"/>
  <c r="J372" i="3"/>
  <c r="J4" i="3"/>
  <c r="J348" i="3"/>
  <c r="J364" i="3"/>
  <c r="J380" i="3"/>
  <c r="J396" i="3"/>
  <c r="J412" i="3"/>
  <c r="J428" i="3"/>
  <c r="J444" i="3"/>
  <c r="J460" i="3"/>
  <c r="J18" i="3"/>
  <c r="J50" i="3"/>
  <c r="J82" i="3"/>
  <c r="J114" i="3"/>
  <c r="J146" i="3"/>
  <c r="J178" i="3"/>
  <c r="J210" i="3"/>
  <c r="J242" i="3"/>
  <c r="J274" i="3"/>
  <c r="J306" i="3"/>
  <c r="J338" i="3"/>
  <c r="J3" i="3" l="1"/>
  <c r="K3" i="3" s="1"/>
</calcChain>
</file>

<file path=xl/sharedStrings.xml><?xml version="1.0" encoding="utf-8"?>
<sst xmlns="http://schemas.openxmlformats.org/spreadsheetml/2006/main" count="25" uniqueCount="18">
  <si>
    <t>Number of runs</t>
  </si>
  <si>
    <t>PSA run number</t>
  </si>
  <si>
    <t>No MTC</t>
  </si>
  <si>
    <t>Costs</t>
  </si>
  <si>
    <t>QALYs</t>
  </si>
  <si>
    <t>MTC</t>
  </si>
  <si>
    <t>Data</t>
  </si>
  <si>
    <t>NMB</t>
  </si>
  <si>
    <t>Lambda</t>
  </si>
  <si>
    <t>MTC cost-effective?</t>
  </si>
  <si>
    <t>Incr</t>
  </si>
  <si>
    <t>CEAC</t>
  </si>
  <si>
    <t>Max ICER</t>
  </si>
  <si>
    <t>ICER Increments</t>
  </si>
  <si>
    <t>Non-MTC cost-effective?</t>
  </si>
  <si>
    <t>Non-MTC</t>
  </si>
  <si>
    <t>ICER lines</t>
  </si>
  <si>
    <t>Maximum Acceptable 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</si>
</sst>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70" formatCode="&quot;£&quot;#,##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2" fontId="0" fillId="0" borderId="0" xfId="0" applyNumberFormat="1"/>
    <xf numFmtId="170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6133140921473903E-2"/>
          <c:y val="3.003491747503903E-2"/>
          <c:w val="0.86208232724595368"/>
          <c:h val="0.86472262509929365"/>
        </c:manualLayout>
      </c:layout>
      <c:scatterChart>
        <c:scatterStyle val="lineMarker"/>
        <c:varyColors val="0"/>
        <c:ser>
          <c:idx val="0"/>
          <c:order val="0"/>
          <c:tx>
            <c:v>PSA runs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'PSA analysis'!$G$4:$G$503</c:f>
              <c:numCache>
                <c:formatCode>0.00</c:formatCode>
                <c:ptCount val="500"/>
                <c:pt idx="0">
                  <c:v>0.51367058005883948</c:v>
                </c:pt>
                <c:pt idx="1">
                  <c:v>0.77128497602237989</c:v>
                </c:pt>
                <c:pt idx="2">
                  <c:v>0.26214895895779033</c:v>
                </c:pt>
                <c:pt idx="3">
                  <c:v>0.36535903614622001</c:v>
                </c:pt>
                <c:pt idx="4">
                  <c:v>0.20714686724124931</c:v>
                </c:pt>
                <c:pt idx="5">
                  <c:v>0.52449246381933001</c:v>
                </c:pt>
                <c:pt idx="6">
                  <c:v>0.50833013957091921</c:v>
                </c:pt>
                <c:pt idx="7">
                  <c:v>0.47925492111585921</c:v>
                </c:pt>
                <c:pt idx="8">
                  <c:v>0.36999464526801873</c:v>
                </c:pt>
                <c:pt idx="9">
                  <c:v>0.1387509137227001</c:v>
                </c:pt>
                <c:pt idx="10">
                  <c:v>0.43832270926917083</c:v>
                </c:pt>
                <c:pt idx="11">
                  <c:v>0.33259408724143036</c:v>
                </c:pt>
                <c:pt idx="12">
                  <c:v>0.36069712155708977</c:v>
                </c:pt>
                <c:pt idx="13">
                  <c:v>2.2735655895630202E-2</c:v>
                </c:pt>
                <c:pt idx="14">
                  <c:v>0.35273121218139991</c:v>
                </c:pt>
                <c:pt idx="15">
                  <c:v>0.57562956490512995</c:v>
                </c:pt>
                <c:pt idx="16">
                  <c:v>0.63873383917001991</c:v>
                </c:pt>
                <c:pt idx="17">
                  <c:v>0.70833799918950913</c:v>
                </c:pt>
                <c:pt idx="18">
                  <c:v>0.36945122746795001</c:v>
                </c:pt>
                <c:pt idx="19">
                  <c:v>0.40533960657507961</c:v>
                </c:pt>
                <c:pt idx="20">
                  <c:v>0.88826398028454978</c:v>
                </c:pt>
                <c:pt idx="21">
                  <c:v>0.41298442095694998</c:v>
                </c:pt>
                <c:pt idx="22">
                  <c:v>0.52433874877196018</c:v>
                </c:pt>
                <c:pt idx="23">
                  <c:v>0.3476060255597897</c:v>
                </c:pt>
                <c:pt idx="24">
                  <c:v>0.4882522505228799</c:v>
                </c:pt>
                <c:pt idx="25">
                  <c:v>0.43052212083120978</c:v>
                </c:pt>
                <c:pt idx="26">
                  <c:v>0.41536782464538113</c:v>
                </c:pt>
                <c:pt idx="27">
                  <c:v>0.22373941435527023</c:v>
                </c:pt>
                <c:pt idx="28">
                  <c:v>0.26395337277905018</c:v>
                </c:pt>
                <c:pt idx="29">
                  <c:v>0.30747821332662983</c:v>
                </c:pt>
                <c:pt idx="30">
                  <c:v>0.43389839507985073</c:v>
                </c:pt>
                <c:pt idx="31">
                  <c:v>0.23357669395540981</c:v>
                </c:pt>
                <c:pt idx="32">
                  <c:v>0.62274261459919167</c:v>
                </c:pt>
                <c:pt idx="33">
                  <c:v>0.35450620282873935</c:v>
                </c:pt>
                <c:pt idx="34">
                  <c:v>0.60419569765626946</c:v>
                </c:pt>
                <c:pt idx="35">
                  <c:v>0.39366954843401025</c:v>
                </c:pt>
                <c:pt idx="36">
                  <c:v>0.54154795055822014</c:v>
                </c:pt>
                <c:pt idx="37">
                  <c:v>0.36740848963168915</c:v>
                </c:pt>
                <c:pt idx="38">
                  <c:v>0.24110526999321014</c:v>
                </c:pt>
                <c:pt idx="39">
                  <c:v>0.20823365449789932</c:v>
                </c:pt>
                <c:pt idx="40">
                  <c:v>0.31308847484477997</c:v>
                </c:pt>
                <c:pt idx="41">
                  <c:v>0.42086906559493986</c:v>
                </c:pt>
                <c:pt idx="42">
                  <c:v>0.46293467594179116</c:v>
                </c:pt>
                <c:pt idx="43">
                  <c:v>0.64166067708177099</c:v>
                </c:pt>
                <c:pt idx="44">
                  <c:v>0.41836865948828894</c:v>
                </c:pt>
                <c:pt idx="45">
                  <c:v>0.34793667683686991</c:v>
                </c:pt>
                <c:pt idx="46">
                  <c:v>0.32979247211234863</c:v>
                </c:pt>
                <c:pt idx="47">
                  <c:v>0.5271837263605299</c:v>
                </c:pt>
                <c:pt idx="48">
                  <c:v>0.48194257197550971</c:v>
                </c:pt>
                <c:pt idx="49">
                  <c:v>0.35876223626920023</c:v>
                </c:pt>
                <c:pt idx="50">
                  <c:v>0.52233329959907948</c:v>
                </c:pt>
                <c:pt idx="51">
                  <c:v>0.38945632982261991</c:v>
                </c:pt>
                <c:pt idx="52">
                  <c:v>0.55345908036089142</c:v>
                </c:pt>
                <c:pt idx="53">
                  <c:v>0.49988021894109025</c:v>
                </c:pt>
                <c:pt idx="54">
                  <c:v>0.3285829656799315</c:v>
                </c:pt>
                <c:pt idx="55">
                  <c:v>0.41704327607500069</c:v>
                </c:pt>
                <c:pt idx="56">
                  <c:v>0.25375260100329022</c:v>
                </c:pt>
                <c:pt idx="57">
                  <c:v>0.22197607053633028</c:v>
                </c:pt>
                <c:pt idx="58">
                  <c:v>0.81699647213438098</c:v>
                </c:pt>
                <c:pt idx="59">
                  <c:v>0.52319995599992009</c:v>
                </c:pt>
                <c:pt idx="60">
                  <c:v>0.64228965736625021</c:v>
                </c:pt>
                <c:pt idx="61">
                  <c:v>0.33640775652675003</c:v>
                </c:pt>
                <c:pt idx="62">
                  <c:v>0.48231326269189978</c:v>
                </c:pt>
                <c:pt idx="63">
                  <c:v>0.25636628350466939</c:v>
                </c:pt>
                <c:pt idx="64">
                  <c:v>0.47027161184958111</c:v>
                </c:pt>
                <c:pt idx="65">
                  <c:v>0.2863321244297703</c:v>
                </c:pt>
                <c:pt idx="66">
                  <c:v>0.29380812843389936</c:v>
                </c:pt>
                <c:pt idx="67">
                  <c:v>0.56823226454045006</c:v>
                </c:pt>
                <c:pt idx="68">
                  <c:v>0.32483985752190048</c:v>
                </c:pt>
                <c:pt idx="69">
                  <c:v>0.27372395066078958</c:v>
                </c:pt>
                <c:pt idx="70">
                  <c:v>0.29823049847562899</c:v>
                </c:pt>
                <c:pt idx="71">
                  <c:v>0.48227605723955946</c:v>
                </c:pt>
                <c:pt idx="72">
                  <c:v>0.31562179939021995</c:v>
                </c:pt>
                <c:pt idx="73">
                  <c:v>0.53731039640431</c:v>
                </c:pt>
                <c:pt idx="74">
                  <c:v>0.62655296502873004</c:v>
                </c:pt>
                <c:pt idx="75">
                  <c:v>1.32358698824725</c:v>
                </c:pt>
                <c:pt idx="76">
                  <c:v>0.36388218731218025</c:v>
                </c:pt>
                <c:pt idx="77">
                  <c:v>0.12514135291634965</c:v>
                </c:pt>
                <c:pt idx="78">
                  <c:v>0.20673162141006962</c:v>
                </c:pt>
                <c:pt idx="79">
                  <c:v>0.81952781081204051</c:v>
                </c:pt>
                <c:pt idx="80">
                  <c:v>0.4268145813158899</c:v>
                </c:pt>
                <c:pt idx="81">
                  <c:v>0.23737036586550886</c:v>
                </c:pt>
                <c:pt idx="82">
                  <c:v>6.9762628286559547E-2</c:v>
                </c:pt>
                <c:pt idx="83">
                  <c:v>0.1781286814446803</c:v>
                </c:pt>
                <c:pt idx="84">
                  <c:v>0.40721019423906046</c:v>
                </c:pt>
                <c:pt idx="85">
                  <c:v>7.9243866562380028E-2</c:v>
                </c:pt>
                <c:pt idx="86">
                  <c:v>0.32437586992205958</c:v>
                </c:pt>
                <c:pt idx="87">
                  <c:v>0.529801211680339</c:v>
                </c:pt>
                <c:pt idx="88">
                  <c:v>0.66378128991322072</c:v>
                </c:pt>
                <c:pt idx="89">
                  <c:v>0.32814282349362944</c:v>
                </c:pt>
                <c:pt idx="90">
                  <c:v>0.47949635207196994</c:v>
                </c:pt>
                <c:pt idx="91">
                  <c:v>0.41561849200761003</c:v>
                </c:pt>
                <c:pt idx="92">
                  <c:v>0.13322686343031087</c:v>
                </c:pt>
                <c:pt idx="93">
                  <c:v>0.25582254325028053</c:v>
                </c:pt>
                <c:pt idx="94">
                  <c:v>0.39006967715113916</c:v>
                </c:pt>
                <c:pt idx="95">
                  <c:v>0.6102370352333093</c:v>
                </c:pt>
                <c:pt idx="96">
                  <c:v>0.33795224665945867</c:v>
                </c:pt>
                <c:pt idx="97">
                  <c:v>0.27269304483193935</c:v>
                </c:pt>
                <c:pt idx="98">
                  <c:v>0.30283950933882942</c:v>
                </c:pt>
                <c:pt idx="99">
                  <c:v>0.32585712470122097</c:v>
                </c:pt>
                <c:pt idx="100">
                  <c:v>0.20205867622212015</c:v>
                </c:pt>
                <c:pt idx="101">
                  <c:v>0.26241353724256999</c:v>
                </c:pt>
                <c:pt idx="102">
                  <c:v>0.4863709259442599</c:v>
                </c:pt>
                <c:pt idx="103">
                  <c:v>0.13765754534422037</c:v>
                </c:pt>
                <c:pt idx="104">
                  <c:v>0.2770981477175809</c:v>
                </c:pt>
                <c:pt idx="105">
                  <c:v>0.52786531625443089</c:v>
                </c:pt>
                <c:pt idx="106">
                  <c:v>0.32019873922203068</c:v>
                </c:pt>
                <c:pt idx="107">
                  <c:v>0.34097862547085001</c:v>
                </c:pt>
                <c:pt idx="108">
                  <c:v>0.65217580688885946</c:v>
                </c:pt>
                <c:pt idx="109">
                  <c:v>0.40148534266825031</c:v>
                </c:pt>
                <c:pt idx="110">
                  <c:v>0.36408758656622986</c:v>
                </c:pt>
                <c:pt idx="111">
                  <c:v>0.3916288212323602</c:v>
                </c:pt>
                <c:pt idx="112">
                  <c:v>0.49832021964821038</c:v>
                </c:pt>
                <c:pt idx="113">
                  <c:v>0.54291650003026959</c:v>
                </c:pt>
                <c:pt idx="114">
                  <c:v>0.26430605079544023</c:v>
                </c:pt>
                <c:pt idx="115">
                  <c:v>0.33499409384267054</c:v>
                </c:pt>
                <c:pt idx="116">
                  <c:v>0.27007348050023072</c:v>
                </c:pt>
                <c:pt idx="117">
                  <c:v>0.59159871753952942</c:v>
                </c:pt>
                <c:pt idx="118">
                  <c:v>0.83939914364364032</c:v>
                </c:pt>
                <c:pt idx="119">
                  <c:v>0.5672654722642303</c:v>
                </c:pt>
                <c:pt idx="120">
                  <c:v>5.576134371571051E-2</c:v>
                </c:pt>
                <c:pt idx="121">
                  <c:v>0.39441538380495977</c:v>
                </c:pt>
                <c:pt idx="122">
                  <c:v>0.59433938385788032</c:v>
                </c:pt>
                <c:pt idx="123">
                  <c:v>0.41383955538988992</c:v>
                </c:pt>
                <c:pt idx="124">
                  <c:v>0.30763491873709992</c:v>
                </c:pt>
                <c:pt idx="125">
                  <c:v>0.46522146274359066</c:v>
                </c:pt>
                <c:pt idx="126">
                  <c:v>0.52507451443227104</c:v>
                </c:pt>
                <c:pt idx="127">
                  <c:v>0.43158102781134033</c:v>
                </c:pt>
                <c:pt idx="128">
                  <c:v>0.42850102731687034</c:v>
                </c:pt>
                <c:pt idx="129">
                  <c:v>0.34138914630062089</c:v>
                </c:pt>
                <c:pt idx="130">
                  <c:v>0.2326493483585601</c:v>
                </c:pt>
                <c:pt idx="131">
                  <c:v>0.16396284805476924</c:v>
                </c:pt>
                <c:pt idx="132">
                  <c:v>0.38376096462700104</c:v>
                </c:pt>
                <c:pt idx="133">
                  <c:v>0.49285515297215987</c:v>
                </c:pt>
                <c:pt idx="134">
                  <c:v>0.22210690816391043</c:v>
                </c:pt>
                <c:pt idx="135">
                  <c:v>0.24287039388868958</c:v>
                </c:pt>
                <c:pt idx="136">
                  <c:v>0.38625672077541928</c:v>
                </c:pt>
                <c:pt idx="137">
                  <c:v>0.28559969597035995</c:v>
                </c:pt>
                <c:pt idx="138">
                  <c:v>0.29745381833412043</c:v>
                </c:pt>
                <c:pt idx="139">
                  <c:v>0.53131578578592986</c:v>
                </c:pt>
                <c:pt idx="140">
                  <c:v>0.66693513313344965</c:v>
                </c:pt>
                <c:pt idx="141">
                  <c:v>0.47230245861921993</c:v>
                </c:pt>
                <c:pt idx="142">
                  <c:v>0.45992751510153962</c:v>
                </c:pt>
                <c:pt idx="143">
                  <c:v>6.0315590125849639E-2</c:v>
                </c:pt>
                <c:pt idx="144">
                  <c:v>1.7392785031850266E-2</c:v>
                </c:pt>
                <c:pt idx="145">
                  <c:v>0.83146086242235029</c:v>
                </c:pt>
                <c:pt idx="146">
                  <c:v>0.66110949422119969</c:v>
                </c:pt>
                <c:pt idx="147">
                  <c:v>0.51978316792237056</c:v>
                </c:pt>
                <c:pt idx="148">
                  <c:v>0.53149526711291983</c:v>
                </c:pt>
                <c:pt idx="149">
                  <c:v>0.22808606386158026</c:v>
                </c:pt>
                <c:pt idx="150">
                  <c:v>0.20506475066066976</c:v>
                </c:pt>
                <c:pt idx="151">
                  <c:v>0.24356258226783023</c:v>
                </c:pt>
                <c:pt idx="152">
                  <c:v>0.31378090735671016</c:v>
                </c:pt>
                <c:pt idx="153">
                  <c:v>0.30044848814974934</c:v>
                </c:pt>
                <c:pt idx="154">
                  <c:v>0.38863795815671054</c:v>
                </c:pt>
                <c:pt idx="155">
                  <c:v>0.60431637005720962</c:v>
                </c:pt>
                <c:pt idx="156">
                  <c:v>0.81464567194326953</c:v>
                </c:pt>
                <c:pt idx="157">
                  <c:v>0.32082979683393908</c:v>
                </c:pt>
                <c:pt idx="158">
                  <c:v>0.21147191736662041</c:v>
                </c:pt>
                <c:pt idx="159">
                  <c:v>0.26707953237073934</c:v>
                </c:pt>
                <c:pt idx="160">
                  <c:v>0.15290090124185962</c:v>
                </c:pt>
                <c:pt idx="161">
                  <c:v>0.35167036263249951</c:v>
                </c:pt>
                <c:pt idx="162">
                  <c:v>0.50647444260637009</c:v>
                </c:pt>
                <c:pt idx="163">
                  <c:v>0.56637712595110123</c:v>
                </c:pt>
                <c:pt idx="164">
                  <c:v>0.40799996297904961</c:v>
                </c:pt>
                <c:pt idx="165">
                  <c:v>0.35604452117155994</c:v>
                </c:pt>
                <c:pt idx="166">
                  <c:v>0.27199620214800113</c:v>
                </c:pt>
                <c:pt idx="167">
                  <c:v>0.51148451350620938</c:v>
                </c:pt>
                <c:pt idx="168">
                  <c:v>0.56236669851100096</c:v>
                </c:pt>
                <c:pt idx="169">
                  <c:v>0.34861436505505061</c:v>
                </c:pt>
                <c:pt idx="170">
                  <c:v>0.32629769772780026</c:v>
                </c:pt>
                <c:pt idx="171">
                  <c:v>0.20892856324573916</c:v>
                </c:pt>
                <c:pt idx="172">
                  <c:v>0.34293439426213013</c:v>
                </c:pt>
                <c:pt idx="173">
                  <c:v>0.41724688786712072</c:v>
                </c:pt>
                <c:pt idx="174">
                  <c:v>0.11192686003757935</c:v>
                </c:pt>
                <c:pt idx="175">
                  <c:v>0.3133243024318606</c:v>
                </c:pt>
                <c:pt idx="176">
                  <c:v>0.44396113954723049</c:v>
                </c:pt>
                <c:pt idx="177">
                  <c:v>0.62255249119647971</c:v>
                </c:pt>
                <c:pt idx="178">
                  <c:v>0.37384268724778025</c:v>
                </c:pt>
                <c:pt idx="179">
                  <c:v>0.24214275006811903</c:v>
                </c:pt>
                <c:pt idx="180">
                  <c:v>0.2281063835503403</c:v>
                </c:pt>
                <c:pt idx="181">
                  <c:v>0.37190095458343997</c:v>
                </c:pt>
                <c:pt idx="182">
                  <c:v>0.38421241344668999</c:v>
                </c:pt>
                <c:pt idx="183">
                  <c:v>0.38258040688153994</c:v>
                </c:pt>
                <c:pt idx="184">
                  <c:v>0.48143071383988012</c:v>
                </c:pt>
                <c:pt idx="185">
                  <c:v>0.65159096266871064</c:v>
                </c:pt>
                <c:pt idx="186">
                  <c:v>0.43119733676705074</c:v>
                </c:pt>
                <c:pt idx="187">
                  <c:v>0.32998393067516041</c:v>
                </c:pt>
                <c:pt idx="188">
                  <c:v>0.18551023501709096</c:v>
                </c:pt>
                <c:pt idx="189">
                  <c:v>0.15506820526508047</c:v>
                </c:pt>
                <c:pt idx="190">
                  <c:v>0.4578101482199699</c:v>
                </c:pt>
                <c:pt idx="191">
                  <c:v>0.61865143624664043</c:v>
                </c:pt>
                <c:pt idx="192">
                  <c:v>0.22879966875813018</c:v>
                </c:pt>
                <c:pt idx="193">
                  <c:v>0.19506997104227075</c:v>
                </c:pt>
                <c:pt idx="194">
                  <c:v>0.70814178283228912</c:v>
                </c:pt>
                <c:pt idx="195">
                  <c:v>0.12179729271623962</c:v>
                </c:pt>
                <c:pt idx="196">
                  <c:v>0.46656606478985996</c:v>
                </c:pt>
                <c:pt idx="197">
                  <c:v>0.34521892733306991</c:v>
                </c:pt>
                <c:pt idx="198">
                  <c:v>0.34648664000320117</c:v>
                </c:pt>
                <c:pt idx="199">
                  <c:v>0.3873821847059995</c:v>
                </c:pt>
                <c:pt idx="200">
                  <c:v>0.44313681140808026</c:v>
                </c:pt>
                <c:pt idx="201">
                  <c:v>0.17140062484043028</c:v>
                </c:pt>
                <c:pt idx="202">
                  <c:v>0.27032892247209972</c:v>
                </c:pt>
                <c:pt idx="203">
                  <c:v>0.17465786059424016</c:v>
                </c:pt>
                <c:pt idx="204">
                  <c:v>0.65320022672069999</c:v>
                </c:pt>
                <c:pt idx="205">
                  <c:v>0.25305412557982976</c:v>
                </c:pt>
                <c:pt idx="206">
                  <c:v>0.46797955824815052</c:v>
                </c:pt>
                <c:pt idx="207">
                  <c:v>0.17930995972976937</c:v>
                </c:pt>
                <c:pt idx="208">
                  <c:v>0.78105344690936018</c:v>
                </c:pt>
                <c:pt idx="209">
                  <c:v>0.83322507948295055</c:v>
                </c:pt>
                <c:pt idx="210">
                  <c:v>0.1058638169486299</c:v>
                </c:pt>
                <c:pt idx="211">
                  <c:v>0.49928941934252968</c:v>
                </c:pt>
                <c:pt idx="212">
                  <c:v>0.40202710040856005</c:v>
                </c:pt>
                <c:pt idx="213">
                  <c:v>0.44458170010518927</c:v>
                </c:pt>
                <c:pt idx="214">
                  <c:v>0.37620395003560958</c:v>
                </c:pt>
                <c:pt idx="215">
                  <c:v>0.60880047446275043</c:v>
                </c:pt>
                <c:pt idx="216">
                  <c:v>0.5039399913171696</c:v>
                </c:pt>
                <c:pt idx="217">
                  <c:v>0.34440616836456961</c:v>
                </c:pt>
                <c:pt idx="218">
                  <c:v>0.22340544757831005</c:v>
                </c:pt>
                <c:pt idx="219">
                  <c:v>0.13912629090462936</c:v>
                </c:pt>
                <c:pt idx="220">
                  <c:v>0.3380227754301206</c:v>
                </c:pt>
                <c:pt idx="221">
                  <c:v>0.39742370410734029</c:v>
                </c:pt>
                <c:pt idx="222">
                  <c:v>0.29260549292358018</c:v>
                </c:pt>
                <c:pt idx="223">
                  <c:v>0.19904774771722966</c:v>
                </c:pt>
                <c:pt idx="224">
                  <c:v>0.44433473273763013</c:v>
                </c:pt>
                <c:pt idx="225">
                  <c:v>0.39145195151700118</c:v>
                </c:pt>
                <c:pt idx="226">
                  <c:v>0.29188288627095016</c:v>
                </c:pt>
                <c:pt idx="227">
                  <c:v>0.51920584738931019</c:v>
                </c:pt>
                <c:pt idx="228">
                  <c:v>0.32834041740949971</c:v>
                </c:pt>
                <c:pt idx="229">
                  <c:v>0.30684422618540985</c:v>
                </c:pt>
                <c:pt idx="230">
                  <c:v>0.2332210970548303</c:v>
                </c:pt>
                <c:pt idx="231">
                  <c:v>0.30973833549608987</c:v>
                </c:pt>
                <c:pt idx="232">
                  <c:v>0.41097670161111033</c:v>
                </c:pt>
                <c:pt idx="233">
                  <c:v>0.42409741681810953</c:v>
                </c:pt>
                <c:pt idx="234">
                  <c:v>0.32976605898035949</c:v>
                </c:pt>
                <c:pt idx="235">
                  <c:v>0.20597658498275973</c:v>
                </c:pt>
                <c:pt idx="236">
                  <c:v>0.45828037981621073</c:v>
                </c:pt>
                <c:pt idx="237">
                  <c:v>0.35176913204005977</c:v>
                </c:pt>
                <c:pt idx="238">
                  <c:v>7.0844428414800653E-2</c:v>
                </c:pt>
                <c:pt idx="239">
                  <c:v>0.13965267615050969</c:v>
                </c:pt>
                <c:pt idx="240">
                  <c:v>0.33855139870842077</c:v>
                </c:pt>
                <c:pt idx="241">
                  <c:v>0.26962695998243902</c:v>
                </c:pt>
                <c:pt idx="242">
                  <c:v>0.44959239552598973</c:v>
                </c:pt>
                <c:pt idx="243">
                  <c:v>0.3140442649844104</c:v>
                </c:pt>
                <c:pt idx="244">
                  <c:v>0.2252205785669199</c:v>
                </c:pt>
                <c:pt idx="245">
                  <c:v>0.45980988171386006</c:v>
                </c:pt>
                <c:pt idx="246">
                  <c:v>0.49043868361562026</c:v>
                </c:pt>
                <c:pt idx="247">
                  <c:v>0.41790266700592937</c:v>
                </c:pt>
                <c:pt idx="248">
                  <c:v>0.41344101547881973</c:v>
                </c:pt>
                <c:pt idx="249">
                  <c:v>0.50790777463884851</c:v>
                </c:pt>
                <c:pt idx="250">
                  <c:v>0.3141872241286201</c:v>
                </c:pt>
                <c:pt idx="251">
                  <c:v>0.37460271198115969</c:v>
                </c:pt>
                <c:pt idx="252">
                  <c:v>0.25492492971743985</c:v>
                </c:pt>
                <c:pt idx="253">
                  <c:v>0.38457704244158997</c:v>
                </c:pt>
                <c:pt idx="254">
                  <c:v>0.21576840158143007</c:v>
                </c:pt>
                <c:pt idx="255">
                  <c:v>0.19405956187542017</c:v>
                </c:pt>
                <c:pt idx="256">
                  <c:v>0.24873398698643001</c:v>
                </c:pt>
                <c:pt idx="257">
                  <c:v>0.28354531987116083</c:v>
                </c:pt>
                <c:pt idx="258">
                  <c:v>0.10102936037607968</c:v>
                </c:pt>
                <c:pt idx="259">
                  <c:v>0.64416605692584916</c:v>
                </c:pt>
                <c:pt idx="260">
                  <c:v>0.65228107306467997</c:v>
                </c:pt>
                <c:pt idx="261">
                  <c:v>0.42715144853558051</c:v>
                </c:pt>
                <c:pt idx="262">
                  <c:v>0.48983022254495978</c:v>
                </c:pt>
                <c:pt idx="263">
                  <c:v>0.36241067933723059</c:v>
                </c:pt>
                <c:pt idx="264">
                  <c:v>0.2231709926511396</c:v>
                </c:pt>
                <c:pt idx="265">
                  <c:v>0.56738052381628989</c:v>
                </c:pt>
                <c:pt idx="266">
                  <c:v>0.36439708559064066</c:v>
                </c:pt>
                <c:pt idx="267">
                  <c:v>0.3462142521024294</c:v>
                </c:pt>
                <c:pt idx="268">
                  <c:v>0.22907692764144993</c:v>
                </c:pt>
                <c:pt idx="269">
                  <c:v>0.51914095836383911</c:v>
                </c:pt>
                <c:pt idx="270">
                  <c:v>0.55587337818502025</c:v>
                </c:pt>
                <c:pt idx="271">
                  <c:v>0.2545435366482085</c:v>
                </c:pt>
                <c:pt idx="272">
                  <c:v>0.38818708698535076</c:v>
                </c:pt>
                <c:pt idx="273">
                  <c:v>0.44312807620548966</c:v>
                </c:pt>
                <c:pt idx="274">
                  <c:v>0.40902533024589971</c:v>
                </c:pt>
                <c:pt idx="275">
                  <c:v>0.45495082491073013</c:v>
                </c:pt>
                <c:pt idx="276">
                  <c:v>8.214003096385003E-2</c:v>
                </c:pt>
                <c:pt idx="277">
                  <c:v>0.2955862558122293</c:v>
                </c:pt>
                <c:pt idx="278">
                  <c:v>0.37250279670553965</c:v>
                </c:pt>
                <c:pt idx="279">
                  <c:v>0.38873279719128995</c:v>
                </c:pt>
                <c:pt idx="280">
                  <c:v>0.42095646965938904</c:v>
                </c:pt>
                <c:pt idx="281">
                  <c:v>0.44310863603803963</c:v>
                </c:pt>
                <c:pt idx="282">
                  <c:v>0.39076609127614947</c:v>
                </c:pt>
                <c:pt idx="283">
                  <c:v>0.406807191942411</c:v>
                </c:pt>
                <c:pt idx="284">
                  <c:v>0.19946467842861981</c:v>
                </c:pt>
                <c:pt idx="285">
                  <c:v>0.26001210087878945</c:v>
                </c:pt>
                <c:pt idx="286">
                  <c:v>0.27154757245532046</c:v>
                </c:pt>
                <c:pt idx="287">
                  <c:v>0.28982797722664966</c:v>
                </c:pt>
                <c:pt idx="288">
                  <c:v>0.19872057716930946</c:v>
                </c:pt>
                <c:pt idx="289">
                  <c:v>0.47729702976603861</c:v>
                </c:pt>
                <c:pt idx="290">
                  <c:v>0.20349706696087022</c:v>
                </c:pt>
                <c:pt idx="291">
                  <c:v>0.14264604705448924</c:v>
                </c:pt>
                <c:pt idx="292">
                  <c:v>0.53557696508481012</c:v>
                </c:pt>
                <c:pt idx="293">
                  <c:v>0.68749450441225957</c:v>
                </c:pt>
                <c:pt idx="294">
                  <c:v>0.37369803396609846</c:v>
                </c:pt>
                <c:pt idx="295">
                  <c:v>0.54219985382058944</c:v>
                </c:pt>
                <c:pt idx="296">
                  <c:v>0.52114580101989993</c:v>
                </c:pt>
                <c:pt idx="297">
                  <c:v>0.24182123561272917</c:v>
                </c:pt>
                <c:pt idx="298">
                  <c:v>0.29267194473796998</c:v>
                </c:pt>
                <c:pt idx="299">
                  <c:v>0.27955679134934996</c:v>
                </c:pt>
                <c:pt idx="300">
                  <c:v>0.38238541641582913</c:v>
                </c:pt>
                <c:pt idx="301">
                  <c:v>0.38359845453243047</c:v>
                </c:pt>
                <c:pt idx="302">
                  <c:v>-9.356309839462007E-2</c:v>
                </c:pt>
                <c:pt idx="303">
                  <c:v>0.45393285575651987</c:v>
                </c:pt>
                <c:pt idx="304">
                  <c:v>0.32790645958411968</c:v>
                </c:pt>
                <c:pt idx="305">
                  <c:v>0.14308618465986012</c:v>
                </c:pt>
                <c:pt idx="306">
                  <c:v>0.44769316680091897</c:v>
                </c:pt>
                <c:pt idx="307">
                  <c:v>0.41049095485798048</c:v>
                </c:pt>
                <c:pt idx="308">
                  <c:v>0.67608931856003984</c:v>
                </c:pt>
                <c:pt idx="309">
                  <c:v>0.42119347162679865</c:v>
                </c:pt>
                <c:pt idx="310">
                  <c:v>0.40472271323067055</c:v>
                </c:pt>
                <c:pt idx="311">
                  <c:v>0.53659184226649081</c:v>
                </c:pt>
                <c:pt idx="312">
                  <c:v>0.43078046029971961</c:v>
                </c:pt>
                <c:pt idx="313">
                  <c:v>0.44573250425113109</c:v>
                </c:pt>
                <c:pt idx="314">
                  <c:v>0.38998863442001941</c:v>
                </c:pt>
                <c:pt idx="315">
                  <c:v>0.49206932422062</c:v>
                </c:pt>
                <c:pt idx="316">
                  <c:v>0.40756745874452971</c:v>
                </c:pt>
                <c:pt idx="317">
                  <c:v>0.41768466993558029</c:v>
                </c:pt>
                <c:pt idx="318">
                  <c:v>0.63724227273451994</c:v>
                </c:pt>
                <c:pt idx="319">
                  <c:v>0.33561032725677009</c:v>
                </c:pt>
                <c:pt idx="320">
                  <c:v>0.53312444122845015</c:v>
                </c:pt>
                <c:pt idx="321">
                  <c:v>0.47317723086247909</c:v>
                </c:pt>
                <c:pt idx="322">
                  <c:v>0.37769810167894935</c:v>
                </c:pt>
                <c:pt idx="323">
                  <c:v>0.33770748268811879</c:v>
                </c:pt>
                <c:pt idx="324">
                  <c:v>0.51213497719498946</c:v>
                </c:pt>
                <c:pt idx="325">
                  <c:v>0.25599179071897993</c:v>
                </c:pt>
                <c:pt idx="326">
                  <c:v>0.29567837459790969</c:v>
                </c:pt>
                <c:pt idx="327">
                  <c:v>0.5476290903228902</c:v>
                </c:pt>
                <c:pt idx="328">
                  <c:v>0.51282022477021982</c:v>
                </c:pt>
                <c:pt idx="329">
                  <c:v>0.20713124340460976</c:v>
                </c:pt>
                <c:pt idx="330">
                  <c:v>0.66547331687140066</c:v>
                </c:pt>
                <c:pt idx="331">
                  <c:v>0.60263916215932056</c:v>
                </c:pt>
                <c:pt idx="332">
                  <c:v>0.19783288741556948</c:v>
                </c:pt>
                <c:pt idx="333">
                  <c:v>0.43043139963922883</c:v>
                </c:pt>
                <c:pt idx="334">
                  <c:v>0.52964465827023943</c:v>
                </c:pt>
                <c:pt idx="335">
                  <c:v>0.63484867115112031</c:v>
                </c:pt>
                <c:pt idx="336">
                  <c:v>0.46736189929664018</c:v>
                </c:pt>
                <c:pt idx="337">
                  <c:v>0.43141139738533063</c:v>
                </c:pt>
                <c:pt idx="338">
                  <c:v>0.30078042384563908</c:v>
                </c:pt>
                <c:pt idx="339">
                  <c:v>0.37091204044526016</c:v>
                </c:pt>
                <c:pt idx="340">
                  <c:v>0.36580342568001978</c:v>
                </c:pt>
                <c:pt idx="341">
                  <c:v>0.34763798959075043</c:v>
                </c:pt>
                <c:pt idx="342">
                  <c:v>0.28325655523853932</c:v>
                </c:pt>
                <c:pt idx="343">
                  <c:v>0.46507391558706956</c:v>
                </c:pt>
                <c:pt idx="344">
                  <c:v>0.31919115628088957</c:v>
                </c:pt>
                <c:pt idx="345">
                  <c:v>0.58720237108214945</c:v>
                </c:pt>
                <c:pt idx="346">
                  <c:v>0.40395846023625914</c:v>
                </c:pt>
                <c:pt idx="347">
                  <c:v>0.28441685906352987</c:v>
                </c:pt>
                <c:pt idx="348">
                  <c:v>0.27468214124234969</c:v>
                </c:pt>
                <c:pt idx="349">
                  <c:v>0.31926049994941863</c:v>
                </c:pt>
                <c:pt idx="350">
                  <c:v>0.26774257281297054</c:v>
                </c:pt>
                <c:pt idx="351">
                  <c:v>0.2106858857865701</c:v>
                </c:pt>
                <c:pt idx="352">
                  <c:v>0.29753354843624003</c:v>
                </c:pt>
                <c:pt idx="353">
                  <c:v>0.38745450532405989</c:v>
                </c:pt>
                <c:pt idx="354">
                  <c:v>0.5746842622483106</c:v>
                </c:pt>
                <c:pt idx="355">
                  <c:v>0.51810222988304844</c:v>
                </c:pt>
                <c:pt idx="356">
                  <c:v>0.34370919492151053</c:v>
                </c:pt>
                <c:pt idx="357">
                  <c:v>0.56952111860092902</c:v>
                </c:pt>
                <c:pt idx="358">
                  <c:v>0.11952134259750036</c:v>
                </c:pt>
                <c:pt idx="359">
                  <c:v>0.36141531731891963</c:v>
                </c:pt>
                <c:pt idx="360">
                  <c:v>0.40941156298795978</c:v>
                </c:pt>
                <c:pt idx="361">
                  <c:v>0.25165134148537049</c:v>
                </c:pt>
                <c:pt idx="362">
                  <c:v>0.15476960084311031</c:v>
                </c:pt>
                <c:pt idx="363">
                  <c:v>0.26171822139037992</c:v>
                </c:pt>
                <c:pt idx="364">
                  <c:v>0.35103922871713955</c:v>
                </c:pt>
                <c:pt idx="365">
                  <c:v>0.21243816211220956</c:v>
                </c:pt>
                <c:pt idx="366">
                  <c:v>0.38571233025881035</c:v>
                </c:pt>
                <c:pt idx="367">
                  <c:v>0.3347345285367993</c:v>
                </c:pt>
                <c:pt idx="368">
                  <c:v>0.32323766476168991</c:v>
                </c:pt>
                <c:pt idx="369">
                  <c:v>0.6641530169362504</c:v>
                </c:pt>
                <c:pt idx="370">
                  <c:v>0.37532468882781966</c:v>
                </c:pt>
                <c:pt idx="371">
                  <c:v>0.36434158894067981</c:v>
                </c:pt>
                <c:pt idx="372">
                  <c:v>0.49177909687179966</c:v>
                </c:pt>
                <c:pt idx="373">
                  <c:v>0.33767902062587929</c:v>
                </c:pt>
                <c:pt idx="374">
                  <c:v>0.42869030266198926</c:v>
                </c:pt>
                <c:pt idx="375">
                  <c:v>0.4002410595364605</c:v>
                </c:pt>
                <c:pt idx="376">
                  <c:v>0.4807948095508694</c:v>
                </c:pt>
                <c:pt idx="377">
                  <c:v>0.25967792047170946</c:v>
                </c:pt>
                <c:pt idx="378">
                  <c:v>0.45674369334186959</c:v>
                </c:pt>
                <c:pt idx="379">
                  <c:v>0.50997087702084976</c:v>
                </c:pt>
                <c:pt idx="380">
                  <c:v>0.6834773547517603</c:v>
                </c:pt>
                <c:pt idx="381">
                  <c:v>0.43189022051883974</c:v>
                </c:pt>
                <c:pt idx="382">
                  <c:v>0.45762107402539964</c:v>
                </c:pt>
                <c:pt idx="383">
                  <c:v>0.59735282148741042</c:v>
                </c:pt>
                <c:pt idx="384">
                  <c:v>0.40722589647969087</c:v>
                </c:pt>
                <c:pt idx="385">
                  <c:v>0.30525374364583957</c:v>
                </c:pt>
                <c:pt idx="386">
                  <c:v>0.65562394003793933</c:v>
                </c:pt>
                <c:pt idx="387">
                  <c:v>0.62654865171701957</c:v>
                </c:pt>
                <c:pt idx="388">
                  <c:v>0.23991704636114086</c:v>
                </c:pt>
                <c:pt idx="389">
                  <c:v>0.44498663334795996</c:v>
                </c:pt>
                <c:pt idx="390">
                  <c:v>0.39237405075374987</c:v>
                </c:pt>
                <c:pt idx="391">
                  <c:v>0.67112093833455955</c:v>
                </c:pt>
                <c:pt idx="392">
                  <c:v>0.21577826013094015</c:v>
                </c:pt>
                <c:pt idx="393">
                  <c:v>0.21795693489429979</c:v>
                </c:pt>
                <c:pt idx="394">
                  <c:v>0.5528309937736493</c:v>
                </c:pt>
                <c:pt idx="395">
                  <c:v>4.3137591497939276E-2</c:v>
                </c:pt>
                <c:pt idx="396">
                  <c:v>0.37403738347410886</c:v>
                </c:pt>
                <c:pt idx="397">
                  <c:v>0.11696092368960009</c:v>
                </c:pt>
                <c:pt idx="398">
                  <c:v>0.43159545770890873</c:v>
                </c:pt>
                <c:pt idx="399">
                  <c:v>0.40168489659255968</c:v>
                </c:pt>
                <c:pt idx="400">
                  <c:v>0.42646632162472109</c:v>
                </c:pt>
                <c:pt idx="401">
                  <c:v>0.18049366570776115</c:v>
                </c:pt>
                <c:pt idx="402">
                  <c:v>0.44907283719199054</c:v>
                </c:pt>
                <c:pt idx="403">
                  <c:v>0.60395027164009107</c:v>
                </c:pt>
                <c:pt idx="404">
                  <c:v>0.39857417061842959</c:v>
                </c:pt>
                <c:pt idx="405">
                  <c:v>0.49350217349635983</c:v>
                </c:pt>
                <c:pt idx="406">
                  <c:v>0.45047161502110988</c:v>
                </c:pt>
                <c:pt idx="407">
                  <c:v>0.13515827874775077</c:v>
                </c:pt>
                <c:pt idx="408">
                  <c:v>0.56997067655627998</c:v>
                </c:pt>
                <c:pt idx="409">
                  <c:v>0.35667751993801033</c:v>
                </c:pt>
                <c:pt idx="410">
                  <c:v>0.45541772387371093</c:v>
                </c:pt>
                <c:pt idx="411">
                  <c:v>0.36815903017239027</c:v>
                </c:pt>
                <c:pt idx="412">
                  <c:v>0.15127718063456008</c:v>
                </c:pt>
                <c:pt idx="413">
                  <c:v>0.28104660946747018</c:v>
                </c:pt>
                <c:pt idx="414">
                  <c:v>0.67180381703103009</c:v>
                </c:pt>
                <c:pt idx="415">
                  <c:v>0.18371974580415085</c:v>
                </c:pt>
                <c:pt idx="416">
                  <c:v>0.30905150874563958</c:v>
                </c:pt>
                <c:pt idx="417">
                  <c:v>0.17216031555246047</c:v>
                </c:pt>
                <c:pt idx="418">
                  <c:v>0.67862031121734923</c:v>
                </c:pt>
                <c:pt idx="419">
                  <c:v>0.24388975939432012</c:v>
                </c:pt>
                <c:pt idx="420">
                  <c:v>0.35921276032831972</c:v>
                </c:pt>
                <c:pt idx="421">
                  <c:v>0.26789843689119941</c:v>
                </c:pt>
                <c:pt idx="422">
                  <c:v>0.26715783490197076</c:v>
                </c:pt>
                <c:pt idx="423">
                  <c:v>0.51407657873599</c:v>
                </c:pt>
                <c:pt idx="424">
                  <c:v>0.49432155573434944</c:v>
                </c:pt>
                <c:pt idx="425">
                  <c:v>0.30726718810808062</c:v>
                </c:pt>
                <c:pt idx="426">
                  <c:v>0.34140677022290955</c:v>
                </c:pt>
                <c:pt idx="427">
                  <c:v>0.38901980967909999</c:v>
                </c:pt>
                <c:pt idx="428">
                  <c:v>0.43619368334902919</c:v>
                </c:pt>
                <c:pt idx="429">
                  <c:v>8.0461996173310624E-2</c:v>
                </c:pt>
                <c:pt idx="430">
                  <c:v>0.56606111356646061</c:v>
                </c:pt>
                <c:pt idx="431">
                  <c:v>7.7922609859929715E-2</c:v>
                </c:pt>
                <c:pt idx="432">
                  <c:v>0.38379364523014026</c:v>
                </c:pt>
                <c:pt idx="433">
                  <c:v>0.73871627744001067</c:v>
                </c:pt>
                <c:pt idx="434">
                  <c:v>0.80969560419639031</c:v>
                </c:pt>
                <c:pt idx="435">
                  <c:v>0.36908561630754022</c:v>
                </c:pt>
                <c:pt idx="436">
                  <c:v>0.45669557707695052</c:v>
                </c:pt>
                <c:pt idx="437">
                  <c:v>9.8993548402050102E-2</c:v>
                </c:pt>
                <c:pt idx="438">
                  <c:v>0.34257838706357013</c:v>
                </c:pt>
                <c:pt idx="439">
                  <c:v>0.4227510963373895</c:v>
                </c:pt>
                <c:pt idx="440">
                  <c:v>0.62663679988453946</c:v>
                </c:pt>
                <c:pt idx="441">
                  <c:v>0.17951407775215955</c:v>
                </c:pt>
                <c:pt idx="442">
                  <c:v>0.15701191269115</c:v>
                </c:pt>
                <c:pt idx="443">
                  <c:v>0.26729379808445941</c:v>
                </c:pt>
                <c:pt idx="444">
                  <c:v>0.4569503546971605</c:v>
                </c:pt>
                <c:pt idx="445">
                  <c:v>0.44905364935330994</c:v>
                </c:pt>
                <c:pt idx="446">
                  <c:v>0.30778651415006042</c:v>
                </c:pt>
                <c:pt idx="447">
                  <c:v>0.4209333527041208</c:v>
                </c:pt>
                <c:pt idx="448">
                  <c:v>0.25876439230760084</c:v>
                </c:pt>
                <c:pt idx="449">
                  <c:v>0.48190311316136025</c:v>
                </c:pt>
                <c:pt idx="450">
                  <c:v>0.35604966496469004</c:v>
                </c:pt>
                <c:pt idx="451">
                  <c:v>0.74894640337081952</c:v>
                </c:pt>
                <c:pt idx="452">
                  <c:v>0.65507796991188005</c:v>
                </c:pt>
                <c:pt idx="453">
                  <c:v>0.29968947914978905</c:v>
                </c:pt>
                <c:pt idx="454">
                  <c:v>0.34069482730457956</c:v>
                </c:pt>
                <c:pt idx="455">
                  <c:v>0.47336330502947099</c:v>
                </c:pt>
                <c:pt idx="456">
                  <c:v>0.24447840077219851</c:v>
                </c:pt>
                <c:pt idx="457">
                  <c:v>0.18807860775405061</c:v>
                </c:pt>
                <c:pt idx="458">
                  <c:v>0.26093867538403082</c:v>
                </c:pt>
                <c:pt idx="459">
                  <c:v>0.41040505218821011</c:v>
                </c:pt>
                <c:pt idx="460">
                  <c:v>0.44867883697958</c:v>
                </c:pt>
                <c:pt idx="461">
                  <c:v>0.52670554462952879</c:v>
                </c:pt>
                <c:pt idx="462">
                  <c:v>0.18833475624230012</c:v>
                </c:pt>
                <c:pt idx="463">
                  <c:v>0.50350784271731008</c:v>
                </c:pt>
                <c:pt idx="464">
                  <c:v>0.75897301350193036</c:v>
                </c:pt>
                <c:pt idx="465">
                  <c:v>0.32007486911822092</c:v>
                </c:pt>
                <c:pt idx="466">
                  <c:v>0.32253545490821978</c:v>
                </c:pt>
                <c:pt idx="467">
                  <c:v>0.52358914886987051</c:v>
                </c:pt>
                <c:pt idx="468">
                  <c:v>0.38906326504115007</c:v>
                </c:pt>
                <c:pt idx="469">
                  <c:v>0.23274712717377</c:v>
                </c:pt>
                <c:pt idx="470">
                  <c:v>0.33632772534455135</c:v>
                </c:pt>
                <c:pt idx="471">
                  <c:v>0.3092370547163803</c:v>
                </c:pt>
                <c:pt idx="472">
                  <c:v>0.45499299792934966</c:v>
                </c:pt>
                <c:pt idx="473">
                  <c:v>0.65218624162114036</c:v>
                </c:pt>
                <c:pt idx="474">
                  <c:v>0.52711643091388982</c:v>
                </c:pt>
                <c:pt idx="475">
                  <c:v>0.47775936410620901</c:v>
                </c:pt>
                <c:pt idx="476">
                  <c:v>0.32715244082288919</c:v>
                </c:pt>
                <c:pt idx="477">
                  <c:v>0.58925217763871984</c:v>
                </c:pt>
                <c:pt idx="478">
                  <c:v>0.38281965295485954</c:v>
                </c:pt>
                <c:pt idx="479">
                  <c:v>0.43060103837397978</c:v>
                </c:pt>
                <c:pt idx="480">
                  <c:v>0.35264869461098947</c:v>
                </c:pt>
                <c:pt idx="481">
                  <c:v>0.43849981585869013</c:v>
                </c:pt>
                <c:pt idx="482">
                  <c:v>0.30875715184988994</c:v>
                </c:pt>
                <c:pt idx="483">
                  <c:v>0.43767063451146004</c:v>
                </c:pt>
                <c:pt idx="484">
                  <c:v>0.54853828025159945</c:v>
                </c:pt>
                <c:pt idx="485">
                  <c:v>0.54306158787999959</c:v>
                </c:pt>
                <c:pt idx="486">
                  <c:v>0.23305393255652884</c:v>
                </c:pt>
                <c:pt idx="487">
                  <c:v>0.45351775807615979</c:v>
                </c:pt>
                <c:pt idx="488">
                  <c:v>0.20857795955638014</c:v>
                </c:pt>
                <c:pt idx="489">
                  <c:v>0.26446856001221963</c:v>
                </c:pt>
                <c:pt idx="490">
                  <c:v>0.59778352420147929</c:v>
                </c:pt>
                <c:pt idx="491">
                  <c:v>0.55338104010203004</c:v>
                </c:pt>
                <c:pt idx="492">
                  <c:v>0.23047512862919994</c:v>
                </c:pt>
                <c:pt idx="493">
                  <c:v>0.26489964886632045</c:v>
                </c:pt>
                <c:pt idx="494">
                  <c:v>0.24163416790170977</c:v>
                </c:pt>
                <c:pt idx="495">
                  <c:v>0.35292657357103963</c:v>
                </c:pt>
                <c:pt idx="496">
                  <c:v>0.41931307084604974</c:v>
                </c:pt>
                <c:pt idx="497">
                  <c:v>0.3784414503966298</c:v>
                </c:pt>
                <c:pt idx="498">
                  <c:v>8.7229503688259769E-2</c:v>
                </c:pt>
                <c:pt idx="499">
                  <c:v>0.31864460431036967</c:v>
                </c:pt>
              </c:numCache>
            </c:numRef>
          </c:xVal>
          <c:yVal>
            <c:numRef>
              <c:f>'PSA analysis'!$F$4:$F$503</c:f>
              <c:numCache>
                <c:formatCode>0.00</c:formatCode>
                <c:ptCount val="500"/>
                <c:pt idx="0">
                  <c:v>7129.9436787860031</c:v>
                </c:pt>
                <c:pt idx="1">
                  <c:v>9284.1180216301</c:v>
                </c:pt>
                <c:pt idx="2">
                  <c:v>3691.8163278819993</c:v>
                </c:pt>
                <c:pt idx="3">
                  <c:v>7782.0018618489848</c:v>
                </c:pt>
                <c:pt idx="4">
                  <c:v>4121.1150809679821</c:v>
                </c:pt>
                <c:pt idx="5">
                  <c:v>6552.7595918890001</c:v>
                </c:pt>
                <c:pt idx="6">
                  <c:v>6491.4244643999991</c:v>
                </c:pt>
                <c:pt idx="7">
                  <c:v>7349.429332685002</c:v>
                </c:pt>
                <c:pt idx="8">
                  <c:v>6179.6690483579878</c:v>
                </c:pt>
                <c:pt idx="9">
                  <c:v>1602.1212815124018</c:v>
                </c:pt>
                <c:pt idx="10">
                  <c:v>6360.7967316909926</c:v>
                </c:pt>
                <c:pt idx="11">
                  <c:v>5507.8711103300011</c:v>
                </c:pt>
                <c:pt idx="12">
                  <c:v>4999.8690024259995</c:v>
                </c:pt>
                <c:pt idx="13">
                  <c:v>-255.60490590629342</c:v>
                </c:pt>
                <c:pt idx="14">
                  <c:v>5410.9529054309969</c:v>
                </c:pt>
                <c:pt idx="15">
                  <c:v>7669.5986629320105</c:v>
                </c:pt>
                <c:pt idx="16">
                  <c:v>9654.8255279089935</c:v>
                </c:pt>
                <c:pt idx="17">
                  <c:v>9742.1587359510013</c:v>
                </c:pt>
                <c:pt idx="18">
                  <c:v>5076.1500843429967</c:v>
                </c:pt>
                <c:pt idx="19">
                  <c:v>6077.6919910928991</c:v>
                </c:pt>
                <c:pt idx="20">
                  <c:v>15097.868326614</c:v>
                </c:pt>
                <c:pt idx="21">
                  <c:v>6733.232342948002</c:v>
                </c:pt>
                <c:pt idx="22">
                  <c:v>8179.1905081450095</c:v>
                </c:pt>
                <c:pt idx="23">
                  <c:v>8004.2801285050227</c:v>
                </c:pt>
                <c:pt idx="24">
                  <c:v>7032.2854571280186</c:v>
                </c:pt>
                <c:pt idx="25">
                  <c:v>7449.1036283359863</c:v>
                </c:pt>
                <c:pt idx="26">
                  <c:v>4157.5438551357947</c:v>
                </c:pt>
                <c:pt idx="27">
                  <c:v>3371.4938542739983</c:v>
                </c:pt>
                <c:pt idx="28">
                  <c:v>4218.4819796946103</c:v>
                </c:pt>
                <c:pt idx="29">
                  <c:v>4443.5308780060004</c:v>
                </c:pt>
                <c:pt idx="30">
                  <c:v>7513.9482513080002</c:v>
                </c:pt>
                <c:pt idx="31">
                  <c:v>3464.6965046599944</c:v>
                </c:pt>
                <c:pt idx="32">
                  <c:v>7536.3657025010034</c:v>
                </c:pt>
                <c:pt idx="33">
                  <c:v>6589.0958337999764</c:v>
                </c:pt>
                <c:pt idx="34">
                  <c:v>7524.4064956060902</c:v>
                </c:pt>
                <c:pt idx="35">
                  <c:v>6415.2650773869827</c:v>
                </c:pt>
                <c:pt idx="36">
                  <c:v>7860.6439059010154</c:v>
                </c:pt>
                <c:pt idx="37">
                  <c:v>6271.1562683889933</c:v>
                </c:pt>
                <c:pt idx="38">
                  <c:v>3733.0299514539947</c:v>
                </c:pt>
                <c:pt idx="39">
                  <c:v>4681.0944861650059</c:v>
                </c:pt>
                <c:pt idx="40">
                  <c:v>3054.1138081339886</c:v>
                </c:pt>
                <c:pt idx="41">
                  <c:v>4780.9670960181975</c:v>
                </c:pt>
                <c:pt idx="42">
                  <c:v>8814.0065379530133</c:v>
                </c:pt>
                <c:pt idx="43">
                  <c:v>7644.0805540624133</c:v>
                </c:pt>
                <c:pt idx="44">
                  <c:v>6195.0384921410005</c:v>
                </c:pt>
                <c:pt idx="45">
                  <c:v>4814.7736000040022</c:v>
                </c:pt>
                <c:pt idx="46">
                  <c:v>4834.4634843939857</c:v>
                </c:pt>
                <c:pt idx="47">
                  <c:v>6832.9336815520073</c:v>
                </c:pt>
                <c:pt idx="48">
                  <c:v>5744.0714058104932</c:v>
                </c:pt>
                <c:pt idx="49">
                  <c:v>4701.3295635660033</c:v>
                </c:pt>
                <c:pt idx="50">
                  <c:v>7411.8701235049957</c:v>
                </c:pt>
                <c:pt idx="51">
                  <c:v>6102.3598488870048</c:v>
                </c:pt>
                <c:pt idx="52">
                  <c:v>8234.3633629140095</c:v>
                </c:pt>
                <c:pt idx="53">
                  <c:v>5839.0980602891068</c:v>
                </c:pt>
                <c:pt idx="54">
                  <c:v>6627.4800262800127</c:v>
                </c:pt>
                <c:pt idx="55">
                  <c:v>6038.4804739160027</c:v>
                </c:pt>
                <c:pt idx="56">
                  <c:v>3306.4335581030027</c:v>
                </c:pt>
                <c:pt idx="57">
                  <c:v>3179.116383576009</c:v>
                </c:pt>
                <c:pt idx="58">
                  <c:v>9244.369092464709</c:v>
                </c:pt>
                <c:pt idx="59">
                  <c:v>7364.299828586998</c:v>
                </c:pt>
                <c:pt idx="60">
                  <c:v>10275.488096958987</c:v>
                </c:pt>
                <c:pt idx="61">
                  <c:v>6219.8636176429864</c:v>
                </c:pt>
                <c:pt idx="62">
                  <c:v>6820.2968611938995</c:v>
                </c:pt>
                <c:pt idx="63">
                  <c:v>5520.7775613489794</c:v>
                </c:pt>
                <c:pt idx="64">
                  <c:v>7713.6956906950218</c:v>
                </c:pt>
                <c:pt idx="65">
                  <c:v>6394.8169613030041</c:v>
                </c:pt>
                <c:pt idx="66">
                  <c:v>4379.0622413530073</c:v>
                </c:pt>
                <c:pt idx="67">
                  <c:v>8227.129872584992</c:v>
                </c:pt>
                <c:pt idx="68">
                  <c:v>6706.9796415329911</c:v>
                </c:pt>
                <c:pt idx="69">
                  <c:v>4178.6244284999993</c:v>
                </c:pt>
                <c:pt idx="70">
                  <c:v>4779.7743774570117</c:v>
                </c:pt>
                <c:pt idx="71">
                  <c:v>7796.4236202890024</c:v>
                </c:pt>
                <c:pt idx="72">
                  <c:v>5543.1978621589951</c:v>
                </c:pt>
                <c:pt idx="73">
                  <c:v>7718.3153839830047</c:v>
                </c:pt>
                <c:pt idx="74">
                  <c:v>8190.4472928921023</c:v>
                </c:pt>
                <c:pt idx="75">
                  <c:v>16589.237600481196</c:v>
                </c:pt>
                <c:pt idx="76">
                  <c:v>6146.9910977420077</c:v>
                </c:pt>
                <c:pt idx="77">
                  <c:v>1684.3045362009871</c:v>
                </c:pt>
                <c:pt idx="78">
                  <c:v>4353.4520255509997</c:v>
                </c:pt>
                <c:pt idx="79">
                  <c:v>11212.11930565261</c:v>
                </c:pt>
                <c:pt idx="80">
                  <c:v>5848.0139628789912</c:v>
                </c:pt>
                <c:pt idx="81">
                  <c:v>4527.6168133229949</c:v>
                </c:pt>
                <c:pt idx="82">
                  <c:v>931.98375291799312</c:v>
                </c:pt>
                <c:pt idx="83">
                  <c:v>1436.5530476811982</c:v>
                </c:pt>
                <c:pt idx="84">
                  <c:v>5517.5945915219054</c:v>
                </c:pt>
                <c:pt idx="85">
                  <c:v>1002.3280358069896</c:v>
                </c:pt>
                <c:pt idx="86">
                  <c:v>4994.5393627739977</c:v>
                </c:pt>
                <c:pt idx="87">
                  <c:v>9943.4678306359856</c:v>
                </c:pt>
                <c:pt idx="88">
                  <c:v>14059.633659984014</c:v>
                </c:pt>
                <c:pt idx="89">
                  <c:v>7123.8552072129969</c:v>
                </c:pt>
                <c:pt idx="90">
                  <c:v>8129.6356979770062</c:v>
                </c:pt>
                <c:pt idx="91">
                  <c:v>7837.0321774559998</c:v>
                </c:pt>
                <c:pt idx="92">
                  <c:v>1994.1302127609961</c:v>
                </c:pt>
                <c:pt idx="93">
                  <c:v>2962.3823739250074</c:v>
                </c:pt>
                <c:pt idx="94">
                  <c:v>5379.844117022003</c:v>
                </c:pt>
                <c:pt idx="95">
                  <c:v>8667.7075225731969</c:v>
                </c:pt>
                <c:pt idx="96">
                  <c:v>5931.4064607979963</c:v>
                </c:pt>
                <c:pt idx="97">
                  <c:v>4111.2798320239817</c:v>
                </c:pt>
                <c:pt idx="98">
                  <c:v>4864.0798631070065</c:v>
                </c:pt>
                <c:pt idx="99">
                  <c:v>5475.6538912120013</c:v>
                </c:pt>
                <c:pt idx="100">
                  <c:v>3304.2533382489928</c:v>
                </c:pt>
                <c:pt idx="101">
                  <c:v>4070.2387824239995</c:v>
                </c:pt>
                <c:pt idx="102">
                  <c:v>8564.1329050709901</c:v>
                </c:pt>
                <c:pt idx="103">
                  <c:v>2134.6606632159965</c:v>
                </c:pt>
                <c:pt idx="104">
                  <c:v>3572.1074627089984</c:v>
                </c:pt>
                <c:pt idx="105">
                  <c:v>6169.3180625160021</c:v>
                </c:pt>
                <c:pt idx="106">
                  <c:v>3403.1307172590023</c:v>
                </c:pt>
                <c:pt idx="107">
                  <c:v>4677.1341817062057</c:v>
                </c:pt>
                <c:pt idx="108">
                  <c:v>12305.140964522012</c:v>
                </c:pt>
                <c:pt idx="109">
                  <c:v>7305.9329383609875</c:v>
                </c:pt>
                <c:pt idx="110">
                  <c:v>4878.8366397068021</c:v>
                </c:pt>
                <c:pt idx="111">
                  <c:v>6477.1384921520075</c:v>
                </c:pt>
                <c:pt idx="112">
                  <c:v>7425.9868903970055</c:v>
                </c:pt>
                <c:pt idx="113">
                  <c:v>8641.9568917459983</c:v>
                </c:pt>
                <c:pt idx="114">
                  <c:v>4138.6447785909986</c:v>
                </c:pt>
                <c:pt idx="115">
                  <c:v>6345.8725050369976</c:v>
                </c:pt>
                <c:pt idx="116">
                  <c:v>3985.7964012379962</c:v>
                </c:pt>
                <c:pt idx="117">
                  <c:v>6326.8537605501042</c:v>
                </c:pt>
                <c:pt idx="118">
                  <c:v>12277.996665769999</c:v>
                </c:pt>
                <c:pt idx="119">
                  <c:v>7681.921346724208</c:v>
                </c:pt>
                <c:pt idx="120">
                  <c:v>559.63058485549118</c:v>
                </c:pt>
                <c:pt idx="121">
                  <c:v>4758.9409029290109</c:v>
                </c:pt>
                <c:pt idx="122">
                  <c:v>8198.3970821560069</c:v>
                </c:pt>
                <c:pt idx="123">
                  <c:v>5918.4892441789998</c:v>
                </c:pt>
                <c:pt idx="124">
                  <c:v>4798.8340091249993</c:v>
                </c:pt>
                <c:pt idx="125">
                  <c:v>6391.989621389992</c:v>
                </c:pt>
                <c:pt idx="126">
                  <c:v>7390.5530973290006</c:v>
                </c:pt>
                <c:pt idx="127">
                  <c:v>6586.2105665939889</c:v>
                </c:pt>
                <c:pt idx="128">
                  <c:v>8785.498640395992</c:v>
                </c:pt>
                <c:pt idx="129">
                  <c:v>4198.7194048300007</c:v>
                </c:pt>
                <c:pt idx="130">
                  <c:v>3122.2972375529935</c:v>
                </c:pt>
                <c:pt idx="131">
                  <c:v>2728.3276480330096</c:v>
                </c:pt>
                <c:pt idx="132">
                  <c:v>4663.2768199052953</c:v>
                </c:pt>
                <c:pt idx="133">
                  <c:v>6651.7649267132947</c:v>
                </c:pt>
                <c:pt idx="134">
                  <c:v>3788.6172904080013</c:v>
                </c:pt>
                <c:pt idx="135">
                  <c:v>4531.9859141079942</c:v>
                </c:pt>
                <c:pt idx="136">
                  <c:v>5738.1443271369935</c:v>
                </c:pt>
                <c:pt idx="137">
                  <c:v>6078.2032658779935</c:v>
                </c:pt>
                <c:pt idx="138">
                  <c:v>4864.2069117119972</c:v>
                </c:pt>
                <c:pt idx="139">
                  <c:v>7324.4619120319985</c:v>
                </c:pt>
                <c:pt idx="140">
                  <c:v>9295.9478351959988</c:v>
                </c:pt>
                <c:pt idx="141">
                  <c:v>6117.6097411439114</c:v>
                </c:pt>
                <c:pt idx="142">
                  <c:v>8473.9775404880056</c:v>
                </c:pt>
                <c:pt idx="143">
                  <c:v>1051.3077661120042</c:v>
                </c:pt>
                <c:pt idx="144">
                  <c:v>145.55754287399759</c:v>
                </c:pt>
                <c:pt idx="145">
                  <c:v>13524.366150009999</c:v>
                </c:pt>
                <c:pt idx="146">
                  <c:v>9718.5099566319986</c:v>
                </c:pt>
                <c:pt idx="147">
                  <c:v>6938.6768852911919</c:v>
                </c:pt>
                <c:pt idx="148">
                  <c:v>9989.5322916560108</c:v>
                </c:pt>
                <c:pt idx="149">
                  <c:v>3621.5662995379971</c:v>
                </c:pt>
                <c:pt idx="150">
                  <c:v>3618.1555091690097</c:v>
                </c:pt>
                <c:pt idx="151">
                  <c:v>2981.3163536323991</c:v>
                </c:pt>
                <c:pt idx="152">
                  <c:v>6159.5064024449966</c:v>
                </c:pt>
                <c:pt idx="153">
                  <c:v>5508.1300991000026</c:v>
                </c:pt>
                <c:pt idx="154">
                  <c:v>8311.3686887200165</c:v>
                </c:pt>
                <c:pt idx="155">
                  <c:v>9779.3053947860026</c:v>
                </c:pt>
                <c:pt idx="156">
                  <c:v>12938.44920399801</c:v>
                </c:pt>
                <c:pt idx="157">
                  <c:v>5259.8475822949986</c:v>
                </c:pt>
                <c:pt idx="158">
                  <c:v>2932.1296083250054</c:v>
                </c:pt>
                <c:pt idx="159">
                  <c:v>5684.0553707240033</c:v>
                </c:pt>
                <c:pt idx="160">
                  <c:v>3055.0828235080116</c:v>
                </c:pt>
                <c:pt idx="161">
                  <c:v>7067.2704433129984</c:v>
                </c:pt>
                <c:pt idx="162">
                  <c:v>5990.6627247809956</c:v>
                </c:pt>
                <c:pt idx="163">
                  <c:v>8773.1750327300106</c:v>
                </c:pt>
                <c:pt idx="164">
                  <c:v>8917.0537545489788</c:v>
                </c:pt>
                <c:pt idx="165">
                  <c:v>4809.473786097602</c:v>
                </c:pt>
                <c:pt idx="166">
                  <c:v>4238.1073091950093</c:v>
                </c:pt>
                <c:pt idx="167">
                  <c:v>8440.6870257809933</c:v>
                </c:pt>
                <c:pt idx="168">
                  <c:v>10311.208266600006</c:v>
                </c:pt>
                <c:pt idx="169">
                  <c:v>4195.9629295824998</c:v>
                </c:pt>
                <c:pt idx="170">
                  <c:v>7388.1307557530235</c:v>
                </c:pt>
                <c:pt idx="171">
                  <c:v>4143.5226083269808</c:v>
                </c:pt>
                <c:pt idx="172">
                  <c:v>7905.7088754109864</c:v>
                </c:pt>
                <c:pt idx="173">
                  <c:v>8927.2969509089889</c:v>
                </c:pt>
                <c:pt idx="174">
                  <c:v>2228.4499769270187</c:v>
                </c:pt>
                <c:pt idx="175">
                  <c:v>5397.6118068089854</c:v>
                </c:pt>
                <c:pt idx="176">
                  <c:v>7771.4488853200019</c:v>
                </c:pt>
                <c:pt idx="177">
                  <c:v>9546.5309552584949</c:v>
                </c:pt>
                <c:pt idx="178">
                  <c:v>7190.2527796909853</c:v>
                </c:pt>
                <c:pt idx="179">
                  <c:v>3372.1617058110132</c:v>
                </c:pt>
                <c:pt idx="180">
                  <c:v>3779.7175920240115</c:v>
                </c:pt>
                <c:pt idx="181">
                  <c:v>6547.351497540978</c:v>
                </c:pt>
                <c:pt idx="182">
                  <c:v>5324.4661356330034</c:v>
                </c:pt>
                <c:pt idx="183">
                  <c:v>8313.434685515007</c:v>
                </c:pt>
                <c:pt idx="184">
                  <c:v>7990.011917314012</c:v>
                </c:pt>
                <c:pt idx="185">
                  <c:v>7726.4265449203085</c:v>
                </c:pt>
                <c:pt idx="186">
                  <c:v>7073.5851815610076</c:v>
                </c:pt>
                <c:pt idx="187">
                  <c:v>5043.8169415160082</c:v>
                </c:pt>
                <c:pt idx="188">
                  <c:v>2845.4008707480098</c:v>
                </c:pt>
                <c:pt idx="189">
                  <c:v>2639.3378949129983</c:v>
                </c:pt>
                <c:pt idx="190">
                  <c:v>7981.3924685459933</c:v>
                </c:pt>
                <c:pt idx="191">
                  <c:v>8780.5963759900042</c:v>
                </c:pt>
                <c:pt idx="192">
                  <c:v>3060.9021548349992</c:v>
                </c:pt>
                <c:pt idx="193">
                  <c:v>2408.2695263170026</c:v>
                </c:pt>
                <c:pt idx="194">
                  <c:v>10503.382105683006</c:v>
                </c:pt>
                <c:pt idx="195">
                  <c:v>835.05068623038824</c:v>
                </c:pt>
                <c:pt idx="196">
                  <c:v>11896.752876208018</c:v>
                </c:pt>
                <c:pt idx="197">
                  <c:v>7048.6851289360056</c:v>
                </c:pt>
                <c:pt idx="198">
                  <c:v>5430.0682045639987</c:v>
                </c:pt>
                <c:pt idx="199">
                  <c:v>7943.0795784039947</c:v>
                </c:pt>
                <c:pt idx="200">
                  <c:v>9523.4648215189954</c:v>
                </c:pt>
                <c:pt idx="201">
                  <c:v>3089.9266078279907</c:v>
                </c:pt>
                <c:pt idx="202">
                  <c:v>3881.9177467529953</c:v>
                </c:pt>
                <c:pt idx="203">
                  <c:v>2549.8264527819993</c:v>
                </c:pt>
                <c:pt idx="204">
                  <c:v>10821.099418165992</c:v>
                </c:pt>
                <c:pt idx="205">
                  <c:v>3386.1134841855965</c:v>
                </c:pt>
                <c:pt idx="206">
                  <c:v>8030.6351245879923</c:v>
                </c:pt>
                <c:pt idx="207">
                  <c:v>4090.3132244799926</c:v>
                </c:pt>
                <c:pt idx="208">
                  <c:v>14829.430407779</c:v>
                </c:pt>
                <c:pt idx="209">
                  <c:v>12387.594440059998</c:v>
                </c:pt>
                <c:pt idx="210">
                  <c:v>2232.6059548369958</c:v>
                </c:pt>
                <c:pt idx="211">
                  <c:v>10136.188432300987</c:v>
                </c:pt>
                <c:pt idx="212">
                  <c:v>4412.9516244161932</c:v>
                </c:pt>
                <c:pt idx="213">
                  <c:v>7810.2005985650176</c:v>
                </c:pt>
                <c:pt idx="214">
                  <c:v>5159.5645080669929</c:v>
                </c:pt>
                <c:pt idx="215">
                  <c:v>8608.8420956729969</c:v>
                </c:pt>
                <c:pt idx="216">
                  <c:v>7732.7921292229876</c:v>
                </c:pt>
                <c:pt idx="217">
                  <c:v>6921.1222425400047</c:v>
                </c:pt>
                <c:pt idx="218">
                  <c:v>4188.2369807490031</c:v>
                </c:pt>
                <c:pt idx="219">
                  <c:v>2269.2989645939961</c:v>
                </c:pt>
                <c:pt idx="220">
                  <c:v>4822.0574728810025</c:v>
                </c:pt>
                <c:pt idx="221">
                  <c:v>7264.0832414649922</c:v>
                </c:pt>
                <c:pt idx="222">
                  <c:v>4738.4624788369983</c:v>
                </c:pt>
                <c:pt idx="223">
                  <c:v>3772.4246606240049</c:v>
                </c:pt>
                <c:pt idx="224">
                  <c:v>7651.8043537579942</c:v>
                </c:pt>
                <c:pt idx="225">
                  <c:v>5138.7711428949988</c:v>
                </c:pt>
                <c:pt idx="226">
                  <c:v>5579.6245631449856</c:v>
                </c:pt>
                <c:pt idx="227">
                  <c:v>7768.8715896230133</c:v>
                </c:pt>
                <c:pt idx="228">
                  <c:v>5263.0381720419973</c:v>
                </c:pt>
                <c:pt idx="229">
                  <c:v>6186.1169438240177</c:v>
                </c:pt>
                <c:pt idx="230">
                  <c:v>4217.6418030869972</c:v>
                </c:pt>
                <c:pt idx="231">
                  <c:v>4782.1275420680031</c:v>
                </c:pt>
                <c:pt idx="232">
                  <c:v>6406.7824630615069</c:v>
                </c:pt>
                <c:pt idx="233">
                  <c:v>6916.340706048999</c:v>
                </c:pt>
                <c:pt idx="234">
                  <c:v>3164.3898855245934</c:v>
                </c:pt>
                <c:pt idx="235">
                  <c:v>3462.0186392780015</c:v>
                </c:pt>
                <c:pt idx="236">
                  <c:v>9888.1787704909802</c:v>
                </c:pt>
                <c:pt idx="237">
                  <c:v>4548.5835475768981</c:v>
                </c:pt>
                <c:pt idx="238">
                  <c:v>750.31635701599589</c:v>
                </c:pt>
                <c:pt idx="239">
                  <c:v>2724.8054099490109</c:v>
                </c:pt>
                <c:pt idx="240">
                  <c:v>3996.2820229887002</c:v>
                </c:pt>
                <c:pt idx="241">
                  <c:v>3246.2737771919055</c:v>
                </c:pt>
                <c:pt idx="242">
                  <c:v>6155.4850744475989</c:v>
                </c:pt>
                <c:pt idx="243">
                  <c:v>3955.8921983590117</c:v>
                </c:pt>
                <c:pt idx="244">
                  <c:v>3555.8437276510085</c:v>
                </c:pt>
                <c:pt idx="245">
                  <c:v>8025.7676470859878</c:v>
                </c:pt>
                <c:pt idx="246">
                  <c:v>5381.1546948669129</c:v>
                </c:pt>
                <c:pt idx="247">
                  <c:v>6522.6899668410042</c:v>
                </c:pt>
                <c:pt idx="248">
                  <c:v>4453.7872106034047</c:v>
                </c:pt>
                <c:pt idx="249">
                  <c:v>6970.8734793460026</c:v>
                </c:pt>
                <c:pt idx="250">
                  <c:v>4387.8261058820062</c:v>
                </c:pt>
                <c:pt idx="251">
                  <c:v>8921.423861888994</c:v>
                </c:pt>
                <c:pt idx="252">
                  <c:v>3293.7998580997955</c:v>
                </c:pt>
                <c:pt idx="253">
                  <c:v>5241.6564351339912</c:v>
                </c:pt>
                <c:pt idx="254">
                  <c:v>4357.8060633069981</c:v>
                </c:pt>
                <c:pt idx="255">
                  <c:v>3279.9160018020048</c:v>
                </c:pt>
                <c:pt idx="256">
                  <c:v>3493.1592246773071</c:v>
                </c:pt>
                <c:pt idx="257">
                  <c:v>5862.347600773006</c:v>
                </c:pt>
                <c:pt idx="258">
                  <c:v>1703.6369442829891</c:v>
                </c:pt>
                <c:pt idx="259">
                  <c:v>9795.3044270009996</c:v>
                </c:pt>
                <c:pt idx="260">
                  <c:v>8891.1361602169927</c:v>
                </c:pt>
                <c:pt idx="261">
                  <c:v>6237.8827806609916</c:v>
                </c:pt>
                <c:pt idx="262">
                  <c:v>5547.8368452189025</c:v>
                </c:pt>
                <c:pt idx="263">
                  <c:v>4894.1758131160022</c:v>
                </c:pt>
                <c:pt idx="264">
                  <c:v>3844.2612386219989</c:v>
                </c:pt>
                <c:pt idx="265">
                  <c:v>7889.0812106730009</c:v>
                </c:pt>
                <c:pt idx="266">
                  <c:v>5466.2590793269919</c:v>
                </c:pt>
                <c:pt idx="267">
                  <c:v>5125.2439904029889</c:v>
                </c:pt>
                <c:pt idx="268">
                  <c:v>4298.036143047997</c:v>
                </c:pt>
                <c:pt idx="269">
                  <c:v>7878.7491371020005</c:v>
                </c:pt>
                <c:pt idx="270">
                  <c:v>9727.9585830509895</c:v>
                </c:pt>
                <c:pt idx="271">
                  <c:v>3999.3133927519957</c:v>
                </c:pt>
                <c:pt idx="272">
                  <c:v>5574.1965522609971</c:v>
                </c:pt>
                <c:pt idx="273">
                  <c:v>5508.2218870200013</c:v>
                </c:pt>
                <c:pt idx="274">
                  <c:v>7492.5261688519968</c:v>
                </c:pt>
                <c:pt idx="275">
                  <c:v>6637.0532659838937</c:v>
                </c:pt>
                <c:pt idx="276">
                  <c:v>988.65345182499732</c:v>
                </c:pt>
                <c:pt idx="277">
                  <c:v>5495.0777813809982</c:v>
                </c:pt>
                <c:pt idx="278">
                  <c:v>5179.9084701460088</c:v>
                </c:pt>
                <c:pt idx="279">
                  <c:v>6892.155966544</c:v>
                </c:pt>
                <c:pt idx="280">
                  <c:v>6317.7523867730051</c:v>
                </c:pt>
                <c:pt idx="281">
                  <c:v>6615.859682802009</c:v>
                </c:pt>
                <c:pt idx="282">
                  <c:v>5981.3152019590052</c:v>
                </c:pt>
                <c:pt idx="283">
                  <c:v>8517.3728423970169</c:v>
                </c:pt>
                <c:pt idx="284">
                  <c:v>3740.8608452379995</c:v>
                </c:pt>
                <c:pt idx="285">
                  <c:v>3264.6478823250072</c:v>
                </c:pt>
                <c:pt idx="286">
                  <c:v>3947.2530471299979</c:v>
                </c:pt>
                <c:pt idx="287">
                  <c:v>5659.4460009629984</c:v>
                </c:pt>
                <c:pt idx="288">
                  <c:v>3351.3114522469987</c:v>
                </c:pt>
                <c:pt idx="289">
                  <c:v>6387.4362527930061</c:v>
                </c:pt>
                <c:pt idx="290">
                  <c:v>3200.539699357003</c:v>
                </c:pt>
                <c:pt idx="291">
                  <c:v>1817.954255115008</c:v>
                </c:pt>
                <c:pt idx="292">
                  <c:v>6890.0165090047958</c:v>
                </c:pt>
                <c:pt idx="293">
                  <c:v>10920.739207715</c:v>
                </c:pt>
                <c:pt idx="294">
                  <c:v>7299.4688197479991</c:v>
                </c:pt>
                <c:pt idx="295">
                  <c:v>7744.8840361650073</c:v>
                </c:pt>
                <c:pt idx="296">
                  <c:v>6247.6679483046901</c:v>
                </c:pt>
                <c:pt idx="297">
                  <c:v>2610.6280825510039</c:v>
                </c:pt>
                <c:pt idx="298">
                  <c:v>5264.949564014998</c:v>
                </c:pt>
                <c:pt idx="299">
                  <c:v>4802.9488334769994</c:v>
                </c:pt>
                <c:pt idx="300">
                  <c:v>6688.7829727490025</c:v>
                </c:pt>
                <c:pt idx="301">
                  <c:v>5929.8827478070016</c:v>
                </c:pt>
                <c:pt idx="302">
                  <c:v>-2340.8495633390266</c:v>
                </c:pt>
                <c:pt idx="303">
                  <c:v>7914.6715564400074</c:v>
                </c:pt>
                <c:pt idx="304">
                  <c:v>6240.7284080070094</c:v>
                </c:pt>
                <c:pt idx="305">
                  <c:v>2933.1714704100159</c:v>
                </c:pt>
                <c:pt idx="306">
                  <c:v>6005.0456598710007</c:v>
                </c:pt>
                <c:pt idx="307">
                  <c:v>5842.1056588100037</c:v>
                </c:pt>
                <c:pt idx="308">
                  <c:v>10547.671426707006</c:v>
                </c:pt>
                <c:pt idx="309">
                  <c:v>7315.1676236249914</c:v>
                </c:pt>
                <c:pt idx="310">
                  <c:v>7716.7292296729865</c:v>
                </c:pt>
                <c:pt idx="311">
                  <c:v>7993.6749836090021</c:v>
                </c:pt>
                <c:pt idx="312">
                  <c:v>5436.7642697731935</c:v>
                </c:pt>
                <c:pt idx="313">
                  <c:v>5318.3583666070044</c:v>
                </c:pt>
                <c:pt idx="314">
                  <c:v>4391.3178706935869</c:v>
                </c:pt>
                <c:pt idx="315">
                  <c:v>8710.4636321550061</c:v>
                </c:pt>
                <c:pt idx="316">
                  <c:v>7549.9244336509873</c:v>
                </c:pt>
                <c:pt idx="317">
                  <c:v>6477.3207959629945</c:v>
                </c:pt>
                <c:pt idx="318">
                  <c:v>7299.4876592966903</c:v>
                </c:pt>
                <c:pt idx="319">
                  <c:v>5004.971962828</c:v>
                </c:pt>
                <c:pt idx="320">
                  <c:v>9174.0564686389989</c:v>
                </c:pt>
                <c:pt idx="321">
                  <c:v>6188.4985851810052</c:v>
                </c:pt>
                <c:pt idx="322">
                  <c:v>6309.0051348980051</c:v>
                </c:pt>
                <c:pt idx="323">
                  <c:v>6879.3728644399962</c:v>
                </c:pt>
                <c:pt idx="324">
                  <c:v>8013.7425228530192</c:v>
                </c:pt>
                <c:pt idx="325">
                  <c:v>3277.1391318735987</c:v>
                </c:pt>
                <c:pt idx="326">
                  <c:v>6573.3074901680229</c:v>
                </c:pt>
                <c:pt idx="327">
                  <c:v>7764.58726212701</c:v>
                </c:pt>
                <c:pt idx="328">
                  <c:v>7297.3518359440059</c:v>
                </c:pt>
                <c:pt idx="329">
                  <c:v>2301.4606746001955</c:v>
                </c:pt>
                <c:pt idx="330">
                  <c:v>9289.0689352900081</c:v>
                </c:pt>
                <c:pt idx="331">
                  <c:v>9428.581833891003</c:v>
                </c:pt>
                <c:pt idx="332">
                  <c:v>2403.8408332737017</c:v>
                </c:pt>
                <c:pt idx="333">
                  <c:v>8092.6645119820023</c:v>
                </c:pt>
                <c:pt idx="334">
                  <c:v>8612.2838139809901</c:v>
                </c:pt>
                <c:pt idx="335">
                  <c:v>7785.673759830388</c:v>
                </c:pt>
                <c:pt idx="336">
                  <c:v>7475.7967859130003</c:v>
                </c:pt>
                <c:pt idx="337">
                  <c:v>6250.4917359750107</c:v>
                </c:pt>
                <c:pt idx="338">
                  <c:v>6520.6147531839961</c:v>
                </c:pt>
                <c:pt idx="339">
                  <c:v>4210.1815318025037</c:v>
                </c:pt>
                <c:pt idx="340">
                  <c:v>5030.6879053190059</c:v>
                </c:pt>
                <c:pt idx="341">
                  <c:v>6682.0752217989939</c:v>
                </c:pt>
                <c:pt idx="342">
                  <c:v>4297.4763308599941</c:v>
                </c:pt>
                <c:pt idx="343">
                  <c:v>7267.0203040490014</c:v>
                </c:pt>
                <c:pt idx="344">
                  <c:v>5778.7378437570005</c:v>
                </c:pt>
                <c:pt idx="345">
                  <c:v>8913.4623709750012</c:v>
                </c:pt>
                <c:pt idx="346">
                  <c:v>5139.4883142570034</c:v>
                </c:pt>
                <c:pt idx="347">
                  <c:v>4254.4655660449935</c:v>
                </c:pt>
                <c:pt idx="348">
                  <c:v>4940.2246528060059</c:v>
                </c:pt>
                <c:pt idx="349">
                  <c:v>4452.5022933990113</c:v>
                </c:pt>
                <c:pt idx="350">
                  <c:v>3729.5923383736954</c:v>
                </c:pt>
                <c:pt idx="351">
                  <c:v>3009.1689638190001</c:v>
                </c:pt>
                <c:pt idx="352">
                  <c:v>5528.3792164509941</c:v>
                </c:pt>
                <c:pt idx="353">
                  <c:v>5713.7107353942993</c:v>
                </c:pt>
                <c:pt idx="354">
                  <c:v>7550.9009918656957</c:v>
                </c:pt>
                <c:pt idx="355">
                  <c:v>7976.6185989910009</c:v>
                </c:pt>
                <c:pt idx="356">
                  <c:v>4609.5565024148964</c:v>
                </c:pt>
                <c:pt idx="357">
                  <c:v>11812.383471686015</c:v>
                </c:pt>
                <c:pt idx="358">
                  <c:v>2331.4265492949926</c:v>
                </c:pt>
                <c:pt idx="359">
                  <c:v>5511.6660060049908</c:v>
                </c:pt>
                <c:pt idx="360">
                  <c:v>7777.5851587110083</c:v>
                </c:pt>
                <c:pt idx="361">
                  <c:v>3840.2933940729999</c:v>
                </c:pt>
                <c:pt idx="362">
                  <c:v>2996.9371612929972</c:v>
                </c:pt>
                <c:pt idx="363">
                  <c:v>4404.5500573590107</c:v>
                </c:pt>
                <c:pt idx="364">
                  <c:v>4801.4807013540121</c:v>
                </c:pt>
                <c:pt idx="365">
                  <c:v>3325.1843802329968</c:v>
                </c:pt>
                <c:pt idx="366">
                  <c:v>6078.2990228810086</c:v>
                </c:pt>
                <c:pt idx="367">
                  <c:v>5621.2452958299982</c:v>
                </c:pt>
                <c:pt idx="368">
                  <c:v>5660.8998767280136</c:v>
                </c:pt>
                <c:pt idx="369">
                  <c:v>9470.6231983559992</c:v>
                </c:pt>
                <c:pt idx="370">
                  <c:v>5044.6416954919987</c:v>
                </c:pt>
                <c:pt idx="371">
                  <c:v>6295.7823635749955</c:v>
                </c:pt>
                <c:pt idx="372">
                  <c:v>7828.4501413480029</c:v>
                </c:pt>
                <c:pt idx="373">
                  <c:v>5862.6781289079954</c:v>
                </c:pt>
                <c:pt idx="374">
                  <c:v>7347.821735982594</c:v>
                </c:pt>
                <c:pt idx="375">
                  <c:v>7154.173230927001</c:v>
                </c:pt>
                <c:pt idx="376">
                  <c:v>8097.179791706003</c:v>
                </c:pt>
                <c:pt idx="377">
                  <c:v>4871.7691075429902</c:v>
                </c:pt>
                <c:pt idx="378">
                  <c:v>8175.5873836800165</c:v>
                </c:pt>
                <c:pt idx="379">
                  <c:v>6503.4169420936087</c:v>
                </c:pt>
                <c:pt idx="380">
                  <c:v>10070.110875594008</c:v>
                </c:pt>
                <c:pt idx="381">
                  <c:v>6821.5047921890073</c:v>
                </c:pt>
                <c:pt idx="382">
                  <c:v>6876.561291378006</c:v>
                </c:pt>
                <c:pt idx="383">
                  <c:v>7192.3362747680076</c:v>
                </c:pt>
                <c:pt idx="384">
                  <c:v>4037.0184650626034</c:v>
                </c:pt>
                <c:pt idx="385">
                  <c:v>5324.0784337249934</c:v>
                </c:pt>
                <c:pt idx="386">
                  <c:v>9868.524652166001</c:v>
                </c:pt>
                <c:pt idx="387">
                  <c:v>9785.9182265060081</c:v>
                </c:pt>
                <c:pt idx="388">
                  <c:v>3428.238289431989</c:v>
                </c:pt>
                <c:pt idx="389">
                  <c:v>6525.1549178580026</c:v>
                </c:pt>
                <c:pt idx="390">
                  <c:v>7845.1086599050032</c:v>
                </c:pt>
                <c:pt idx="391">
                  <c:v>10170.978740899998</c:v>
                </c:pt>
                <c:pt idx="392">
                  <c:v>3243.790315952996</c:v>
                </c:pt>
                <c:pt idx="393">
                  <c:v>5528.58872913901</c:v>
                </c:pt>
                <c:pt idx="394">
                  <c:v>6855.9659150127118</c:v>
                </c:pt>
                <c:pt idx="395">
                  <c:v>-128.89248172599764</c:v>
                </c:pt>
                <c:pt idx="396">
                  <c:v>6062.962967984</c:v>
                </c:pt>
                <c:pt idx="397">
                  <c:v>1520.3840284949983</c:v>
                </c:pt>
                <c:pt idx="398">
                  <c:v>7053.1889628339995</c:v>
                </c:pt>
                <c:pt idx="399">
                  <c:v>5281.165208486098</c:v>
                </c:pt>
                <c:pt idx="400">
                  <c:v>6290.8045044829923</c:v>
                </c:pt>
                <c:pt idx="401">
                  <c:v>2502.1920246610098</c:v>
                </c:pt>
                <c:pt idx="402">
                  <c:v>10362.669489485997</c:v>
                </c:pt>
                <c:pt idx="403">
                  <c:v>9049.3607641390117</c:v>
                </c:pt>
                <c:pt idx="404">
                  <c:v>4257.6430132654932</c:v>
                </c:pt>
                <c:pt idx="405">
                  <c:v>8090.0274423399969</c:v>
                </c:pt>
                <c:pt idx="406">
                  <c:v>6801.2152515680064</c:v>
                </c:pt>
                <c:pt idx="407">
                  <c:v>1830.2359207870031</c:v>
                </c:pt>
                <c:pt idx="408">
                  <c:v>6983.8332558400871</c:v>
                </c:pt>
                <c:pt idx="409">
                  <c:v>5746.930994816008</c:v>
                </c:pt>
                <c:pt idx="410">
                  <c:v>8981.4690373880148</c:v>
                </c:pt>
                <c:pt idx="411">
                  <c:v>5771.3930987710046</c:v>
                </c:pt>
                <c:pt idx="412">
                  <c:v>2479.9449471629923</c:v>
                </c:pt>
                <c:pt idx="413">
                  <c:v>2736.4852633239061</c:v>
                </c:pt>
                <c:pt idx="414">
                  <c:v>9295.0173451649025</c:v>
                </c:pt>
                <c:pt idx="415">
                  <c:v>2633.8579414089909</c:v>
                </c:pt>
                <c:pt idx="416">
                  <c:v>5182.7959703369997</c:v>
                </c:pt>
                <c:pt idx="417">
                  <c:v>1525.9850669354055</c:v>
                </c:pt>
                <c:pt idx="418">
                  <c:v>11967.52198202099</c:v>
                </c:pt>
                <c:pt idx="419">
                  <c:v>2563.1487712219969</c:v>
                </c:pt>
                <c:pt idx="420">
                  <c:v>5012.7664024229889</c:v>
                </c:pt>
                <c:pt idx="421">
                  <c:v>4192.6400704170228</c:v>
                </c:pt>
                <c:pt idx="422">
                  <c:v>5668.9078813240048</c:v>
                </c:pt>
                <c:pt idx="423">
                  <c:v>8117.9188340069959</c:v>
                </c:pt>
                <c:pt idx="424">
                  <c:v>9652.5128972819948</c:v>
                </c:pt>
                <c:pt idx="425">
                  <c:v>3962.8366473381029</c:v>
                </c:pt>
                <c:pt idx="426">
                  <c:v>6563.4612577249936</c:v>
                </c:pt>
                <c:pt idx="427">
                  <c:v>6131.8996999329975</c:v>
                </c:pt>
                <c:pt idx="428">
                  <c:v>8882.0767506840057</c:v>
                </c:pt>
                <c:pt idx="429">
                  <c:v>1169.3237523940043</c:v>
                </c:pt>
                <c:pt idx="430">
                  <c:v>10354.649879324978</c:v>
                </c:pt>
                <c:pt idx="431">
                  <c:v>956.00706196799001</c:v>
                </c:pt>
                <c:pt idx="432">
                  <c:v>4461.6123817269981</c:v>
                </c:pt>
                <c:pt idx="433">
                  <c:v>11434.784765614313</c:v>
                </c:pt>
                <c:pt idx="434">
                  <c:v>9577.9704055363109</c:v>
                </c:pt>
                <c:pt idx="435">
                  <c:v>4557.397426659998</c:v>
                </c:pt>
                <c:pt idx="436">
                  <c:v>9414.4859170150012</c:v>
                </c:pt>
                <c:pt idx="437">
                  <c:v>1796.2118714520038</c:v>
                </c:pt>
                <c:pt idx="438">
                  <c:v>5520.8346597280179</c:v>
                </c:pt>
                <c:pt idx="439">
                  <c:v>8100.2471233739925</c:v>
                </c:pt>
                <c:pt idx="440">
                  <c:v>11324.478988013012</c:v>
                </c:pt>
                <c:pt idx="441">
                  <c:v>3400.1588345349883</c:v>
                </c:pt>
                <c:pt idx="442">
                  <c:v>2714.6052163179993</c:v>
                </c:pt>
                <c:pt idx="443">
                  <c:v>3639.4262571840081</c:v>
                </c:pt>
                <c:pt idx="444">
                  <c:v>6803.8801682759949</c:v>
                </c:pt>
                <c:pt idx="445">
                  <c:v>7780.2455957759958</c:v>
                </c:pt>
                <c:pt idx="446">
                  <c:v>3449.2549065174971</c:v>
                </c:pt>
                <c:pt idx="447">
                  <c:v>4585.8514274370973</c:v>
                </c:pt>
                <c:pt idx="448">
                  <c:v>4869.3202533949807</c:v>
                </c:pt>
                <c:pt idx="449">
                  <c:v>7758.4705837040092</c:v>
                </c:pt>
                <c:pt idx="450">
                  <c:v>6257.7269019660016</c:v>
                </c:pt>
                <c:pt idx="451">
                  <c:v>15751.307083476015</c:v>
                </c:pt>
                <c:pt idx="452">
                  <c:v>11765.648110278999</c:v>
                </c:pt>
                <c:pt idx="453">
                  <c:v>4226.2587188589969</c:v>
                </c:pt>
                <c:pt idx="454">
                  <c:v>5029.1853377950029</c:v>
                </c:pt>
                <c:pt idx="455">
                  <c:v>5286.4285152449884</c:v>
                </c:pt>
                <c:pt idx="456">
                  <c:v>4086.613562257</c:v>
                </c:pt>
                <c:pt idx="457">
                  <c:v>3495.8346134960011</c:v>
                </c:pt>
                <c:pt idx="458">
                  <c:v>5789.4607297590119</c:v>
                </c:pt>
                <c:pt idx="459">
                  <c:v>5137.1106150260021</c:v>
                </c:pt>
                <c:pt idx="460">
                  <c:v>7335.7706419480091</c:v>
                </c:pt>
                <c:pt idx="461">
                  <c:v>6355.7308092283056</c:v>
                </c:pt>
                <c:pt idx="462">
                  <c:v>2607.1982128359959</c:v>
                </c:pt>
                <c:pt idx="463">
                  <c:v>9166.5789596929972</c:v>
                </c:pt>
                <c:pt idx="464">
                  <c:v>9426.6258241325995</c:v>
                </c:pt>
                <c:pt idx="465">
                  <c:v>3115.7273704632971</c:v>
                </c:pt>
                <c:pt idx="466">
                  <c:v>3531.1854229346936</c:v>
                </c:pt>
                <c:pt idx="467">
                  <c:v>11786.612744265993</c:v>
                </c:pt>
                <c:pt idx="468">
                  <c:v>7140.5581986029865</c:v>
                </c:pt>
                <c:pt idx="469">
                  <c:v>2762.1250021220039</c:v>
                </c:pt>
                <c:pt idx="470">
                  <c:v>6812.8966322859924</c:v>
                </c:pt>
                <c:pt idx="471">
                  <c:v>4490.9636070269917</c:v>
                </c:pt>
                <c:pt idx="472">
                  <c:v>7947.6690053999919</c:v>
                </c:pt>
                <c:pt idx="473">
                  <c:v>11461.469392799016</c:v>
                </c:pt>
                <c:pt idx="474">
                  <c:v>6647.0227586149995</c:v>
                </c:pt>
                <c:pt idx="475">
                  <c:v>6248.5291539440077</c:v>
                </c:pt>
                <c:pt idx="476">
                  <c:v>5978.8764647110074</c:v>
                </c:pt>
                <c:pt idx="477">
                  <c:v>10252.561173788999</c:v>
                </c:pt>
                <c:pt idx="478">
                  <c:v>8436.7125094679941</c:v>
                </c:pt>
                <c:pt idx="479">
                  <c:v>7275.2038436199946</c:v>
                </c:pt>
                <c:pt idx="480">
                  <c:v>9927.4254901359964</c:v>
                </c:pt>
                <c:pt idx="481">
                  <c:v>6647.3332163879968</c:v>
                </c:pt>
                <c:pt idx="482">
                  <c:v>4932.166827523004</c:v>
                </c:pt>
                <c:pt idx="483">
                  <c:v>7120.6633896849962</c:v>
                </c:pt>
                <c:pt idx="484">
                  <c:v>9752.0028798369895</c:v>
                </c:pt>
                <c:pt idx="485">
                  <c:v>5535.6129922135005</c:v>
                </c:pt>
                <c:pt idx="486">
                  <c:v>3192.8629544850119</c:v>
                </c:pt>
                <c:pt idx="487">
                  <c:v>5664.2245282298973</c:v>
                </c:pt>
                <c:pt idx="488">
                  <c:v>2684.9853958679014</c:v>
                </c:pt>
                <c:pt idx="489">
                  <c:v>3339.4846342845995</c:v>
                </c:pt>
                <c:pt idx="490">
                  <c:v>11197.230694419006</c:v>
                </c:pt>
                <c:pt idx="491">
                  <c:v>10547.178682597994</c:v>
                </c:pt>
                <c:pt idx="492">
                  <c:v>3747.8291999149951</c:v>
                </c:pt>
                <c:pt idx="493">
                  <c:v>4546.5043141759961</c:v>
                </c:pt>
                <c:pt idx="494">
                  <c:v>3683.4145588649844</c:v>
                </c:pt>
                <c:pt idx="495">
                  <c:v>6800.1873715769907</c:v>
                </c:pt>
                <c:pt idx="496">
                  <c:v>6358.4235697950062</c:v>
                </c:pt>
                <c:pt idx="497">
                  <c:v>8931.5736355239933</c:v>
                </c:pt>
                <c:pt idx="498">
                  <c:v>1092.5515792189981</c:v>
                </c:pt>
                <c:pt idx="499">
                  <c:v>6070.1266748300113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7-4AC2-99DA-7CF64644AD7D}"/>
            </c:ext>
          </c:extLst>
        </c:ser>
        <c:ser>
          <c:idx val="1"/>
          <c:order val="1"/>
          <c:tx>
            <c:v>Mean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solidFill>
                <a:schemeClr val="tx1"/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'PSA analysis'!$G$1</c:f>
              <c:numCache>
                <c:formatCode>0.00</c:formatCode>
                <c:ptCount val="1"/>
                <c:pt idx="0">
                  <c:v>0.38917696930127765</c:v>
                </c:pt>
              </c:numCache>
            </c:numRef>
          </c:xVal>
          <c:yVal>
            <c:numRef>
              <c:f>'PSA analysis'!$F$1</c:f>
              <c:numCache>
                <c:formatCode>"£"#,##0</c:formatCode>
                <c:ptCount val="1"/>
                <c:pt idx="0">
                  <c:v>6092.6672267351869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B7-4AC2-99DA-7CF64644A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920031"/>
        <c:axId val="1122767343"/>
      </c:scatterChart>
      <c:scatterChart>
        <c:scatterStyle val="smoothMarker"/>
        <c:varyColors val="0"/>
        <c:ser>
          <c:idx val="2"/>
          <c:order val="2"/>
          <c:tx>
            <c:v>ICER = £20,000 per QALY gained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trendline>
            <c:name>ICER = £20,000 per QALY gained</c:name>
            <c:spPr>
              <a:ln w="19050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Control!$A$9:$A$11</c:f>
              <c:numCache>
                <c:formatCode>General</c:formatCode>
                <c:ptCount val="3"/>
                <c:pt idx="0">
                  <c:v>-2</c:v>
                </c:pt>
                <c:pt idx="1">
                  <c:v>0</c:v>
                </c:pt>
                <c:pt idx="2">
                  <c:v>2</c:v>
                </c:pt>
              </c:numCache>
            </c:numRef>
          </c:xVal>
          <c:yVal>
            <c:numRef>
              <c:f>Control!$B$9:$B$11</c:f>
              <c:numCache>
                <c:formatCode>General</c:formatCode>
                <c:ptCount val="3"/>
                <c:pt idx="0">
                  <c:v>-40000</c:v>
                </c:pt>
                <c:pt idx="1">
                  <c:v>0</c:v>
                </c:pt>
                <c:pt idx="2">
                  <c:v>40000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B7-4AC2-99DA-7CF64644A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920031"/>
        <c:axId val="1122767343"/>
      </c:scatterChart>
      <c:valAx>
        <c:axId val="1387920031"/>
        <c:scaling>
          <c:orientation val="minMax"/>
          <c:max val="1.5"/>
          <c:min val="-1.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Incremental</a:t>
                </a:r>
                <a:r>
                  <a:rPr lang="en-GB" sz="1400" baseline="0"/>
                  <a:t> Quality Adjusted Life Years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0.37847883673827926"/>
              <c:y val="0.913559386438096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767343"/>
        <c:crosses val="autoZero"/>
        <c:crossBetween val="midCat"/>
      </c:valAx>
      <c:valAx>
        <c:axId val="1122767343"/>
        <c:scaling>
          <c:orientation val="minMax"/>
          <c:max val="30000"/>
          <c:min val="-3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Incremental Costs</a:t>
                </a:r>
              </a:p>
            </c:rich>
          </c:tx>
          <c:layout>
            <c:manualLayout>
              <c:xMode val="edge"/>
              <c:yMode val="edge"/>
              <c:x val="5.095000667678614E-2"/>
              <c:y val="0.35608734780664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92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89248331503E-2"/>
          <c:y val="0.95212010940271496"/>
          <c:w val="0.89999991398665202"/>
          <c:h val="4.78798905972850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'PSA analysis'!$N$3</c:f>
              <c:strCache>
                <c:ptCount val="1"/>
                <c:pt idx="0">
                  <c:v>MTC</c:v>
                </c:pt>
              </c:strCache>
            </c:strRef>
          </c:tx>
          <c:spPr>
            <a:ln w="31750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'PSA analysis'!$M$4:$M$504</c:f>
              <c:numCache>
                <c:formatCode>General</c:formatCode>
                <c:ptCount val="5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</c:numCache>
            </c:numRef>
          </c:xVal>
          <c:yVal>
            <c:numRef>
              <c:f>'PSA analysis'!$N$4:$N$504</c:f>
              <c:numCache>
                <c:formatCode>General</c:formatCode>
                <c:ptCount val="501"/>
                <c:pt idx="0">
                  <c:v>6.0000000000000001E-3</c:v>
                </c:pt>
                <c:pt idx="1">
                  <c:v>6.0000000000000001E-3</c:v>
                </c:pt>
                <c:pt idx="2">
                  <c:v>6.0000000000000001E-3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6.0000000000000001E-3</c:v>
                </c:pt>
                <c:pt idx="6">
                  <c:v>6.0000000000000001E-3</c:v>
                </c:pt>
                <c:pt idx="7">
                  <c:v>6.0000000000000001E-3</c:v>
                </c:pt>
                <c:pt idx="8">
                  <c:v>6.0000000000000001E-3</c:v>
                </c:pt>
                <c:pt idx="9">
                  <c:v>6.0000000000000001E-3</c:v>
                </c:pt>
                <c:pt idx="10">
                  <c:v>6.0000000000000001E-3</c:v>
                </c:pt>
                <c:pt idx="11">
                  <c:v>6.0000000000000001E-3</c:v>
                </c:pt>
                <c:pt idx="12">
                  <c:v>6.0000000000000001E-3</c:v>
                </c:pt>
                <c:pt idx="13">
                  <c:v>6.0000000000000001E-3</c:v>
                </c:pt>
                <c:pt idx="14">
                  <c:v>6.0000000000000001E-3</c:v>
                </c:pt>
                <c:pt idx="15">
                  <c:v>6.0000000000000001E-3</c:v>
                </c:pt>
                <c:pt idx="16">
                  <c:v>6.0000000000000001E-3</c:v>
                </c:pt>
                <c:pt idx="17">
                  <c:v>6.0000000000000001E-3</c:v>
                </c:pt>
                <c:pt idx="18">
                  <c:v>6.0000000000000001E-3</c:v>
                </c:pt>
                <c:pt idx="19">
                  <c:v>6.0000000000000001E-3</c:v>
                </c:pt>
                <c:pt idx="20">
                  <c:v>6.0000000000000001E-3</c:v>
                </c:pt>
                <c:pt idx="21">
                  <c:v>6.0000000000000001E-3</c:v>
                </c:pt>
                <c:pt idx="22">
                  <c:v>6.0000000000000001E-3</c:v>
                </c:pt>
                <c:pt idx="23">
                  <c:v>6.0000000000000001E-3</c:v>
                </c:pt>
                <c:pt idx="24">
                  <c:v>6.0000000000000001E-3</c:v>
                </c:pt>
                <c:pt idx="25">
                  <c:v>6.0000000000000001E-3</c:v>
                </c:pt>
                <c:pt idx="26">
                  <c:v>6.0000000000000001E-3</c:v>
                </c:pt>
                <c:pt idx="27">
                  <c:v>6.0000000000000001E-3</c:v>
                </c:pt>
                <c:pt idx="28">
                  <c:v>6.0000000000000001E-3</c:v>
                </c:pt>
                <c:pt idx="29">
                  <c:v>6.0000000000000001E-3</c:v>
                </c:pt>
                <c:pt idx="30">
                  <c:v>6.0000000000000001E-3</c:v>
                </c:pt>
                <c:pt idx="31">
                  <c:v>6.0000000000000001E-3</c:v>
                </c:pt>
                <c:pt idx="32">
                  <c:v>6.0000000000000001E-3</c:v>
                </c:pt>
                <c:pt idx="33">
                  <c:v>6.0000000000000001E-3</c:v>
                </c:pt>
                <c:pt idx="34">
                  <c:v>6.0000000000000001E-3</c:v>
                </c:pt>
                <c:pt idx="35">
                  <c:v>6.0000000000000001E-3</c:v>
                </c:pt>
                <c:pt idx="36">
                  <c:v>6.0000000000000001E-3</c:v>
                </c:pt>
                <c:pt idx="37">
                  <c:v>6.0000000000000001E-3</c:v>
                </c:pt>
                <c:pt idx="38">
                  <c:v>6.0000000000000001E-3</c:v>
                </c:pt>
                <c:pt idx="39">
                  <c:v>6.0000000000000001E-3</c:v>
                </c:pt>
                <c:pt idx="40">
                  <c:v>6.0000000000000001E-3</c:v>
                </c:pt>
                <c:pt idx="41">
                  <c:v>6.0000000000000001E-3</c:v>
                </c:pt>
                <c:pt idx="42">
                  <c:v>6.0000000000000001E-3</c:v>
                </c:pt>
                <c:pt idx="43">
                  <c:v>6.0000000000000001E-3</c:v>
                </c:pt>
                <c:pt idx="44">
                  <c:v>6.0000000000000001E-3</c:v>
                </c:pt>
                <c:pt idx="45">
                  <c:v>6.0000000000000001E-3</c:v>
                </c:pt>
                <c:pt idx="46">
                  <c:v>6.0000000000000001E-3</c:v>
                </c:pt>
                <c:pt idx="47">
                  <c:v>6.0000000000000001E-3</c:v>
                </c:pt>
                <c:pt idx="48">
                  <c:v>6.0000000000000001E-3</c:v>
                </c:pt>
                <c:pt idx="49">
                  <c:v>6.0000000000000001E-3</c:v>
                </c:pt>
                <c:pt idx="50">
                  <c:v>6.0000000000000001E-3</c:v>
                </c:pt>
                <c:pt idx="51">
                  <c:v>6.0000000000000001E-3</c:v>
                </c:pt>
                <c:pt idx="52">
                  <c:v>6.0000000000000001E-3</c:v>
                </c:pt>
                <c:pt idx="53">
                  <c:v>6.0000000000000001E-3</c:v>
                </c:pt>
                <c:pt idx="54">
                  <c:v>6.0000000000000001E-3</c:v>
                </c:pt>
                <c:pt idx="55">
                  <c:v>6.0000000000000001E-3</c:v>
                </c:pt>
                <c:pt idx="56">
                  <c:v>6.0000000000000001E-3</c:v>
                </c:pt>
                <c:pt idx="57">
                  <c:v>6.0000000000000001E-3</c:v>
                </c:pt>
                <c:pt idx="58">
                  <c:v>6.0000000000000001E-3</c:v>
                </c:pt>
                <c:pt idx="59">
                  <c:v>6.0000000000000001E-3</c:v>
                </c:pt>
                <c:pt idx="60">
                  <c:v>6.0000000000000001E-3</c:v>
                </c:pt>
                <c:pt idx="61">
                  <c:v>6.0000000000000001E-3</c:v>
                </c:pt>
                <c:pt idx="62">
                  <c:v>6.0000000000000001E-3</c:v>
                </c:pt>
                <c:pt idx="63">
                  <c:v>6.0000000000000001E-3</c:v>
                </c:pt>
                <c:pt idx="64">
                  <c:v>6.0000000000000001E-3</c:v>
                </c:pt>
                <c:pt idx="65">
                  <c:v>6.0000000000000001E-3</c:v>
                </c:pt>
                <c:pt idx="66">
                  <c:v>6.0000000000000001E-3</c:v>
                </c:pt>
                <c:pt idx="67">
                  <c:v>6.0000000000000001E-3</c:v>
                </c:pt>
                <c:pt idx="68">
                  <c:v>6.0000000000000001E-3</c:v>
                </c:pt>
                <c:pt idx="69">
                  <c:v>8.0000000000000002E-3</c:v>
                </c:pt>
                <c:pt idx="70">
                  <c:v>8.0000000000000002E-3</c:v>
                </c:pt>
                <c:pt idx="71">
                  <c:v>8.0000000000000002E-3</c:v>
                </c:pt>
                <c:pt idx="72">
                  <c:v>8.0000000000000002E-3</c:v>
                </c:pt>
                <c:pt idx="73">
                  <c:v>8.0000000000000002E-3</c:v>
                </c:pt>
                <c:pt idx="74">
                  <c:v>8.0000000000000002E-3</c:v>
                </c:pt>
                <c:pt idx="75">
                  <c:v>8.0000000000000002E-3</c:v>
                </c:pt>
                <c:pt idx="76">
                  <c:v>8.0000000000000002E-3</c:v>
                </c:pt>
                <c:pt idx="77">
                  <c:v>8.0000000000000002E-3</c:v>
                </c:pt>
                <c:pt idx="78">
                  <c:v>8.0000000000000002E-3</c:v>
                </c:pt>
                <c:pt idx="79">
                  <c:v>8.0000000000000002E-3</c:v>
                </c:pt>
                <c:pt idx="80">
                  <c:v>8.0000000000000002E-3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1.2E-2</c:v>
                </c:pt>
                <c:pt idx="85">
                  <c:v>1.2E-2</c:v>
                </c:pt>
                <c:pt idx="86">
                  <c:v>1.2E-2</c:v>
                </c:pt>
                <c:pt idx="87">
                  <c:v>1.2E-2</c:v>
                </c:pt>
                <c:pt idx="88">
                  <c:v>1.2E-2</c:v>
                </c:pt>
                <c:pt idx="89">
                  <c:v>1.4E-2</c:v>
                </c:pt>
                <c:pt idx="90">
                  <c:v>1.4E-2</c:v>
                </c:pt>
                <c:pt idx="91">
                  <c:v>1.4E-2</c:v>
                </c:pt>
                <c:pt idx="92">
                  <c:v>1.4E-2</c:v>
                </c:pt>
                <c:pt idx="93">
                  <c:v>1.4E-2</c:v>
                </c:pt>
                <c:pt idx="94">
                  <c:v>1.4E-2</c:v>
                </c:pt>
                <c:pt idx="95">
                  <c:v>1.4E-2</c:v>
                </c:pt>
                <c:pt idx="96">
                  <c:v>1.6E-2</c:v>
                </c:pt>
                <c:pt idx="97">
                  <c:v>1.6E-2</c:v>
                </c:pt>
                <c:pt idx="98">
                  <c:v>2.1999999999999999E-2</c:v>
                </c:pt>
                <c:pt idx="99">
                  <c:v>2.1999999999999999E-2</c:v>
                </c:pt>
                <c:pt idx="100">
                  <c:v>2.4E-2</c:v>
                </c:pt>
                <c:pt idx="101">
                  <c:v>2.8000000000000001E-2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3.4000000000000002E-2</c:v>
                </c:pt>
                <c:pt idx="107">
                  <c:v>0.04</c:v>
                </c:pt>
                <c:pt idx="108">
                  <c:v>4.3999999999999997E-2</c:v>
                </c:pt>
                <c:pt idx="109">
                  <c:v>4.5999999999999999E-2</c:v>
                </c:pt>
                <c:pt idx="110">
                  <c:v>5.1999999999999998E-2</c:v>
                </c:pt>
                <c:pt idx="111">
                  <c:v>5.1999999999999998E-2</c:v>
                </c:pt>
                <c:pt idx="112">
                  <c:v>5.6000000000000001E-2</c:v>
                </c:pt>
                <c:pt idx="113">
                  <c:v>0.06</c:v>
                </c:pt>
                <c:pt idx="114">
                  <c:v>6.8000000000000005E-2</c:v>
                </c:pt>
                <c:pt idx="115">
                  <c:v>7.0000000000000007E-2</c:v>
                </c:pt>
                <c:pt idx="116">
                  <c:v>7.3999999999999996E-2</c:v>
                </c:pt>
                <c:pt idx="117">
                  <c:v>0.08</c:v>
                </c:pt>
                <c:pt idx="118">
                  <c:v>0.08</c:v>
                </c:pt>
                <c:pt idx="119">
                  <c:v>0.09</c:v>
                </c:pt>
                <c:pt idx="120">
                  <c:v>9.8000000000000004E-2</c:v>
                </c:pt>
                <c:pt idx="121">
                  <c:v>0.112</c:v>
                </c:pt>
                <c:pt idx="122">
                  <c:v>0.11799999999999999</c:v>
                </c:pt>
                <c:pt idx="123">
                  <c:v>0.128</c:v>
                </c:pt>
                <c:pt idx="124">
                  <c:v>0.13200000000000001</c:v>
                </c:pt>
                <c:pt idx="125">
                  <c:v>0.14399999999999999</c:v>
                </c:pt>
                <c:pt idx="126">
                  <c:v>0.154</c:v>
                </c:pt>
                <c:pt idx="127">
                  <c:v>0.16200000000000001</c:v>
                </c:pt>
                <c:pt idx="128">
                  <c:v>0.17</c:v>
                </c:pt>
                <c:pt idx="129">
                  <c:v>0.18</c:v>
                </c:pt>
                <c:pt idx="130">
                  <c:v>0.19</c:v>
                </c:pt>
                <c:pt idx="131">
                  <c:v>0.19800000000000001</c:v>
                </c:pt>
                <c:pt idx="132">
                  <c:v>0.20599999999999999</c:v>
                </c:pt>
                <c:pt idx="133">
                  <c:v>0.20599999999999999</c:v>
                </c:pt>
                <c:pt idx="134">
                  <c:v>0.218</c:v>
                </c:pt>
                <c:pt idx="135">
                  <c:v>0.23200000000000001</c:v>
                </c:pt>
                <c:pt idx="136">
                  <c:v>0.24199999999999999</c:v>
                </c:pt>
                <c:pt idx="137">
                  <c:v>0.254</c:v>
                </c:pt>
                <c:pt idx="138">
                  <c:v>0.27800000000000002</c:v>
                </c:pt>
                <c:pt idx="139">
                  <c:v>0.29399999999999998</c:v>
                </c:pt>
                <c:pt idx="140">
                  <c:v>0.312</c:v>
                </c:pt>
                <c:pt idx="141">
                  <c:v>0.32</c:v>
                </c:pt>
                <c:pt idx="142">
                  <c:v>0.33200000000000002</c:v>
                </c:pt>
                <c:pt idx="143">
                  <c:v>0.34799999999999998</c:v>
                </c:pt>
                <c:pt idx="144">
                  <c:v>0.36</c:v>
                </c:pt>
                <c:pt idx="145">
                  <c:v>0.37</c:v>
                </c:pt>
                <c:pt idx="146">
                  <c:v>0.38400000000000001</c:v>
                </c:pt>
                <c:pt idx="147">
                  <c:v>0.39200000000000002</c:v>
                </c:pt>
                <c:pt idx="148">
                  <c:v>0.40400000000000003</c:v>
                </c:pt>
                <c:pt idx="149">
                  <c:v>0.42199999999999999</c:v>
                </c:pt>
                <c:pt idx="150">
                  <c:v>0.44</c:v>
                </c:pt>
                <c:pt idx="151">
                  <c:v>0.45600000000000002</c:v>
                </c:pt>
                <c:pt idx="152">
                  <c:v>0.47</c:v>
                </c:pt>
                <c:pt idx="153">
                  <c:v>0.48399999999999999</c:v>
                </c:pt>
                <c:pt idx="154">
                  <c:v>0.5</c:v>
                </c:pt>
                <c:pt idx="155">
                  <c:v>0.51</c:v>
                </c:pt>
                <c:pt idx="156">
                  <c:v>0.52400000000000002</c:v>
                </c:pt>
                <c:pt idx="157">
                  <c:v>0.54800000000000004</c:v>
                </c:pt>
                <c:pt idx="158">
                  <c:v>0.56200000000000006</c:v>
                </c:pt>
                <c:pt idx="159">
                  <c:v>0.56799999999999995</c:v>
                </c:pt>
                <c:pt idx="160">
                  <c:v>0.57999999999999996</c:v>
                </c:pt>
                <c:pt idx="161">
                  <c:v>0.58799999999999997</c:v>
                </c:pt>
                <c:pt idx="162">
                  <c:v>0.59799999999999998</c:v>
                </c:pt>
                <c:pt idx="163">
                  <c:v>0.61</c:v>
                </c:pt>
                <c:pt idx="164">
                  <c:v>0.63</c:v>
                </c:pt>
                <c:pt idx="165">
                  <c:v>0.63400000000000001</c:v>
                </c:pt>
                <c:pt idx="166">
                  <c:v>0.64600000000000002</c:v>
                </c:pt>
                <c:pt idx="167">
                  <c:v>0.64800000000000002</c:v>
                </c:pt>
                <c:pt idx="168">
                  <c:v>0.65800000000000003</c:v>
                </c:pt>
                <c:pt idx="169">
                  <c:v>0.67400000000000004</c:v>
                </c:pt>
                <c:pt idx="170">
                  <c:v>0.68</c:v>
                </c:pt>
                <c:pt idx="171">
                  <c:v>0.68600000000000005</c:v>
                </c:pt>
                <c:pt idx="172">
                  <c:v>0.69399999999999995</c:v>
                </c:pt>
                <c:pt idx="173">
                  <c:v>0.70599999999999996</c:v>
                </c:pt>
                <c:pt idx="174">
                  <c:v>0.71799999999999997</c:v>
                </c:pt>
                <c:pt idx="175">
                  <c:v>0.73199999999999998</c:v>
                </c:pt>
                <c:pt idx="176">
                  <c:v>0.748</c:v>
                </c:pt>
                <c:pt idx="177">
                  <c:v>0.75600000000000001</c:v>
                </c:pt>
                <c:pt idx="178">
                  <c:v>0.76200000000000001</c:v>
                </c:pt>
                <c:pt idx="179">
                  <c:v>0.76600000000000001</c:v>
                </c:pt>
                <c:pt idx="180">
                  <c:v>0.77200000000000002</c:v>
                </c:pt>
                <c:pt idx="181">
                  <c:v>0.77800000000000002</c:v>
                </c:pt>
                <c:pt idx="182">
                  <c:v>0.78400000000000003</c:v>
                </c:pt>
                <c:pt idx="183">
                  <c:v>0.79200000000000004</c:v>
                </c:pt>
                <c:pt idx="184">
                  <c:v>0.8</c:v>
                </c:pt>
                <c:pt idx="185">
                  <c:v>0.80400000000000005</c:v>
                </c:pt>
                <c:pt idx="186">
                  <c:v>0.81399999999999995</c:v>
                </c:pt>
                <c:pt idx="187">
                  <c:v>0.81599999999999995</c:v>
                </c:pt>
                <c:pt idx="188">
                  <c:v>0.83</c:v>
                </c:pt>
                <c:pt idx="189">
                  <c:v>0.83799999999999997</c:v>
                </c:pt>
                <c:pt idx="190">
                  <c:v>0.84799999999999998</c:v>
                </c:pt>
                <c:pt idx="191">
                  <c:v>0.86</c:v>
                </c:pt>
                <c:pt idx="192">
                  <c:v>0.86399999999999999</c:v>
                </c:pt>
                <c:pt idx="193">
                  <c:v>0.872</c:v>
                </c:pt>
                <c:pt idx="194">
                  <c:v>0.874</c:v>
                </c:pt>
                <c:pt idx="195">
                  <c:v>0.874</c:v>
                </c:pt>
                <c:pt idx="196">
                  <c:v>0.88400000000000001</c:v>
                </c:pt>
                <c:pt idx="197">
                  <c:v>0.88600000000000001</c:v>
                </c:pt>
                <c:pt idx="198">
                  <c:v>0.88800000000000001</c:v>
                </c:pt>
                <c:pt idx="199">
                  <c:v>0.89200000000000002</c:v>
                </c:pt>
                <c:pt idx="200">
                  <c:v>0.89800000000000002</c:v>
                </c:pt>
                <c:pt idx="201">
                  <c:v>0.90200000000000002</c:v>
                </c:pt>
                <c:pt idx="202">
                  <c:v>0.90800000000000003</c:v>
                </c:pt>
                <c:pt idx="203">
                  <c:v>0.91</c:v>
                </c:pt>
                <c:pt idx="204">
                  <c:v>0.91600000000000004</c:v>
                </c:pt>
                <c:pt idx="205">
                  <c:v>0.92</c:v>
                </c:pt>
                <c:pt idx="206">
                  <c:v>0.92400000000000004</c:v>
                </c:pt>
                <c:pt idx="207">
                  <c:v>0.93</c:v>
                </c:pt>
                <c:pt idx="208">
                  <c:v>0.93200000000000005</c:v>
                </c:pt>
                <c:pt idx="209">
                  <c:v>0.93200000000000005</c:v>
                </c:pt>
                <c:pt idx="210">
                  <c:v>0.93400000000000005</c:v>
                </c:pt>
                <c:pt idx="211">
                  <c:v>0.94</c:v>
                </c:pt>
                <c:pt idx="212">
                  <c:v>0.94199999999999995</c:v>
                </c:pt>
                <c:pt idx="213">
                  <c:v>0.95</c:v>
                </c:pt>
                <c:pt idx="214">
                  <c:v>0.95399999999999996</c:v>
                </c:pt>
                <c:pt idx="215">
                  <c:v>0.95599999999999996</c:v>
                </c:pt>
                <c:pt idx="216">
                  <c:v>0.96</c:v>
                </c:pt>
                <c:pt idx="217">
                  <c:v>0.96199999999999997</c:v>
                </c:pt>
                <c:pt idx="218">
                  <c:v>0.96599999999999997</c:v>
                </c:pt>
                <c:pt idx="219">
                  <c:v>0.96799999999999997</c:v>
                </c:pt>
                <c:pt idx="220">
                  <c:v>0.96799999999999997</c:v>
                </c:pt>
                <c:pt idx="221">
                  <c:v>0.97</c:v>
                </c:pt>
                <c:pt idx="222">
                  <c:v>0.97199999999999998</c:v>
                </c:pt>
                <c:pt idx="223">
                  <c:v>0.97399999999999998</c:v>
                </c:pt>
                <c:pt idx="224">
                  <c:v>0.97599999999999998</c:v>
                </c:pt>
                <c:pt idx="225">
                  <c:v>0.97799999999999998</c:v>
                </c:pt>
                <c:pt idx="226">
                  <c:v>0.98</c:v>
                </c:pt>
                <c:pt idx="227">
                  <c:v>0.98199999999999998</c:v>
                </c:pt>
                <c:pt idx="228">
                  <c:v>0.98199999999999998</c:v>
                </c:pt>
                <c:pt idx="229">
                  <c:v>0.98399999999999999</c:v>
                </c:pt>
                <c:pt idx="230">
                  <c:v>0.98399999999999999</c:v>
                </c:pt>
                <c:pt idx="231">
                  <c:v>0.99</c:v>
                </c:pt>
                <c:pt idx="232">
                  <c:v>0.99</c:v>
                </c:pt>
                <c:pt idx="233">
                  <c:v>0.99</c:v>
                </c:pt>
                <c:pt idx="234">
                  <c:v>0.99</c:v>
                </c:pt>
                <c:pt idx="235">
                  <c:v>0.99</c:v>
                </c:pt>
                <c:pt idx="236">
                  <c:v>0.99</c:v>
                </c:pt>
                <c:pt idx="237">
                  <c:v>0.99199999999999999</c:v>
                </c:pt>
                <c:pt idx="238">
                  <c:v>0.99199999999999999</c:v>
                </c:pt>
                <c:pt idx="239">
                  <c:v>0.99399999999999999</c:v>
                </c:pt>
                <c:pt idx="240">
                  <c:v>0.99399999999999999</c:v>
                </c:pt>
                <c:pt idx="241">
                  <c:v>0.99399999999999999</c:v>
                </c:pt>
                <c:pt idx="242">
                  <c:v>0.99399999999999999</c:v>
                </c:pt>
                <c:pt idx="243">
                  <c:v>0.99399999999999999</c:v>
                </c:pt>
                <c:pt idx="244">
                  <c:v>0.99399999999999999</c:v>
                </c:pt>
                <c:pt idx="245">
                  <c:v>0.99399999999999999</c:v>
                </c:pt>
                <c:pt idx="246">
                  <c:v>0.99399999999999999</c:v>
                </c:pt>
                <c:pt idx="247">
                  <c:v>0.99399999999999999</c:v>
                </c:pt>
                <c:pt idx="248">
                  <c:v>0.99399999999999999</c:v>
                </c:pt>
                <c:pt idx="249">
                  <c:v>0.99399999999999999</c:v>
                </c:pt>
                <c:pt idx="250">
                  <c:v>0.99399999999999999</c:v>
                </c:pt>
                <c:pt idx="251">
                  <c:v>0.99199999999999999</c:v>
                </c:pt>
                <c:pt idx="252">
                  <c:v>0.99199999999999999</c:v>
                </c:pt>
                <c:pt idx="253">
                  <c:v>0.99199999999999999</c:v>
                </c:pt>
                <c:pt idx="254">
                  <c:v>0.99399999999999999</c:v>
                </c:pt>
                <c:pt idx="255">
                  <c:v>0.996</c:v>
                </c:pt>
                <c:pt idx="256">
                  <c:v>0.996</c:v>
                </c:pt>
                <c:pt idx="257">
                  <c:v>0.996</c:v>
                </c:pt>
                <c:pt idx="258">
                  <c:v>0.996</c:v>
                </c:pt>
                <c:pt idx="259">
                  <c:v>0.996</c:v>
                </c:pt>
                <c:pt idx="260">
                  <c:v>0.996</c:v>
                </c:pt>
                <c:pt idx="261">
                  <c:v>0.996</c:v>
                </c:pt>
                <c:pt idx="262">
                  <c:v>0.996</c:v>
                </c:pt>
                <c:pt idx="263">
                  <c:v>0.996</c:v>
                </c:pt>
                <c:pt idx="264">
                  <c:v>0.996</c:v>
                </c:pt>
                <c:pt idx="265">
                  <c:v>0.996</c:v>
                </c:pt>
                <c:pt idx="266">
                  <c:v>0.996</c:v>
                </c:pt>
                <c:pt idx="267">
                  <c:v>0.996</c:v>
                </c:pt>
                <c:pt idx="268">
                  <c:v>0.996</c:v>
                </c:pt>
                <c:pt idx="269">
                  <c:v>0.996</c:v>
                </c:pt>
                <c:pt idx="270">
                  <c:v>0.996</c:v>
                </c:pt>
                <c:pt idx="271">
                  <c:v>0.996</c:v>
                </c:pt>
                <c:pt idx="272">
                  <c:v>0.996</c:v>
                </c:pt>
                <c:pt idx="273">
                  <c:v>0.996</c:v>
                </c:pt>
                <c:pt idx="274">
                  <c:v>0.996</c:v>
                </c:pt>
                <c:pt idx="275">
                  <c:v>0.996</c:v>
                </c:pt>
                <c:pt idx="276">
                  <c:v>0.996</c:v>
                </c:pt>
                <c:pt idx="277">
                  <c:v>0.996</c:v>
                </c:pt>
                <c:pt idx="278">
                  <c:v>0.996</c:v>
                </c:pt>
                <c:pt idx="279">
                  <c:v>0.996</c:v>
                </c:pt>
                <c:pt idx="280">
                  <c:v>0.996</c:v>
                </c:pt>
                <c:pt idx="281">
                  <c:v>0.996</c:v>
                </c:pt>
                <c:pt idx="282">
                  <c:v>0.998</c:v>
                </c:pt>
                <c:pt idx="283">
                  <c:v>0.998</c:v>
                </c:pt>
                <c:pt idx="284">
                  <c:v>0.998</c:v>
                </c:pt>
                <c:pt idx="285">
                  <c:v>0.998</c:v>
                </c:pt>
                <c:pt idx="286">
                  <c:v>0.998</c:v>
                </c:pt>
                <c:pt idx="287">
                  <c:v>0.998</c:v>
                </c:pt>
                <c:pt idx="288">
                  <c:v>0.998</c:v>
                </c:pt>
                <c:pt idx="289">
                  <c:v>0.998</c:v>
                </c:pt>
                <c:pt idx="290">
                  <c:v>0.998</c:v>
                </c:pt>
                <c:pt idx="291">
                  <c:v>0.998</c:v>
                </c:pt>
                <c:pt idx="292">
                  <c:v>0.998</c:v>
                </c:pt>
                <c:pt idx="293">
                  <c:v>0.998</c:v>
                </c:pt>
                <c:pt idx="294">
                  <c:v>0.998</c:v>
                </c:pt>
                <c:pt idx="295">
                  <c:v>0.998</c:v>
                </c:pt>
                <c:pt idx="296">
                  <c:v>0.998</c:v>
                </c:pt>
                <c:pt idx="297">
                  <c:v>0.998</c:v>
                </c:pt>
                <c:pt idx="298">
                  <c:v>0.998</c:v>
                </c:pt>
                <c:pt idx="299">
                  <c:v>0.998</c:v>
                </c:pt>
                <c:pt idx="300">
                  <c:v>0.998</c:v>
                </c:pt>
                <c:pt idx="301">
                  <c:v>0.998</c:v>
                </c:pt>
                <c:pt idx="302">
                  <c:v>0.998</c:v>
                </c:pt>
                <c:pt idx="303">
                  <c:v>0.998</c:v>
                </c:pt>
                <c:pt idx="304">
                  <c:v>0.998</c:v>
                </c:pt>
                <c:pt idx="305">
                  <c:v>0.998</c:v>
                </c:pt>
                <c:pt idx="306">
                  <c:v>0.998</c:v>
                </c:pt>
                <c:pt idx="307">
                  <c:v>0.998</c:v>
                </c:pt>
                <c:pt idx="308">
                  <c:v>0.998</c:v>
                </c:pt>
                <c:pt idx="309">
                  <c:v>0.998</c:v>
                </c:pt>
                <c:pt idx="310">
                  <c:v>0.998</c:v>
                </c:pt>
                <c:pt idx="311">
                  <c:v>0.998</c:v>
                </c:pt>
                <c:pt idx="312">
                  <c:v>0.998</c:v>
                </c:pt>
                <c:pt idx="313">
                  <c:v>0.998</c:v>
                </c:pt>
                <c:pt idx="314">
                  <c:v>0.998</c:v>
                </c:pt>
                <c:pt idx="315">
                  <c:v>0.998</c:v>
                </c:pt>
                <c:pt idx="316">
                  <c:v>0.998</c:v>
                </c:pt>
                <c:pt idx="317">
                  <c:v>0.998</c:v>
                </c:pt>
                <c:pt idx="318">
                  <c:v>0.998</c:v>
                </c:pt>
                <c:pt idx="319">
                  <c:v>0.998</c:v>
                </c:pt>
                <c:pt idx="320">
                  <c:v>0.998</c:v>
                </c:pt>
                <c:pt idx="321">
                  <c:v>0.998</c:v>
                </c:pt>
                <c:pt idx="322">
                  <c:v>0.998</c:v>
                </c:pt>
                <c:pt idx="323">
                  <c:v>0.998</c:v>
                </c:pt>
                <c:pt idx="324">
                  <c:v>0.998</c:v>
                </c:pt>
                <c:pt idx="325">
                  <c:v>0.998</c:v>
                </c:pt>
                <c:pt idx="326">
                  <c:v>0.998</c:v>
                </c:pt>
                <c:pt idx="327">
                  <c:v>0.998</c:v>
                </c:pt>
                <c:pt idx="328">
                  <c:v>0.998</c:v>
                </c:pt>
                <c:pt idx="329">
                  <c:v>0.998</c:v>
                </c:pt>
                <c:pt idx="330">
                  <c:v>0.998</c:v>
                </c:pt>
                <c:pt idx="331">
                  <c:v>0.998</c:v>
                </c:pt>
                <c:pt idx="332">
                  <c:v>0.998</c:v>
                </c:pt>
                <c:pt idx="333">
                  <c:v>0.998</c:v>
                </c:pt>
                <c:pt idx="334">
                  <c:v>0.998</c:v>
                </c:pt>
                <c:pt idx="335">
                  <c:v>0.998</c:v>
                </c:pt>
                <c:pt idx="336">
                  <c:v>0.998</c:v>
                </c:pt>
                <c:pt idx="337">
                  <c:v>0.998</c:v>
                </c:pt>
                <c:pt idx="338">
                  <c:v>0.998</c:v>
                </c:pt>
                <c:pt idx="339">
                  <c:v>0.998</c:v>
                </c:pt>
                <c:pt idx="340">
                  <c:v>0.998</c:v>
                </c:pt>
                <c:pt idx="341">
                  <c:v>0.998</c:v>
                </c:pt>
                <c:pt idx="342">
                  <c:v>0.998</c:v>
                </c:pt>
                <c:pt idx="343">
                  <c:v>0.998</c:v>
                </c:pt>
                <c:pt idx="344">
                  <c:v>0.998</c:v>
                </c:pt>
                <c:pt idx="345">
                  <c:v>0.998</c:v>
                </c:pt>
                <c:pt idx="346">
                  <c:v>0.998</c:v>
                </c:pt>
                <c:pt idx="347">
                  <c:v>0.998</c:v>
                </c:pt>
                <c:pt idx="348">
                  <c:v>0.998</c:v>
                </c:pt>
                <c:pt idx="349">
                  <c:v>0.998</c:v>
                </c:pt>
                <c:pt idx="350">
                  <c:v>0.998</c:v>
                </c:pt>
                <c:pt idx="351">
                  <c:v>0.998</c:v>
                </c:pt>
                <c:pt idx="352">
                  <c:v>0.998</c:v>
                </c:pt>
                <c:pt idx="353">
                  <c:v>0.998</c:v>
                </c:pt>
                <c:pt idx="354">
                  <c:v>0.998</c:v>
                </c:pt>
                <c:pt idx="355">
                  <c:v>0.998</c:v>
                </c:pt>
                <c:pt idx="356">
                  <c:v>0.998</c:v>
                </c:pt>
                <c:pt idx="357">
                  <c:v>0.998</c:v>
                </c:pt>
                <c:pt idx="358">
                  <c:v>0.998</c:v>
                </c:pt>
                <c:pt idx="359">
                  <c:v>0.998</c:v>
                </c:pt>
                <c:pt idx="360">
                  <c:v>0.998</c:v>
                </c:pt>
                <c:pt idx="361">
                  <c:v>0.998</c:v>
                </c:pt>
                <c:pt idx="362">
                  <c:v>0.998</c:v>
                </c:pt>
                <c:pt idx="363">
                  <c:v>0.998</c:v>
                </c:pt>
                <c:pt idx="364">
                  <c:v>0.998</c:v>
                </c:pt>
                <c:pt idx="365">
                  <c:v>0.998</c:v>
                </c:pt>
                <c:pt idx="366">
                  <c:v>0.998</c:v>
                </c:pt>
                <c:pt idx="367">
                  <c:v>0.998</c:v>
                </c:pt>
                <c:pt idx="368">
                  <c:v>0.998</c:v>
                </c:pt>
                <c:pt idx="369">
                  <c:v>0.998</c:v>
                </c:pt>
                <c:pt idx="370">
                  <c:v>0.998</c:v>
                </c:pt>
                <c:pt idx="371">
                  <c:v>0.998</c:v>
                </c:pt>
                <c:pt idx="372">
                  <c:v>0.998</c:v>
                </c:pt>
                <c:pt idx="373">
                  <c:v>0.998</c:v>
                </c:pt>
                <c:pt idx="374">
                  <c:v>0.998</c:v>
                </c:pt>
                <c:pt idx="375">
                  <c:v>0.998</c:v>
                </c:pt>
                <c:pt idx="376">
                  <c:v>0.998</c:v>
                </c:pt>
                <c:pt idx="377">
                  <c:v>0.998</c:v>
                </c:pt>
                <c:pt idx="378">
                  <c:v>0.998</c:v>
                </c:pt>
                <c:pt idx="379">
                  <c:v>0.998</c:v>
                </c:pt>
                <c:pt idx="380">
                  <c:v>0.998</c:v>
                </c:pt>
                <c:pt idx="381">
                  <c:v>0.998</c:v>
                </c:pt>
                <c:pt idx="382">
                  <c:v>0.998</c:v>
                </c:pt>
                <c:pt idx="383">
                  <c:v>0.998</c:v>
                </c:pt>
                <c:pt idx="384">
                  <c:v>0.998</c:v>
                </c:pt>
                <c:pt idx="385">
                  <c:v>0.998</c:v>
                </c:pt>
                <c:pt idx="386">
                  <c:v>0.998</c:v>
                </c:pt>
                <c:pt idx="387">
                  <c:v>0.998</c:v>
                </c:pt>
                <c:pt idx="388">
                  <c:v>0.998</c:v>
                </c:pt>
                <c:pt idx="389">
                  <c:v>0.998</c:v>
                </c:pt>
                <c:pt idx="390">
                  <c:v>0.998</c:v>
                </c:pt>
                <c:pt idx="391">
                  <c:v>0.998</c:v>
                </c:pt>
                <c:pt idx="392">
                  <c:v>0.998</c:v>
                </c:pt>
                <c:pt idx="393">
                  <c:v>0.998</c:v>
                </c:pt>
                <c:pt idx="394">
                  <c:v>0.998</c:v>
                </c:pt>
                <c:pt idx="395">
                  <c:v>0.998</c:v>
                </c:pt>
                <c:pt idx="396">
                  <c:v>0.998</c:v>
                </c:pt>
                <c:pt idx="397">
                  <c:v>0.998</c:v>
                </c:pt>
                <c:pt idx="398">
                  <c:v>0.998</c:v>
                </c:pt>
                <c:pt idx="399">
                  <c:v>0.998</c:v>
                </c:pt>
                <c:pt idx="400">
                  <c:v>0.998</c:v>
                </c:pt>
                <c:pt idx="401">
                  <c:v>0.998</c:v>
                </c:pt>
                <c:pt idx="402">
                  <c:v>0.998</c:v>
                </c:pt>
                <c:pt idx="403">
                  <c:v>0.998</c:v>
                </c:pt>
                <c:pt idx="404">
                  <c:v>0.998</c:v>
                </c:pt>
                <c:pt idx="405">
                  <c:v>0.998</c:v>
                </c:pt>
                <c:pt idx="406">
                  <c:v>0.998</c:v>
                </c:pt>
                <c:pt idx="407">
                  <c:v>0.998</c:v>
                </c:pt>
                <c:pt idx="408">
                  <c:v>0.998</c:v>
                </c:pt>
                <c:pt idx="409">
                  <c:v>0.998</c:v>
                </c:pt>
                <c:pt idx="410">
                  <c:v>0.998</c:v>
                </c:pt>
                <c:pt idx="411">
                  <c:v>0.998</c:v>
                </c:pt>
                <c:pt idx="412">
                  <c:v>0.998</c:v>
                </c:pt>
                <c:pt idx="413">
                  <c:v>0.998</c:v>
                </c:pt>
                <c:pt idx="414">
                  <c:v>0.998</c:v>
                </c:pt>
                <c:pt idx="415">
                  <c:v>0.998</c:v>
                </c:pt>
                <c:pt idx="416">
                  <c:v>0.998</c:v>
                </c:pt>
                <c:pt idx="417">
                  <c:v>0.998</c:v>
                </c:pt>
                <c:pt idx="418">
                  <c:v>0.998</c:v>
                </c:pt>
                <c:pt idx="419">
                  <c:v>0.998</c:v>
                </c:pt>
                <c:pt idx="420">
                  <c:v>0.998</c:v>
                </c:pt>
                <c:pt idx="421">
                  <c:v>0.998</c:v>
                </c:pt>
                <c:pt idx="422">
                  <c:v>0.998</c:v>
                </c:pt>
                <c:pt idx="423">
                  <c:v>0.998</c:v>
                </c:pt>
                <c:pt idx="424">
                  <c:v>0.998</c:v>
                </c:pt>
                <c:pt idx="425">
                  <c:v>0.998</c:v>
                </c:pt>
                <c:pt idx="426">
                  <c:v>0.998</c:v>
                </c:pt>
                <c:pt idx="427">
                  <c:v>0.998</c:v>
                </c:pt>
                <c:pt idx="428">
                  <c:v>0.998</c:v>
                </c:pt>
                <c:pt idx="429">
                  <c:v>0.998</c:v>
                </c:pt>
                <c:pt idx="430">
                  <c:v>0.998</c:v>
                </c:pt>
                <c:pt idx="431">
                  <c:v>0.998</c:v>
                </c:pt>
                <c:pt idx="432">
                  <c:v>0.998</c:v>
                </c:pt>
                <c:pt idx="433">
                  <c:v>0.998</c:v>
                </c:pt>
                <c:pt idx="434">
                  <c:v>0.998</c:v>
                </c:pt>
                <c:pt idx="435">
                  <c:v>0.998</c:v>
                </c:pt>
                <c:pt idx="436">
                  <c:v>0.998</c:v>
                </c:pt>
                <c:pt idx="437">
                  <c:v>0.998</c:v>
                </c:pt>
                <c:pt idx="438">
                  <c:v>0.998</c:v>
                </c:pt>
                <c:pt idx="439">
                  <c:v>0.998</c:v>
                </c:pt>
                <c:pt idx="440">
                  <c:v>0.998</c:v>
                </c:pt>
                <c:pt idx="441">
                  <c:v>0.998</c:v>
                </c:pt>
                <c:pt idx="442">
                  <c:v>0.998</c:v>
                </c:pt>
                <c:pt idx="443">
                  <c:v>0.998</c:v>
                </c:pt>
                <c:pt idx="444">
                  <c:v>0.998</c:v>
                </c:pt>
                <c:pt idx="445">
                  <c:v>0.998</c:v>
                </c:pt>
                <c:pt idx="446">
                  <c:v>0.998</c:v>
                </c:pt>
                <c:pt idx="447">
                  <c:v>0.998</c:v>
                </c:pt>
                <c:pt idx="448">
                  <c:v>0.998</c:v>
                </c:pt>
                <c:pt idx="449">
                  <c:v>0.998</c:v>
                </c:pt>
                <c:pt idx="450">
                  <c:v>0.998</c:v>
                </c:pt>
                <c:pt idx="451">
                  <c:v>0.998</c:v>
                </c:pt>
                <c:pt idx="452">
                  <c:v>0.998</c:v>
                </c:pt>
                <c:pt idx="453">
                  <c:v>0.998</c:v>
                </c:pt>
                <c:pt idx="454">
                  <c:v>0.998</c:v>
                </c:pt>
                <c:pt idx="455">
                  <c:v>0.998</c:v>
                </c:pt>
                <c:pt idx="456">
                  <c:v>0.998</c:v>
                </c:pt>
                <c:pt idx="457">
                  <c:v>0.998</c:v>
                </c:pt>
                <c:pt idx="458">
                  <c:v>0.998</c:v>
                </c:pt>
                <c:pt idx="459">
                  <c:v>0.998</c:v>
                </c:pt>
                <c:pt idx="460">
                  <c:v>0.998</c:v>
                </c:pt>
                <c:pt idx="461">
                  <c:v>0.998</c:v>
                </c:pt>
                <c:pt idx="462">
                  <c:v>0.998</c:v>
                </c:pt>
                <c:pt idx="463">
                  <c:v>0.998</c:v>
                </c:pt>
                <c:pt idx="464">
                  <c:v>0.998</c:v>
                </c:pt>
                <c:pt idx="465">
                  <c:v>0.998</c:v>
                </c:pt>
                <c:pt idx="466">
                  <c:v>0.998</c:v>
                </c:pt>
                <c:pt idx="467">
                  <c:v>0.998</c:v>
                </c:pt>
                <c:pt idx="468">
                  <c:v>0.998</c:v>
                </c:pt>
                <c:pt idx="469">
                  <c:v>0.998</c:v>
                </c:pt>
                <c:pt idx="470">
                  <c:v>0.998</c:v>
                </c:pt>
                <c:pt idx="471">
                  <c:v>0.998</c:v>
                </c:pt>
                <c:pt idx="472">
                  <c:v>0.998</c:v>
                </c:pt>
                <c:pt idx="473">
                  <c:v>0.998</c:v>
                </c:pt>
                <c:pt idx="474">
                  <c:v>0.998</c:v>
                </c:pt>
                <c:pt idx="475">
                  <c:v>0.998</c:v>
                </c:pt>
                <c:pt idx="476">
                  <c:v>0.998</c:v>
                </c:pt>
                <c:pt idx="477">
                  <c:v>0.998</c:v>
                </c:pt>
                <c:pt idx="478">
                  <c:v>0.998</c:v>
                </c:pt>
                <c:pt idx="479">
                  <c:v>0.998</c:v>
                </c:pt>
                <c:pt idx="480">
                  <c:v>0.998</c:v>
                </c:pt>
                <c:pt idx="481">
                  <c:v>0.998</c:v>
                </c:pt>
                <c:pt idx="482">
                  <c:v>0.998</c:v>
                </c:pt>
                <c:pt idx="483">
                  <c:v>0.998</c:v>
                </c:pt>
                <c:pt idx="484">
                  <c:v>0.998</c:v>
                </c:pt>
                <c:pt idx="485">
                  <c:v>0.998</c:v>
                </c:pt>
                <c:pt idx="486">
                  <c:v>0.998</c:v>
                </c:pt>
                <c:pt idx="487">
                  <c:v>0.998</c:v>
                </c:pt>
                <c:pt idx="488">
                  <c:v>0.998</c:v>
                </c:pt>
                <c:pt idx="489">
                  <c:v>0.998</c:v>
                </c:pt>
                <c:pt idx="490">
                  <c:v>0.998</c:v>
                </c:pt>
                <c:pt idx="491">
                  <c:v>0.998</c:v>
                </c:pt>
                <c:pt idx="492">
                  <c:v>0.998</c:v>
                </c:pt>
                <c:pt idx="493">
                  <c:v>0.998</c:v>
                </c:pt>
                <c:pt idx="494">
                  <c:v>0.998</c:v>
                </c:pt>
                <c:pt idx="495">
                  <c:v>0.998</c:v>
                </c:pt>
                <c:pt idx="496">
                  <c:v>0.998</c:v>
                </c:pt>
                <c:pt idx="497">
                  <c:v>0.998</c:v>
                </c:pt>
                <c:pt idx="498">
                  <c:v>0.998</c:v>
                </c:pt>
                <c:pt idx="499">
                  <c:v>0.998</c:v>
                </c:pt>
                <c:pt idx="500">
                  <c:v>0.998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C3-490A-816B-B898B8A00569}"/>
            </c:ext>
          </c:extLst>
        </c:ser>
        <c:ser>
          <c:idx val="1"/>
          <c:order val="1"/>
          <c:tx>
            <c:strRef>
              <c:f>'PSA analysis'!$O$3</c:f>
              <c:strCache>
                <c:ptCount val="1"/>
                <c:pt idx="0">
                  <c:v>Non-MTC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'PSA analysis'!$M$4:$M$504</c:f>
              <c:numCache>
                <c:formatCode>General</c:formatCode>
                <c:ptCount val="50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3300</c:v>
                </c:pt>
                <c:pt idx="34">
                  <c:v>3400</c:v>
                </c:pt>
                <c:pt idx="35">
                  <c:v>3500</c:v>
                </c:pt>
                <c:pt idx="36">
                  <c:v>3600</c:v>
                </c:pt>
                <c:pt idx="37">
                  <c:v>3700</c:v>
                </c:pt>
                <c:pt idx="38">
                  <c:v>3800</c:v>
                </c:pt>
                <c:pt idx="39">
                  <c:v>3900</c:v>
                </c:pt>
                <c:pt idx="40">
                  <c:v>4000</c:v>
                </c:pt>
                <c:pt idx="41">
                  <c:v>4100</c:v>
                </c:pt>
                <c:pt idx="42">
                  <c:v>4200</c:v>
                </c:pt>
                <c:pt idx="43">
                  <c:v>4300</c:v>
                </c:pt>
                <c:pt idx="44">
                  <c:v>4400</c:v>
                </c:pt>
                <c:pt idx="45">
                  <c:v>4500</c:v>
                </c:pt>
                <c:pt idx="46">
                  <c:v>4600</c:v>
                </c:pt>
                <c:pt idx="47">
                  <c:v>4700</c:v>
                </c:pt>
                <c:pt idx="48">
                  <c:v>4800</c:v>
                </c:pt>
                <c:pt idx="49">
                  <c:v>4900</c:v>
                </c:pt>
                <c:pt idx="50">
                  <c:v>5000</c:v>
                </c:pt>
                <c:pt idx="51">
                  <c:v>5100</c:v>
                </c:pt>
                <c:pt idx="52">
                  <c:v>5200</c:v>
                </c:pt>
                <c:pt idx="53">
                  <c:v>5300</c:v>
                </c:pt>
                <c:pt idx="54">
                  <c:v>5400</c:v>
                </c:pt>
                <c:pt idx="55">
                  <c:v>5500</c:v>
                </c:pt>
                <c:pt idx="56">
                  <c:v>5600</c:v>
                </c:pt>
                <c:pt idx="57">
                  <c:v>5700</c:v>
                </c:pt>
                <c:pt idx="58">
                  <c:v>5800</c:v>
                </c:pt>
                <c:pt idx="59">
                  <c:v>5900</c:v>
                </c:pt>
                <c:pt idx="60">
                  <c:v>6000</c:v>
                </c:pt>
                <c:pt idx="61">
                  <c:v>6100</c:v>
                </c:pt>
                <c:pt idx="62">
                  <c:v>6200</c:v>
                </c:pt>
                <c:pt idx="63">
                  <c:v>6300</c:v>
                </c:pt>
                <c:pt idx="64">
                  <c:v>6400</c:v>
                </c:pt>
                <c:pt idx="65">
                  <c:v>6500</c:v>
                </c:pt>
                <c:pt idx="66">
                  <c:v>6600</c:v>
                </c:pt>
                <c:pt idx="67">
                  <c:v>6700</c:v>
                </c:pt>
                <c:pt idx="68">
                  <c:v>6800</c:v>
                </c:pt>
                <c:pt idx="69">
                  <c:v>6900</c:v>
                </c:pt>
                <c:pt idx="70">
                  <c:v>7000</c:v>
                </c:pt>
                <c:pt idx="71">
                  <c:v>7100</c:v>
                </c:pt>
                <c:pt idx="72">
                  <c:v>7200</c:v>
                </c:pt>
                <c:pt idx="73">
                  <c:v>7300</c:v>
                </c:pt>
                <c:pt idx="74">
                  <c:v>7400</c:v>
                </c:pt>
                <c:pt idx="75">
                  <c:v>7500</c:v>
                </c:pt>
                <c:pt idx="76">
                  <c:v>7600</c:v>
                </c:pt>
                <c:pt idx="77">
                  <c:v>7700</c:v>
                </c:pt>
                <c:pt idx="78">
                  <c:v>7800</c:v>
                </c:pt>
                <c:pt idx="79">
                  <c:v>7900</c:v>
                </c:pt>
                <c:pt idx="80">
                  <c:v>8000</c:v>
                </c:pt>
                <c:pt idx="81">
                  <c:v>8100</c:v>
                </c:pt>
                <c:pt idx="82">
                  <c:v>8200</c:v>
                </c:pt>
                <c:pt idx="83">
                  <c:v>8300</c:v>
                </c:pt>
                <c:pt idx="84">
                  <c:v>8400</c:v>
                </c:pt>
                <c:pt idx="85">
                  <c:v>8500</c:v>
                </c:pt>
                <c:pt idx="86">
                  <c:v>8600</c:v>
                </c:pt>
                <c:pt idx="87">
                  <c:v>8700</c:v>
                </c:pt>
                <c:pt idx="88">
                  <c:v>8800</c:v>
                </c:pt>
                <c:pt idx="89">
                  <c:v>8900</c:v>
                </c:pt>
                <c:pt idx="90">
                  <c:v>9000</c:v>
                </c:pt>
                <c:pt idx="91">
                  <c:v>9100</c:v>
                </c:pt>
                <c:pt idx="92">
                  <c:v>9200</c:v>
                </c:pt>
                <c:pt idx="93">
                  <c:v>9300</c:v>
                </c:pt>
                <c:pt idx="94">
                  <c:v>9400</c:v>
                </c:pt>
                <c:pt idx="95">
                  <c:v>9500</c:v>
                </c:pt>
                <c:pt idx="96">
                  <c:v>9600</c:v>
                </c:pt>
                <c:pt idx="97">
                  <c:v>9700</c:v>
                </c:pt>
                <c:pt idx="98">
                  <c:v>9800</c:v>
                </c:pt>
                <c:pt idx="99">
                  <c:v>9900</c:v>
                </c:pt>
                <c:pt idx="100">
                  <c:v>10000</c:v>
                </c:pt>
                <c:pt idx="101">
                  <c:v>10100</c:v>
                </c:pt>
                <c:pt idx="102">
                  <c:v>10200</c:v>
                </c:pt>
                <c:pt idx="103">
                  <c:v>10300</c:v>
                </c:pt>
                <c:pt idx="104">
                  <c:v>10400</c:v>
                </c:pt>
                <c:pt idx="105">
                  <c:v>10500</c:v>
                </c:pt>
                <c:pt idx="106">
                  <c:v>10600</c:v>
                </c:pt>
                <c:pt idx="107">
                  <c:v>10700</c:v>
                </c:pt>
                <c:pt idx="108">
                  <c:v>10800</c:v>
                </c:pt>
                <c:pt idx="109">
                  <c:v>10900</c:v>
                </c:pt>
                <c:pt idx="110">
                  <c:v>11000</c:v>
                </c:pt>
                <c:pt idx="111">
                  <c:v>11100</c:v>
                </c:pt>
                <c:pt idx="112">
                  <c:v>11200</c:v>
                </c:pt>
                <c:pt idx="113">
                  <c:v>11300</c:v>
                </c:pt>
                <c:pt idx="114">
                  <c:v>11400</c:v>
                </c:pt>
                <c:pt idx="115">
                  <c:v>11500</c:v>
                </c:pt>
                <c:pt idx="116">
                  <c:v>11600</c:v>
                </c:pt>
                <c:pt idx="117">
                  <c:v>11700</c:v>
                </c:pt>
                <c:pt idx="118">
                  <c:v>11800</c:v>
                </c:pt>
                <c:pt idx="119">
                  <c:v>11900</c:v>
                </c:pt>
                <c:pt idx="120">
                  <c:v>12000</c:v>
                </c:pt>
                <c:pt idx="121">
                  <c:v>12100</c:v>
                </c:pt>
                <c:pt idx="122">
                  <c:v>12200</c:v>
                </c:pt>
                <c:pt idx="123">
                  <c:v>12300</c:v>
                </c:pt>
                <c:pt idx="124">
                  <c:v>12400</c:v>
                </c:pt>
                <c:pt idx="125">
                  <c:v>12500</c:v>
                </c:pt>
                <c:pt idx="126">
                  <c:v>12600</c:v>
                </c:pt>
                <c:pt idx="127">
                  <c:v>12700</c:v>
                </c:pt>
                <c:pt idx="128">
                  <c:v>12800</c:v>
                </c:pt>
                <c:pt idx="129">
                  <c:v>12900</c:v>
                </c:pt>
                <c:pt idx="130">
                  <c:v>13000</c:v>
                </c:pt>
                <c:pt idx="131">
                  <c:v>13100</c:v>
                </c:pt>
                <c:pt idx="132">
                  <c:v>13200</c:v>
                </c:pt>
                <c:pt idx="133">
                  <c:v>13300</c:v>
                </c:pt>
                <c:pt idx="134">
                  <c:v>13400</c:v>
                </c:pt>
                <c:pt idx="135">
                  <c:v>13500</c:v>
                </c:pt>
                <c:pt idx="136">
                  <c:v>13600</c:v>
                </c:pt>
                <c:pt idx="137">
                  <c:v>13700</c:v>
                </c:pt>
                <c:pt idx="138">
                  <c:v>13800</c:v>
                </c:pt>
                <c:pt idx="139">
                  <c:v>13900</c:v>
                </c:pt>
                <c:pt idx="140">
                  <c:v>14000</c:v>
                </c:pt>
                <c:pt idx="141">
                  <c:v>14100</c:v>
                </c:pt>
                <c:pt idx="142">
                  <c:v>14200</c:v>
                </c:pt>
                <c:pt idx="143">
                  <c:v>14300</c:v>
                </c:pt>
                <c:pt idx="144">
                  <c:v>14400</c:v>
                </c:pt>
                <c:pt idx="145">
                  <c:v>14500</c:v>
                </c:pt>
                <c:pt idx="146">
                  <c:v>14600</c:v>
                </c:pt>
                <c:pt idx="147">
                  <c:v>14700</c:v>
                </c:pt>
                <c:pt idx="148">
                  <c:v>14800</c:v>
                </c:pt>
                <c:pt idx="149">
                  <c:v>14900</c:v>
                </c:pt>
                <c:pt idx="150">
                  <c:v>15000</c:v>
                </c:pt>
                <c:pt idx="151">
                  <c:v>15100</c:v>
                </c:pt>
                <c:pt idx="152">
                  <c:v>15200</c:v>
                </c:pt>
                <c:pt idx="153">
                  <c:v>15300</c:v>
                </c:pt>
                <c:pt idx="154">
                  <c:v>15400</c:v>
                </c:pt>
                <c:pt idx="155">
                  <c:v>15500</c:v>
                </c:pt>
                <c:pt idx="156">
                  <c:v>15600</c:v>
                </c:pt>
                <c:pt idx="157">
                  <c:v>15700</c:v>
                </c:pt>
                <c:pt idx="158">
                  <c:v>15800</c:v>
                </c:pt>
                <c:pt idx="159">
                  <c:v>15900</c:v>
                </c:pt>
                <c:pt idx="160">
                  <c:v>16000</c:v>
                </c:pt>
                <c:pt idx="161">
                  <c:v>16100</c:v>
                </c:pt>
                <c:pt idx="162">
                  <c:v>16200</c:v>
                </c:pt>
                <c:pt idx="163">
                  <c:v>16300</c:v>
                </c:pt>
                <c:pt idx="164">
                  <c:v>16400</c:v>
                </c:pt>
                <c:pt idx="165">
                  <c:v>16500</c:v>
                </c:pt>
                <c:pt idx="166">
                  <c:v>16600</c:v>
                </c:pt>
                <c:pt idx="167">
                  <c:v>16700</c:v>
                </c:pt>
                <c:pt idx="168">
                  <c:v>16800</c:v>
                </c:pt>
                <c:pt idx="169">
                  <c:v>16900</c:v>
                </c:pt>
                <c:pt idx="170">
                  <c:v>17000</c:v>
                </c:pt>
                <c:pt idx="171">
                  <c:v>17100</c:v>
                </c:pt>
                <c:pt idx="172">
                  <c:v>17200</c:v>
                </c:pt>
                <c:pt idx="173">
                  <c:v>17300</c:v>
                </c:pt>
                <c:pt idx="174">
                  <c:v>17400</c:v>
                </c:pt>
                <c:pt idx="175">
                  <c:v>17500</c:v>
                </c:pt>
                <c:pt idx="176">
                  <c:v>17600</c:v>
                </c:pt>
                <c:pt idx="177">
                  <c:v>17700</c:v>
                </c:pt>
                <c:pt idx="178">
                  <c:v>17800</c:v>
                </c:pt>
                <c:pt idx="179">
                  <c:v>17900</c:v>
                </c:pt>
                <c:pt idx="180">
                  <c:v>18000</c:v>
                </c:pt>
                <c:pt idx="181">
                  <c:v>18100</c:v>
                </c:pt>
                <c:pt idx="182">
                  <c:v>18200</c:v>
                </c:pt>
                <c:pt idx="183">
                  <c:v>18300</c:v>
                </c:pt>
                <c:pt idx="184">
                  <c:v>18400</c:v>
                </c:pt>
                <c:pt idx="185">
                  <c:v>18500</c:v>
                </c:pt>
                <c:pt idx="186">
                  <c:v>18600</c:v>
                </c:pt>
                <c:pt idx="187">
                  <c:v>18700</c:v>
                </c:pt>
                <c:pt idx="188">
                  <c:v>18800</c:v>
                </c:pt>
                <c:pt idx="189">
                  <c:v>18900</c:v>
                </c:pt>
                <c:pt idx="190">
                  <c:v>19000</c:v>
                </c:pt>
                <c:pt idx="191">
                  <c:v>19100</c:v>
                </c:pt>
                <c:pt idx="192">
                  <c:v>19200</c:v>
                </c:pt>
                <c:pt idx="193">
                  <c:v>19300</c:v>
                </c:pt>
                <c:pt idx="194">
                  <c:v>19400</c:v>
                </c:pt>
                <c:pt idx="195">
                  <c:v>19500</c:v>
                </c:pt>
                <c:pt idx="196">
                  <c:v>19600</c:v>
                </c:pt>
                <c:pt idx="197">
                  <c:v>19700</c:v>
                </c:pt>
                <c:pt idx="198">
                  <c:v>19800</c:v>
                </c:pt>
                <c:pt idx="199">
                  <c:v>19900</c:v>
                </c:pt>
                <c:pt idx="200">
                  <c:v>20000</c:v>
                </c:pt>
                <c:pt idx="201">
                  <c:v>20100</c:v>
                </c:pt>
                <c:pt idx="202">
                  <c:v>20200</c:v>
                </c:pt>
                <c:pt idx="203">
                  <c:v>20300</c:v>
                </c:pt>
                <c:pt idx="204">
                  <c:v>20400</c:v>
                </c:pt>
                <c:pt idx="205">
                  <c:v>20500</c:v>
                </c:pt>
                <c:pt idx="206">
                  <c:v>20600</c:v>
                </c:pt>
                <c:pt idx="207">
                  <c:v>20700</c:v>
                </c:pt>
                <c:pt idx="208">
                  <c:v>20800</c:v>
                </c:pt>
                <c:pt idx="209">
                  <c:v>20900</c:v>
                </c:pt>
                <c:pt idx="210">
                  <c:v>21000</c:v>
                </c:pt>
                <c:pt idx="211">
                  <c:v>21100</c:v>
                </c:pt>
                <c:pt idx="212">
                  <c:v>21200</c:v>
                </c:pt>
                <c:pt idx="213">
                  <c:v>21300</c:v>
                </c:pt>
                <c:pt idx="214">
                  <c:v>21400</c:v>
                </c:pt>
                <c:pt idx="215">
                  <c:v>21500</c:v>
                </c:pt>
                <c:pt idx="216">
                  <c:v>21600</c:v>
                </c:pt>
                <c:pt idx="217">
                  <c:v>21700</c:v>
                </c:pt>
                <c:pt idx="218">
                  <c:v>21800</c:v>
                </c:pt>
                <c:pt idx="219">
                  <c:v>21900</c:v>
                </c:pt>
                <c:pt idx="220">
                  <c:v>22000</c:v>
                </c:pt>
                <c:pt idx="221">
                  <c:v>22100</c:v>
                </c:pt>
                <c:pt idx="222">
                  <c:v>22200</c:v>
                </c:pt>
                <c:pt idx="223">
                  <c:v>22300</c:v>
                </c:pt>
                <c:pt idx="224">
                  <c:v>22400</c:v>
                </c:pt>
                <c:pt idx="225">
                  <c:v>22500</c:v>
                </c:pt>
                <c:pt idx="226">
                  <c:v>22600</c:v>
                </c:pt>
                <c:pt idx="227">
                  <c:v>22700</c:v>
                </c:pt>
                <c:pt idx="228">
                  <c:v>22800</c:v>
                </c:pt>
                <c:pt idx="229">
                  <c:v>22900</c:v>
                </c:pt>
                <c:pt idx="230">
                  <c:v>23000</c:v>
                </c:pt>
                <c:pt idx="231">
                  <c:v>23100</c:v>
                </c:pt>
                <c:pt idx="232">
                  <c:v>23200</c:v>
                </c:pt>
                <c:pt idx="233">
                  <c:v>23300</c:v>
                </c:pt>
                <c:pt idx="234">
                  <c:v>23400</c:v>
                </c:pt>
                <c:pt idx="235">
                  <c:v>23500</c:v>
                </c:pt>
                <c:pt idx="236">
                  <c:v>23600</c:v>
                </c:pt>
                <c:pt idx="237">
                  <c:v>23700</c:v>
                </c:pt>
                <c:pt idx="238">
                  <c:v>23800</c:v>
                </c:pt>
                <c:pt idx="239">
                  <c:v>23900</c:v>
                </c:pt>
                <c:pt idx="240">
                  <c:v>24000</c:v>
                </c:pt>
                <c:pt idx="241">
                  <c:v>24100</c:v>
                </c:pt>
                <c:pt idx="242">
                  <c:v>24200</c:v>
                </c:pt>
                <c:pt idx="243">
                  <c:v>24300</c:v>
                </c:pt>
                <c:pt idx="244">
                  <c:v>24400</c:v>
                </c:pt>
                <c:pt idx="245">
                  <c:v>24500</c:v>
                </c:pt>
                <c:pt idx="246">
                  <c:v>24600</c:v>
                </c:pt>
                <c:pt idx="247">
                  <c:v>24700</c:v>
                </c:pt>
                <c:pt idx="248">
                  <c:v>24800</c:v>
                </c:pt>
                <c:pt idx="249">
                  <c:v>24900</c:v>
                </c:pt>
                <c:pt idx="250">
                  <c:v>25000</c:v>
                </c:pt>
                <c:pt idx="251">
                  <c:v>25100</c:v>
                </c:pt>
                <c:pt idx="252">
                  <c:v>25200</c:v>
                </c:pt>
                <c:pt idx="253">
                  <c:v>25300</c:v>
                </c:pt>
                <c:pt idx="254">
                  <c:v>25400</c:v>
                </c:pt>
                <c:pt idx="255">
                  <c:v>25500</c:v>
                </c:pt>
                <c:pt idx="256">
                  <c:v>25600</c:v>
                </c:pt>
                <c:pt idx="257">
                  <c:v>25700</c:v>
                </c:pt>
                <c:pt idx="258">
                  <c:v>25800</c:v>
                </c:pt>
                <c:pt idx="259">
                  <c:v>25900</c:v>
                </c:pt>
                <c:pt idx="260">
                  <c:v>26000</c:v>
                </c:pt>
                <c:pt idx="261">
                  <c:v>26100</c:v>
                </c:pt>
                <c:pt idx="262">
                  <c:v>26200</c:v>
                </c:pt>
                <c:pt idx="263">
                  <c:v>26300</c:v>
                </c:pt>
                <c:pt idx="264">
                  <c:v>26400</c:v>
                </c:pt>
                <c:pt idx="265">
                  <c:v>26500</c:v>
                </c:pt>
                <c:pt idx="266">
                  <c:v>26600</c:v>
                </c:pt>
                <c:pt idx="267">
                  <c:v>26700</c:v>
                </c:pt>
                <c:pt idx="268">
                  <c:v>26800</c:v>
                </c:pt>
                <c:pt idx="269">
                  <c:v>26900</c:v>
                </c:pt>
                <c:pt idx="270">
                  <c:v>27000</c:v>
                </c:pt>
                <c:pt idx="271">
                  <c:v>27100</c:v>
                </c:pt>
                <c:pt idx="272">
                  <c:v>27200</c:v>
                </c:pt>
                <c:pt idx="273">
                  <c:v>27300</c:v>
                </c:pt>
                <c:pt idx="274">
                  <c:v>27400</c:v>
                </c:pt>
                <c:pt idx="275">
                  <c:v>27500</c:v>
                </c:pt>
                <c:pt idx="276">
                  <c:v>27600</c:v>
                </c:pt>
                <c:pt idx="277">
                  <c:v>27700</c:v>
                </c:pt>
                <c:pt idx="278">
                  <c:v>27800</c:v>
                </c:pt>
                <c:pt idx="279">
                  <c:v>27900</c:v>
                </c:pt>
                <c:pt idx="280">
                  <c:v>28000</c:v>
                </c:pt>
                <c:pt idx="281">
                  <c:v>28100</c:v>
                </c:pt>
                <c:pt idx="282">
                  <c:v>28200</c:v>
                </c:pt>
                <c:pt idx="283">
                  <c:v>28300</c:v>
                </c:pt>
                <c:pt idx="284">
                  <c:v>28400</c:v>
                </c:pt>
                <c:pt idx="285">
                  <c:v>28500</c:v>
                </c:pt>
                <c:pt idx="286">
                  <c:v>28600</c:v>
                </c:pt>
                <c:pt idx="287">
                  <c:v>28700</c:v>
                </c:pt>
                <c:pt idx="288">
                  <c:v>28800</c:v>
                </c:pt>
                <c:pt idx="289">
                  <c:v>28900</c:v>
                </c:pt>
                <c:pt idx="290">
                  <c:v>29000</c:v>
                </c:pt>
                <c:pt idx="291">
                  <c:v>29100</c:v>
                </c:pt>
                <c:pt idx="292">
                  <c:v>29200</c:v>
                </c:pt>
                <c:pt idx="293">
                  <c:v>29300</c:v>
                </c:pt>
                <c:pt idx="294">
                  <c:v>29400</c:v>
                </c:pt>
                <c:pt idx="295">
                  <c:v>29500</c:v>
                </c:pt>
                <c:pt idx="296">
                  <c:v>29600</c:v>
                </c:pt>
                <c:pt idx="297">
                  <c:v>29700</c:v>
                </c:pt>
                <c:pt idx="298">
                  <c:v>29800</c:v>
                </c:pt>
                <c:pt idx="299">
                  <c:v>29900</c:v>
                </c:pt>
                <c:pt idx="300">
                  <c:v>30000</c:v>
                </c:pt>
                <c:pt idx="301">
                  <c:v>30100</c:v>
                </c:pt>
                <c:pt idx="302">
                  <c:v>30200</c:v>
                </c:pt>
                <c:pt idx="303">
                  <c:v>30300</c:v>
                </c:pt>
                <c:pt idx="304">
                  <c:v>30400</c:v>
                </c:pt>
                <c:pt idx="305">
                  <c:v>30500</c:v>
                </c:pt>
                <c:pt idx="306">
                  <c:v>30600</c:v>
                </c:pt>
                <c:pt idx="307">
                  <c:v>30700</c:v>
                </c:pt>
                <c:pt idx="308">
                  <c:v>30800</c:v>
                </c:pt>
                <c:pt idx="309">
                  <c:v>30900</c:v>
                </c:pt>
                <c:pt idx="310">
                  <c:v>31000</c:v>
                </c:pt>
                <c:pt idx="311">
                  <c:v>31100</c:v>
                </c:pt>
                <c:pt idx="312">
                  <c:v>31200</c:v>
                </c:pt>
                <c:pt idx="313">
                  <c:v>31300</c:v>
                </c:pt>
                <c:pt idx="314">
                  <c:v>31400</c:v>
                </c:pt>
                <c:pt idx="315">
                  <c:v>31500</c:v>
                </c:pt>
                <c:pt idx="316">
                  <c:v>31600</c:v>
                </c:pt>
                <c:pt idx="317">
                  <c:v>31700</c:v>
                </c:pt>
                <c:pt idx="318">
                  <c:v>31800</c:v>
                </c:pt>
                <c:pt idx="319">
                  <c:v>31900</c:v>
                </c:pt>
                <c:pt idx="320">
                  <c:v>32000</c:v>
                </c:pt>
                <c:pt idx="321">
                  <c:v>32100</c:v>
                </c:pt>
                <c:pt idx="322">
                  <c:v>32200</c:v>
                </c:pt>
                <c:pt idx="323">
                  <c:v>32300</c:v>
                </c:pt>
                <c:pt idx="324">
                  <c:v>32400</c:v>
                </c:pt>
                <c:pt idx="325">
                  <c:v>32500</c:v>
                </c:pt>
                <c:pt idx="326">
                  <c:v>32600</c:v>
                </c:pt>
                <c:pt idx="327">
                  <c:v>32700</c:v>
                </c:pt>
                <c:pt idx="328">
                  <c:v>32800</c:v>
                </c:pt>
                <c:pt idx="329">
                  <c:v>32900</c:v>
                </c:pt>
                <c:pt idx="330">
                  <c:v>33000</c:v>
                </c:pt>
                <c:pt idx="331">
                  <c:v>33100</c:v>
                </c:pt>
                <c:pt idx="332">
                  <c:v>33200</c:v>
                </c:pt>
                <c:pt idx="333">
                  <c:v>33300</c:v>
                </c:pt>
                <c:pt idx="334">
                  <c:v>33400</c:v>
                </c:pt>
                <c:pt idx="335">
                  <c:v>33500</c:v>
                </c:pt>
                <c:pt idx="336">
                  <c:v>33600</c:v>
                </c:pt>
                <c:pt idx="337">
                  <c:v>33700</c:v>
                </c:pt>
                <c:pt idx="338">
                  <c:v>33800</c:v>
                </c:pt>
                <c:pt idx="339">
                  <c:v>33900</c:v>
                </c:pt>
                <c:pt idx="340">
                  <c:v>34000</c:v>
                </c:pt>
                <c:pt idx="341">
                  <c:v>34100</c:v>
                </c:pt>
                <c:pt idx="342">
                  <c:v>34200</c:v>
                </c:pt>
                <c:pt idx="343">
                  <c:v>34300</c:v>
                </c:pt>
                <c:pt idx="344">
                  <c:v>34400</c:v>
                </c:pt>
                <c:pt idx="345">
                  <c:v>34500</c:v>
                </c:pt>
                <c:pt idx="346">
                  <c:v>34600</c:v>
                </c:pt>
                <c:pt idx="347">
                  <c:v>34700</c:v>
                </c:pt>
                <c:pt idx="348">
                  <c:v>34800</c:v>
                </c:pt>
                <c:pt idx="349">
                  <c:v>34900</c:v>
                </c:pt>
                <c:pt idx="350">
                  <c:v>35000</c:v>
                </c:pt>
                <c:pt idx="351">
                  <c:v>35100</c:v>
                </c:pt>
                <c:pt idx="352">
                  <c:v>35200</c:v>
                </c:pt>
                <c:pt idx="353">
                  <c:v>35300</c:v>
                </c:pt>
                <c:pt idx="354">
                  <c:v>35400</c:v>
                </c:pt>
                <c:pt idx="355">
                  <c:v>35500</c:v>
                </c:pt>
                <c:pt idx="356">
                  <c:v>35600</c:v>
                </c:pt>
                <c:pt idx="357">
                  <c:v>35700</c:v>
                </c:pt>
                <c:pt idx="358">
                  <c:v>35800</c:v>
                </c:pt>
                <c:pt idx="359">
                  <c:v>35900</c:v>
                </c:pt>
                <c:pt idx="360">
                  <c:v>36000</c:v>
                </c:pt>
                <c:pt idx="361">
                  <c:v>36100</c:v>
                </c:pt>
                <c:pt idx="362">
                  <c:v>36200</c:v>
                </c:pt>
                <c:pt idx="363">
                  <c:v>36300</c:v>
                </c:pt>
                <c:pt idx="364">
                  <c:v>36400</c:v>
                </c:pt>
                <c:pt idx="365">
                  <c:v>36500</c:v>
                </c:pt>
                <c:pt idx="366">
                  <c:v>36600</c:v>
                </c:pt>
                <c:pt idx="367">
                  <c:v>36700</c:v>
                </c:pt>
                <c:pt idx="368">
                  <c:v>36800</c:v>
                </c:pt>
                <c:pt idx="369">
                  <c:v>36900</c:v>
                </c:pt>
                <c:pt idx="370">
                  <c:v>37000</c:v>
                </c:pt>
                <c:pt idx="371">
                  <c:v>37100</c:v>
                </c:pt>
                <c:pt idx="372">
                  <c:v>37200</c:v>
                </c:pt>
                <c:pt idx="373">
                  <c:v>37300</c:v>
                </c:pt>
                <c:pt idx="374">
                  <c:v>37400</c:v>
                </c:pt>
                <c:pt idx="375">
                  <c:v>37500</c:v>
                </c:pt>
                <c:pt idx="376">
                  <c:v>37600</c:v>
                </c:pt>
                <c:pt idx="377">
                  <c:v>37700</c:v>
                </c:pt>
                <c:pt idx="378">
                  <c:v>37800</c:v>
                </c:pt>
                <c:pt idx="379">
                  <c:v>37900</c:v>
                </c:pt>
                <c:pt idx="380">
                  <c:v>38000</c:v>
                </c:pt>
                <c:pt idx="381">
                  <c:v>38100</c:v>
                </c:pt>
                <c:pt idx="382">
                  <c:v>38200</c:v>
                </c:pt>
                <c:pt idx="383">
                  <c:v>38300</c:v>
                </c:pt>
                <c:pt idx="384">
                  <c:v>38400</c:v>
                </c:pt>
                <c:pt idx="385">
                  <c:v>38500</c:v>
                </c:pt>
                <c:pt idx="386">
                  <c:v>38600</c:v>
                </c:pt>
                <c:pt idx="387">
                  <c:v>38700</c:v>
                </c:pt>
                <c:pt idx="388">
                  <c:v>38800</c:v>
                </c:pt>
                <c:pt idx="389">
                  <c:v>38900</c:v>
                </c:pt>
                <c:pt idx="390">
                  <c:v>39000</c:v>
                </c:pt>
                <c:pt idx="391">
                  <c:v>39100</c:v>
                </c:pt>
                <c:pt idx="392">
                  <c:v>39200</c:v>
                </c:pt>
                <c:pt idx="393">
                  <c:v>39300</c:v>
                </c:pt>
                <c:pt idx="394">
                  <c:v>39400</c:v>
                </c:pt>
                <c:pt idx="395">
                  <c:v>39500</c:v>
                </c:pt>
                <c:pt idx="396">
                  <c:v>39600</c:v>
                </c:pt>
                <c:pt idx="397">
                  <c:v>39700</c:v>
                </c:pt>
                <c:pt idx="398">
                  <c:v>39800</c:v>
                </c:pt>
                <c:pt idx="399">
                  <c:v>39900</c:v>
                </c:pt>
                <c:pt idx="400">
                  <c:v>40000</c:v>
                </c:pt>
                <c:pt idx="401">
                  <c:v>40100</c:v>
                </c:pt>
                <c:pt idx="402">
                  <c:v>40200</c:v>
                </c:pt>
                <c:pt idx="403">
                  <c:v>40300</c:v>
                </c:pt>
                <c:pt idx="404">
                  <c:v>40400</c:v>
                </c:pt>
                <c:pt idx="405">
                  <c:v>40500</c:v>
                </c:pt>
                <c:pt idx="406">
                  <c:v>40600</c:v>
                </c:pt>
                <c:pt idx="407">
                  <c:v>40700</c:v>
                </c:pt>
                <c:pt idx="408">
                  <c:v>40800</c:v>
                </c:pt>
                <c:pt idx="409">
                  <c:v>40900</c:v>
                </c:pt>
                <c:pt idx="410">
                  <c:v>41000</c:v>
                </c:pt>
                <c:pt idx="411">
                  <c:v>41100</c:v>
                </c:pt>
                <c:pt idx="412">
                  <c:v>41200</c:v>
                </c:pt>
                <c:pt idx="413">
                  <c:v>41300</c:v>
                </c:pt>
                <c:pt idx="414">
                  <c:v>41400</c:v>
                </c:pt>
                <c:pt idx="415">
                  <c:v>41500</c:v>
                </c:pt>
                <c:pt idx="416">
                  <c:v>41600</c:v>
                </c:pt>
                <c:pt idx="417">
                  <c:v>41700</c:v>
                </c:pt>
                <c:pt idx="418">
                  <c:v>41800</c:v>
                </c:pt>
                <c:pt idx="419">
                  <c:v>41900</c:v>
                </c:pt>
                <c:pt idx="420">
                  <c:v>42000</c:v>
                </c:pt>
                <c:pt idx="421">
                  <c:v>42100</c:v>
                </c:pt>
                <c:pt idx="422">
                  <c:v>42200</c:v>
                </c:pt>
                <c:pt idx="423">
                  <c:v>42300</c:v>
                </c:pt>
                <c:pt idx="424">
                  <c:v>42400</c:v>
                </c:pt>
                <c:pt idx="425">
                  <c:v>42500</c:v>
                </c:pt>
                <c:pt idx="426">
                  <c:v>42600</c:v>
                </c:pt>
                <c:pt idx="427">
                  <c:v>42700</c:v>
                </c:pt>
                <c:pt idx="428">
                  <c:v>42800</c:v>
                </c:pt>
                <c:pt idx="429">
                  <c:v>42900</c:v>
                </c:pt>
                <c:pt idx="430">
                  <c:v>43000</c:v>
                </c:pt>
                <c:pt idx="431">
                  <c:v>43100</c:v>
                </c:pt>
                <c:pt idx="432">
                  <c:v>43200</c:v>
                </c:pt>
                <c:pt idx="433">
                  <c:v>43300</c:v>
                </c:pt>
                <c:pt idx="434">
                  <c:v>43400</c:v>
                </c:pt>
                <c:pt idx="435">
                  <c:v>43500</c:v>
                </c:pt>
                <c:pt idx="436">
                  <c:v>43600</c:v>
                </c:pt>
                <c:pt idx="437">
                  <c:v>43700</c:v>
                </c:pt>
                <c:pt idx="438">
                  <c:v>43800</c:v>
                </c:pt>
                <c:pt idx="439">
                  <c:v>43900</c:v>
                </c:pt>
                <c:pt idx="440">
                  <c:v>44000</c:v>
                </c:pt>
                <c:pt idx="441">
                  <c:v>44100</c:v>
                </c:pt>
                <c:pt idx="442">
                  <c:v>44200</c:v>
                </c:pt>
                <c:pt idx="443">
                  <c:v>44300</c:v>
                </c:pt>
                <c:pt idx="444">
                  <c:v>44400</c:v>
                </c:pt>
                <c:pt idx="445">
                  <c:v>44500</c:v>
                </c:pt>
                <c:pt idx="446">
                  <c:v>44600</c:v>
                </c:pt>
                <c:pt idx="447">
                  <c:v>44700</c:v>
                </c:pt>
                <c:pt idx="448">
                  <c:v>44800</c:v>
                </c:pt>
                <c:pt idx="449">
                  <c:v>44900</c:v>
                </c:pt>
                <c:pt idx="450">
                  <c:v>45000</c:v>
                </c:pt>
                <c:pt idx="451">
                  <c:v>45100</c:v>
                </c:pt>
                <c:pt idx="452">
                  <c:v>45200</c:v>
                </c:pt>
                <c:pt idx="453">
                  <c:v>45300</c:v>
                </c:pt>
                <c:pt idx="454">
                  <c:v>45400</c:v>
                </c:pt>
                <c:pt idx="455">
                  <c:v>45500</c:v>
                </c:pt>
                <c:pt idx="456">
                  <c:v>45600</c:v>
                </c:pt>
                <c:pt idx="457">
                  <c:v>45700</c:v>
                </c:pt>
                <c:pt idx="458">
                  <c:v>45800</c:v>
                </c:pt>
                <c:pt idx="459">
                  <c:v>45900</c:v>
                </c:pt>
                <c:pt idx="460">
                  <c:v>46000</c:v>
                </c:pt>
                <c:pt idx="461">
                  <c:v>46100</c:v>
                </c:pt>
                <c:pt idx="462">
                  <c:v>46200</c:v>
                </c:pt>
                <c:pt idx="463">
                  <c:v>46300</c:v>
                </c:pt>
                <c:pt idx="464">
                  <c:v>46400</c:v>
                </c:pt>
                <c:pt idx="465">
                  <c:v>46500</c:v>
                </c:pt>
                <c:pt idx="466">
                  <c:v>46600</c:v>
                </c:pt>
                <c:pt idx="467">
                  <c:v>46700</c:v>
                </c:pt>
                <c:pt idx="468">
                  <c:v>46800</c:v>
                </c:pt>
                <c:pt idx="469">
                  <c:v>46900</c:v>
                </c:pt>
                <c:pt idx="470">
                  <c:v>47000</c:v>
                </c:pt>
                <c:pt idx="471">
                  <c:v>47100</c:v>
                </c:pt>
                <c:pt idx="472">
                  <c:v>47200</c:v>
                </c:pt>
                <c:pt idx="473">
                  <c:v>47300</c:v>
                </c:pt>
                <c:pt idx="474">
                  <c:v>47400</c:v>
                </c:pt>
                <c:pt idx="475">
                  <c:v>47500</c:v>
                </c:pt>
                <c:pt idx="476">
                  <c:v>47600</c:v>
                </c:pt>
                <c:pt idx="477">
                  <c:v>47700</c:v>
                </c:pt>
                <c:pt idx="478">
                  <c:v>47800</c:v>
                </c:pt>
                <c:pt idx="479">
                  <c:v>47900</c:v>
                </c:pt>
                <c:pt idx="480">
                  <c:v>48000</c:v>
                </c:pt>
                <c:pt idx="481">
                  <c:v>48100</c:v>
                </c:pt>
                <c:pt idx="482">
                  <c:v>48200</c:v>
                </c:pt>
                <c:pt idx="483">
                  <c:v>48300</c:v>
                </c:pt>
                <c:pt idx="484">
                  <c:v>48400</c:v>
                </c:pt>
                <c:pt idx="485">
                  <c:v>48500</c:v>
                </c:pt>
                <c:pt idx="486">
                  <c:v>48600</c:v>
                </c:pt>
                <c:pt idx="487">
                  <c:v>48700</c:v>
                </c:pt>
                <c:pt idx="488">
                  <c:v>48800</c:v>
                </c:pt>
                <c:pt idx="489">
                  <c:v>48900</c:v>
                </c:pt>
                <c:pt idx="490">
                  <c:v>49000</c:v>
                </c:pt>
                <c:pt idx="491">
                  <c:v>49100</c:v>
                </c:pt>
                <c:pt idx="492">
                  <c:v>49200</c:v>
                </c:pt>
                <c:pt idx="493">
                  <c:v>49300</c:v>
                </c:pt>
                <c:pt idx="494">
                  <c:v>49400</c:v>
                </c:pt>
                <c:pt idx="495">
                  <c:v>49500</c:v>
                </c:pt>
                <c:pt idx="496">
                  <c:v>49600</c:v>
                </c:pt>
                <c:pt idx="497">
                  <c:v>49700</c:v>
                </c:pt>
                <c:pt idx="498">
                  <c:v>49800</c:v>
                </c:pt>
                <c:pt idx="499">
                  <c:v>49900</c:v>
                </c:pt>
                <c:pt idx="500">
                  <c:v>50000</c:v>
                </c:pt>
              </c:numCache>
            </c:numRef>
          </c:xVal>
          <c:yVal>
            <c:numRef>
              <c:f>'PSA analysis'!$O$4:$O$504</c:f>
              <c:numCache>
                <c:formatCode>General</c:formatCode>
                <c:ptCount val="501"/>
                <c:pt idx="0">
                  <c:v>0.99399999999999999</c:v>
                </c:pt>
                <c:pt idx="1">
                  <c:v>0.99399999999999999</c:v>
                </c:pt>
                <c:pt idx="2">
                  <c:v>0.99399999999999999</c:v>
                </c:pt>
                <c:pt idx="3">
                  <c:v>0.99399999999999999</c:v>
                </c:pt>
                <c:pt idx="4">
                  <c:v>0.99399999999999999</c:v>
                </c:pt>
                <c:pt idx="5">
                  <c:v>0.99399999999999999</c:v>
                </c:pt>
                <c:pt idx="6">
                  <c:v>0.99399999999999999</c:v>
                </c:pt>
                <c:pt idx="7">
                  <c:v>0.99399999999999999</c:v>
                </c:pt>
                <c:pt idx="8">
                  <c:v>0.99399999999999999</c:v>
                </c:pt>
                <c:pt idx="9">
                  <c:v>0.99399999999999999</c:v>
                </c:pt>
                <c:pt idx="10">
                  <c:v>0.99399999999999999</c:v>
                </c:pt>
                <c:pt idx="11">
                  <c:v>0.99399999999999999</c:v>
                </c:pt>
                <c:pt idx="12">
                  <c:v>0.99399999999999999</c:v>
                </c:pt>
                <c:pt idx="13">
                  <c:v>0.99399999999999999</c:v>
                </c:pt>
                <c:pt idx="14">
                  <c:v>0.99399999999999999</c:v>
                </c:pt>
                <c:pt idx="15">
                  <c:v>0.99399999999999999</c:v>
                </c:pt>
                <c:pt idx="16">
                  <c:v>0.99399999999999999</c:v>
                </c:pt>
                <c:pt idx="17">
                  <c:v>0.99399999999999999</c:v>
                </c:pt>
                <c:pt idx="18">
                  <c:v>0.99399999999999999</c:v>
                </c:pt>
                <c:pt idx="19">
                  <c:v>0.99399999999999999</c:v>
                </c:pt>
                <c:pt idx="20">
                  <c:v>0.99399999999999999</c:v>
                </c:pt>
                <c:pt idx="21">
                  <c:v>0.99399999999999999</c:v>
                </c:pt>
                <c:pt idx="22">
                  <c:v>0.99399999999999999</c:v>
                </c:pt>
                <c:pt idx="23">
                  <c:v>0.99399999999999999</c:v>
                </c:pt>
                <c:pt idx="24">
                  <c:v>0.99399999999999999</c:v>
                </c:pt>
                <c:pt idx="25">
                  <c:v>0.99399999999999999</c:v>
                </c:pt>
                <c:pt idx="26">
                  <c:v>0.99399999999999999</c:v>
                </c:pt>
                <c:pt idx="27">
                  <c:v>0.99399999999999999</c:v>
                </c:pt>
                <c:pt idx="28">
                  <c:v>0.99399999999999999</c:v>
                </c:pt>
                <c:pt idx="29">
                  <c:v>0.99399999999999999</c:v>
                </c:pt>
                <c:pt idx="30">
                  <c:v>0.99399999999999999</c:v>
                </c:pt>
                <c:pt idx="31">
                  <c:v>0.99399999999999999</c:v>
                </c:pt>
                <c:pt idx="32">
                  <c:v>0.99399999999999999</c:v>
                </c:pt>
                <c:pt idx="33">
                  <c:v>0.99399999999999999</c:v>
                </c:pt>
                <c:pt idx="34">
                  <c:v>0.99399999999999999</c:v>
                </c:pt>
                <c:pt idx="35">
                  <c:v>0.99399999999999999</c:v>
                </c:pt>
                <c:pt idx="36">
                  <c:v>0.99399999999999999</c:v>
                </c:pt>
                <c:pt idx="37">
                  <c:v>0.99399999999999999</c:v>
                </c:pt>
                <c:pt idx="38">
                  <c:v>0.99399999999999999</c:v>
                </c:pt>
                <c:pt idx="39">
                  <c:v>0.99399999999999999</c:v>
                </c:pt>
                <c:pt idx="40">
                  <c:v>0.99399999999999999</c:v>
                </c:pt>
                <c:pt idx="41">
                  <c:v>0.99399999999999999</c:v>
                </c:pt>
                <c:pt idx="42">
                  <c:v>0.99399999999999999</c:v>
                </c:pt>
                <c:pt idx="43">
                  <c:v>0.99399999999999999</c:v>
                </c:pt>
                <c:pt idx="44">
                  <c:v>0.99399999999999999</c:v>
                </c:pt>
                <c:pt idx="45">
                  <c:v>0.99399999999999999</c:v>
                </c:pt>
                <c:pt idx="46">
                  <c:v>0.99399999999999999</c:v>
                </c:pt>
                <c:pt idx="47">
                  <c:v>0.99399999999999999</c:v>
                </c:pt>
                <c:pt idx="48">
                  <c:v>0.99399999999999999</c:v>
                </c:pt>
                <c:pt idx="49">
                  <c:v>0.99399999999999999</c:v>
                </c:pt>
                <c:pt idx="50">
                  <c:v>0.99399999999999999</c:v>
                </c:pt>
                <c:pt idx="51">
                  <c:v>0.99399999999999999</c:v>
                </c:pt>
                <c:pt idx="52">
                  <c:v>0.99399999999999999</c:v>
                </c:pt>
                <c:pt idx="53">
                  <c:v>0.99399999999999999</c:v>
                </c:pt>
                <c:pt idx="54">
                  <c:v>0.99399999999999999</c:v>
                </c:pt>
                <c:pt idx="55">
                  <c:v>0.99399999999999999</c:v>
                </c:pt>
                <c:pt idx="56">
                  <c:v>0.99399999999999999</c:v>
                </c:pt>
                <c:pt idx="57">
                  <c:v>0.99399999999999999</c:v>
                </c:pt>
                <c:pt idx="58">
                  <c:v>0.99399999999999999</c:v>
                </c:pt>
                <c:pt idx="59">
                  <c:v>0.99399999999999999</c:v>
                </c:pt>
                <c:pt idx="60">
                  <c:v>0.99399999999999999</c:v>
                </c:pt>
                <c:pt idx="61">
                  <c:v>0.99399999999999999</c:v>
                </c:pt>
                <c:pt idx="62">
                  <c:v>0.99399999999999999</c:v>
                </c:pt>
                <c:pt idx="63">
                  <c:v>0.99399999999999999</c:v>
                </c:pt>
                <c:pt idx="64">
                  <c:v>0.99399999999999999</c:v>
                </c:pt>
                <c:pt idx="65">
                  <c:v>0.99399999999999999</c:v>
                </c:pt>
                <c:pt idx="66">
                  <c:v>0.99399999999999999</c:v>
                </c:pt>
                <c:pt idx="67">
                  <c:v>0.99399999999999999</c:v>
                </c:pt>
                <c:pt idx="68">
                  <c:v>0.99399999999999999</c:v>
                </c:pt>
                <c:pt idx="69">
                  <c:v>0.99199999999999999</c:v>
                </c:pt>
                <c:pt idx="70">
                  <c:v>0.99199999999999999</c:v>
                </c:pt>
                <c:pt idx="71">
                  <c:v>0.99199999999999999</c:v>
                </c:pt>
                <c:pt idx="72">
                  <c:v>0.99199999999999999</c:v>
                </c:pt>
                <c:pt idx="73">
                  <c:v>0.99199999999999999</c:v>
                </c:pt>
                <c:pt idx="74">
                  <c:v>0.99199999999999999</c:v>
                </c:pt>
                <c:pt idx="75">
                  <c:v>0.99199999999999999</c:v>
                </c:pt>
                <c:pt idx="76">
                  <c:v>0.99199999999999999</c:v>
                </c:pt>
                <c:pt idx="77">
                  <c:v>0.99199999999999999</c:v>
                </c:pt>
                <c:pt idx="78">
                  <c:v>0.99199999999999999</c:v>
                </c:pt>
                <c:pt idx="79">
                  <c:v>0.99199999999999999</c:v>
                </c:pt>
                <c:pt idx="80">
                  <c:v>0.99199999999999999</c:v>
                </c:pt>
                <c:pt idx="81">
                  <c:v>0.99</c:v>
                </c:pt>
                <c:pt idx="82">
                  <c:v>0.99</c:v>
                </c:pt>
                <c:pt idx="83">
                  <c:v>0.99</c:v>
                </c:pt>
                <c:pt idx="84">
                  <c:v>0.98799999999999999</c:v>
                </c:pt>
                <c:pt idx="85">
                  <c:v>0.98799999999999999</c:v>
                </c:pt>
                <c:pt idx="86">
                  <c:v>0.98799999999999999</c:v>
                </c:pt>
                <c:pt idx="87">
                  <c:v>0.98799999999999999</c:v>
                </c:pt>
                <c:pt idx="88">
                  <c:v>0.98799999999999999</c:v>
                </c:pt>
                <c:pt idx="89">
                  <c:v>0.98599999999999999</c:v>
                </c:pt>
                <c:pt idx="90">
                  <c:v>0.98599999999999999</c:v>
                </c:pt>
                <c:pt idx="91">
                  <c:v>0.98599999999999999</c:v>
                </c:pt>
                <c:pt idx="92">
                  <c:v>0.98599999999999999</c:v>
                </c:pt>
                <c:pt idx="93">
                  <c:v>0.98599999999999999</c:v>
                </c:pt>
                <c:pt idx="94">
                  <c:v>0.98599999999999999</c:v>
                </c:pt>
                <c:pt idx="95">
                  <c:v>0.98599999999999999</c:v>
                </c:pt>
                <c:pt idx="96">
                  <c:v>0.98399999999999999</c:v>
                </c:pt>
                <c:pt idx="97">
                  <c:v>0.98399999999999999</c:v>
                </c:pt>
                <c:pt idx="98">
                  <c:v>0.97799999999999998</c:v>
                </c:pt>
                <c:pt idx="99">
                  <c:v>0.97799999999999998</c:v>
                </c:pt>
                <c:pt idx="100">
                  <c:v>0.97599999999999998</c:v>
                </c:pt>
                <c:pt idx="101">
                  <c:v>0.97199999999999998</c:v>
                </c:pt>
                <c:pt idx="102">
                  <c:v>0.97</c:v>
                </c:pt>
                <c:pt idx="103">
                  <c:v>0.97</c:v>
                </c:pt>
                <c:pt idx="104">
                  <c:v>0.97</c:v>
                </c:pt>
                <c:pt idx="105">
                  <c:v>0.97</c:v>
                </c:pt>
                <c:pt idx="106">
                  <c:v>0.96599999999999997</c:v>
                </c:pt>
                <c:pt idx="107">
                  <c:v>0.96</c:v>
                </c:pt>
                <c:pt idx="108">
                  <c:v>0.95599999999999996</c:v>
                </c:pt>
                <c:pt idx="109">
                  <c:v>0.95399999999999996</c:v>
                </c:pt>
                <c:pt idx="110">
                  <c:v>0.94799999999999995</c:v>
                </c:pt>
                <c:pt idx="111">
                  <c:v>0.94799999999999995</c:v>
                </c:pt>
                <c:pt idx="112">
                  <c:v>0.94399999999999995</c:v>
                </c:pt>
                <c:pt idx="113">
                  <c:v>0.94</c:v>
                </c:pt>
                <c:pt idx="114">
                  <c:v>0.93199999999999994</c:v>
                </c:pt>
                <c:pt idx="115">
                  <c:v>0.92999999999999994</c:v>
                </c:pt>
                <c:pt idx="116">
                  <c:v>0.92600000000000005</c:v>
                </c:pt>
                <c:pt idx="117">
                  <c:v>0.92</c:v>
                </c:pt>
                <c:pt idx="118">
                  <c:v>0.92</c:v>
                </c:pt>
                <c:pt idx="119">
                  <c:v>0.91</c:v>
                </c:pt>
                <c:pt idx="120">
                  <c:v>0.90200000000000002</c:v>
                </c:pt>
                <c:pt idx="121">
                  <c:v>0.88800000000000001</c:v>
                </c:pt>
                <c:pt idx="122">
                  <c:v>0.88200000000000001</c:v>
                </c:pt>
                <c:pt idx="123">
                  <c:v>0.872</c:v>
                </c:pt>
                <c:pt idx="124">
                  <c:v>0.86799999999999999</c:v>
                </c:pt>
                <c:pt idx="125">
                  <c:v>0.85599999999999998</c:v>
                </c:pt>
                <c:pt idx="126">
                  <c:v>0.84599999999999997</c:v>
                </c:pt>
                <c:pt idx="127">
                  <c:v>0.83799999999999997</c:v>
                </c:pt>
                <c:pt idx="128">
                  <c:v>0.83</c:v>
                </c:pt>
                <c:pt idx="129">
                  <c:v>0.82000000000000006</c:v>
                </c:pt>
                <c:pt idx="130">
                  <c:v>0.81</c:v>
                </c:pt>
                <c:pt idx="131">
                  <c:v>0.80200000000000005</c:v>
                </c:pt>
                <c:pt idx="132">
                  <c:v>0.79400000000000004</c:v>
                </c:pt>
                <c:pt idx="133">
                  <c:v>0.79400000000000004</c:v>
                </c:pt>
                <c:pt idx="134">
                  <c:v>0.78200000000000003</c:v>
                </c:pt>
                <c:pt idx="135">
                  <c:v>0.76800000000000002</c:v>
                </c:pt>
                <c:pt idx="136">
                  <c:v>0.75800000000000001</c:v>
                </c:pt>
                <c:pt idx="137">
                  <c:v>0.746</c:v>
                </c:pt>
                <c:pt idx="138">
                  <c:v>0.72199999999999998</c:v>
                </c:pt>
                <c:pt idx="139">
                  <c:v>0.70599999999999996</c:v>
                </c:pt>
                <c:pt idx="140">
                  <c:v>0.68799999999999994</c:v>
                </c:pt>
                <c:pt idx="141">
                  <c:v>0.67999999999999994</c:v>
                </c:pt>
                <c:pt idx="142">
                  <c:v>0.66799999999999993</c:v>
                </c:pt>
                <c:pt idx="143">
                  <c:v>0.65200000000000002</c:v>
                </c:pt>
                <c:pt idx="144">
                  <c:v>0.64</c:v>
                </c:pt>
                <c:pt idx="145">
                  <c:v>0.63</c:v>
                </c:pt>
                <c:pt idx="146">
                  <c:v>0.61599999999999999</c:v>
                </c:pt>
                <c:pt idx="147">
                  <c:v>0.60799999999999998</c:v>
                </c:pt>
                <c:pt idx="148">
                  <c:v>0.59599999999999997</c:v>
                </c:pt>
                <c:pt idx="149">
                  <c:v>0.57800000000000007</c:v>
                </c:pt>
                <c:pt idx="150">
                  <c:v>0.56000000000000005</c:v>
                </c:pt>
                <c:pt idx="151">
                  <c:v>0.54400000000000004</c:v>
                </c:pt>
                <c:pt idx="152">
                  <c:v>0.53</c:v>
                </c:pt>
                <c:pt idx="153">
                  <c:v>0.51600000000000001</c:v>
                </c:pt>
                <c:pt idx="154">
                  <c:v>0.5</c:v>
                </c:pt>
                <c:pt idx="155">
                  <c:v>0.49</c:v>
                </c:pt>
                <c:pt idx="156">
                  <c:v>0.47599999999999998</c:v>
                </c:pt>
                <c:pt idx="157">
                  <c:v>0.45199999999999996</c:v>
                </c:pt>
                <c:pt idx="158">
                  <c:v>0.43799999999999994</c:v>
                </c:pt>
                <c:pt idx="159">
                  <c:v>0.43200000000000005</c:v>
                </c:pt>
                <c:pt idx="160">
                  <c:v>0.42000000000000004</c:v>
                </c:pt>
                <c:pt idx="161">
                  <c:v>0.41200000000000003</c:v>
                </c:pt>
                <c:pt idx="162">
                  <c:v>0.40200000000000002</c:v>
                </c:pt>
                <c:pt idx="163">
                  <c:v>0.39</c:v>
                </c:pt>
                <c:pt idx="164">
                  <c:v>0.37</c:v>
                </c:pt>
                <c:pt idx="165">
                  <c:v>0.36599999999999999</c:v>
                </c:pt>
                <c:pt idx="166">
                  <c:v>0.35399999999999998</c:v>
                </c:pt>
                <c:pt idx="167">
                  <c:v>0.35199999999999998</c:v>
                </c:pt>
                <c:pt idx="168">
                  <c:v>0.34199999999999997</c:v>
                </c:pt>
                <c:pt idx="169">
                  <c:v>0.32599999999999996</c:v>
                </c:pt>
                <c:pt idx="170">
                  <c:v>0.31999999999999995</c:v>
                </c:pt>
                <c:pt idx="171">
                  <c:v>0.31399999999999995</c:v>
                </c:pt>
                <c:pt idx="172">
                  <c:v>0.30600000000000005</c:v>
                </c:pt>
                <c:pt idx="173">
                  <c:v>0.29400000000000004</c:v>
                </c:pt>
                <c:pt idx="174">
                  <c:v>0.28200000000000003</c:v>
                </c:pt>
                <c:pt idx="175">
                  <c:v>0.26800000000000002</c:v>
                </c:pt>
                <c:pt idx="176">
                  <c:v>0.252</c:v>
                </c:pt>
                <c:pt idx="177">
                  <c:v>0.24399999999999999</c:v>
                </c:pt>
                <c:pt idx="178">
                  <c:v>0.23799999999999999</c:v>
                </c:pt>
                <c:pt idx="179">
                  <c:v>0.23399999999999999</c:v>
                </c:pt>
                <c:pt idx="180">
                  <c:v>0.22799999999999998</c:v>
                </c:pt>
                <c:pt idx="181">
                  <c:v>0.22199999999999998</c:v>
                </c:pt>
                <c:pt idx="182">
                  <c:v>0.21599999999999997</c:v>
                </c:pt>
                <c:pt idx="183">
                  <c:v>0.20799999999999996</c:v>
                </c:pt>
                <c:pt idx="184">
                  <c:v>0.19999999999999996</c:v>
                </c:pt>
                <c:pt idx="185">
                  <c:v>0.19599999999999995</c:v>
                </c:pt>
                <c:pt idx="186">
                  <c:v>0.18600000000000005</c:v>
                </c:pt>
                <c:pt idx="187">
                  <c:v>0.18400000000000005</c:v>
                </c:pt>
                <c:pt idx="188">
                  <c:v>0.17000000000000004</c:v>
                </c:pt>
                <c:pt idx="189">
                  <c:v>0.16200000000000003</c:v>
                </c:pt>
                <c:pt idx="190">
                  <c:v>0.15200000000000002</c:v>
                </c:pt>
                <c:pt idx="191">
                  <c:v>0.14000000000000001</c:v>
                </c:pt>
                <c:pt idx="192">
                  <c:v>0.13600000000000001</c:v>
                </c:pt>
                <c:pt idx="193">
                  <c:v>0.128</c:v>
                </c:pt>
                <c:pt idx="194">
                  <c:v>0.126</c:v>
                </c:pt>
                <c:pt idx="195">
                  <c:v>0.126</c:v>
                </c:pt>
                <c:pt idx="196">
                  <c:v>0.11599999999999999</c:v>
                </c:pt>
                <c:pt idx="197">
                  <c:v>0.11399999999999999</c:v>
                </c:pt>
                <c:pt idx="198">
                  <c:v>0.11199999999999999</c:v>
                </c:pt>
                <c:pt idx="199">
                  <c:v>0.10799999999999998</c:v>
                </c:pt>
                <c:pt idx="200">
                  <c:v>0.10199999999999998</c:v>
                </c:pt>
                <c:pt idx="201">
                  <c:v>9.7999999999999976E-2</c:v>
                </c:pt>
                <c:pt idx="202">
                  <c:v>9.1999999999999971E-2</c:v>
                </c:pt>
                <c:pt idx="203">
                  <c:v>8.9999999999999969E-2</c:v>
                </c:pt>
                <c:pt idx="204">
                  <c:v>8.3999999999999964E-2</c:v>
                </c:pt>
                <c:pt idx="205">
                  <c:v>7.999999999999996E-2</c:v>
                </c:pt>
                <c:pt idx="206">
                  <c:v>7.5999999999999956E-2</c:v>
                </c:pt>
                <c:pt idx="207">
                  <c:v>6.9999999999999951E-2</c:v>
                </c:pt>
                <c:pt idx="208">
                  <c:v>6.7999999999999949E-2</c:v>
                </c:pt>
                <c:pt idx="209">
                  <c:v>6.7999999999999949E-2</c:v>
                </c:pt>
                <c:pt idx="210">
                  <c:v>6.5999999999999948E-2</c:v>
                </c:pt>
                <c:pt idx="211">
                  <c:v>6.0000000000000053E-2</c:v>
                </c:pt>
                <c:pt idx="212">
                  <c:v>5.8000000000000052E-2</c:v>
                </c:pt>
                <c:pt idx="213">
                  <c:v>5.0000000000000044E-2</c:v>
                </c:pt>
                <c:pt idx="214">
                  <c:v>4.6000000000000041E-2</c:v>
                </c:pt>
                <c:pt idx="215">
                  <c:v>4.4000000000000039E-2</c:v>
                </c:pt>
                <c:pt idx="216">
                  <c:v>4.0000000000000036E-2</c:v>
                </c:pt>
                <c:pt idx="217">
                  <c:v>3.8000000000000034E-2</c:v>
                </c:pt>
                <c:pt idx="218">
                  <c:v>3.400000000000003E-2</c:v>
                </c:pt>
                <c:pt idx="219">
                  <c:v>3.2000000000000028E-2</c:v>
                </c:pt>
                <c:pt idx="220">
                  <c:v>3.2000000000000028E-2</c:v>
                </c:pt>
                <c:pt idx="221">
                  <c:v>3.0000000000000027E-2</c:v>
                </c:pt>
                <c:pt idx="222">
                  <c:v>2.8000000000000025E-2</c:v>
                </c:pt>
                <c:pt idx="223">
                  <c:v>2.6000000000000023E-2</c:v>
                </c:pt>
                <c:pt idx="224">
                  <c:v>2.4000000000000021E-2</c:v>
                </c:pt>
                <c:pt idx="225">
                  <c:v>2.200000000000002E-2</c:v>
                </c:pt>
                <c:pt idx="226">
                  <c:v>2.0000000000000018E-2</c:v>
                </c:pt>
                <c:pt idx="227">
                  <c:v>1.8000000000000016E-2</c:v>
                </c:pt>
                <c:pt idx="228">
                  <c:v>1.8000000000000016E-2</c:v>
                </c:pt>
                <c:pt idx="229">
                  <c:v>1.6000000000000014E-2</c:v>
                </c:pt>
                <c:pt idx="230">
                  <c:v>1.6000000000000014E-2</c:v>
                </c:pt>
                <c:pt idx="231">
                  <c:v>1.0000000000000009E-2</c:v>
                </c:pt>
                <c:pt idx="232">
                  <c:v>1.0000000000000009E-2</c:v>
                </c:pt>
                <c:pt idx="233">
                  <c:v>1.0000000000000009E-2</c:v>
                </c:pt>
                <c:pt idx="234">
                  <c:v>1.0000000000000009E-2</c:v>
                </c:pt>
                <c:pt idx="235">
                  <c:v>1.0000000000000009E-2</c:v>
                </c:pt>
                <c:pt idx="236">
                  <c:v>1.0000000000000009E-2</c:v>
                </c:pt>
                <c:pt idx="237">
                  <c:v>8.0000000000000071E-3</c:v>
                </c:pt>
                <c:pt idx="238">
                  <c:v>8.0000000000000071E-3</c:v>
                </c:pt>
                <c:pt idx="239">
                  <c:v>6.0000000000000053E-3</c:v>
                </c:pt>
                <c:pt idx="240">
                  <c:v>6.0000000000000053E-3</c:v>
                </c:pt>
                <c:pt idx="241">
                  <c:v>6.0000000000000053E-3</c:v>
                </c:pt>
                <c:pt idx="242">
                  <c:v>6.0000000000000053E-3</c:v>
                </c:pt>
                <c:pt idx="243">
                  <c:v>6.0000000000000053E-3</c:v>
                </c:pt>
                <c:pt idx="244">
                  <c:v>6.0000000000000053E-3</c:v>
                </c:pt>
                <c:pt idx="245">
                  <c:v>6.0000000000000053E-3</c:v>
                </c:pt>
                <c:pt idx="246">
                  <c:v>6.0000000000000053E-3</c:v>
                </c:pt>
                <c:pt idx="247">
                  <c:v>6.0000000000000053E-3</c:v>
                </c:pt>
                <c:pt idx="248">
                  <c:v>6.0000000000000053E-3</c:v>
                </c:pt>
                <c:pt idx="249">
                  <c:v>6.0000000000000053E-3</c:v>
                </c:pt>
                <c:pt idx="250">
                  <c:v>6.0000000000000053E-3</c:v>
                </c:pt>
                <c:pt idx="251">
                  <c:v>8.0000000000000071E-3</c:v>
                </c:pt>
                <c:pt idx="252">
                  <c:v>8.0000000000000071E-3</c:v>
                </c:pt>
                <c:pt idx="253">
                  <c:v>8.0000000000000071E-3</c:v>
                </c:pt>
                <c:pt idx="254">
                  <c:v>6.0000000000000053E-3</c:v>
                </c:pt>
                <c:pt idx="255">
                  <c:v>4.0000000000000036E-3</c:v>
                </c:pt>
                <c:pt idx="256">
                  <c:v>4.0000000000000036E-3</c:v>
                </c:pt>
                <c:pt idx="257">
                  <c:v>4.0000000000000036E-3</c:v>
                </c:pt>
                <c:pt idx="258">
                  <c:v>4.0000000000000036E-3</c:v>
                </c:pt>
                <c:pt idx="259">
                  <c:v>4.0000000000000036E-3</c:v>
                </c:pt>
                <c:pt idx="260">
                  <c:v>4.0000000000000036E-3</c:v>
                </c:pt>
                <c:pt idx="261">
                  <c:v>4.0000000000000036E-3</c:v>
                </c:pt>
                <c:pt idx="262">
                  <c:v>4.0000000000000036E-3</c:v>
                </c:pt>
                <c:pt idx="263">
                  <c:v>4.0000000000000036E-3</c:v>
                </c:pt>
                <c:pt idx="264">
                  <c:v>4.0000000000000036E-3</c:v>
                </c:pt>
                <c:pt idx="265">
                  <c:v>4.0000000000000036E-3</c:v>
                </c:pt>
                <c:pt idx="266">
                  <c:v>4.0000000000000036E-3</c:v>
                </c:pt>
                <c:pt idx="267">
                  <c:v>4.0000000000000036E-3</c:v>
                </c:pt>
                <c:pt idx="268">
                  <c:v>4.0000000000000036E-3</c:v>
                </c:pt>
                <c:pt idx="269">
                  <c:v>4.0000000000000036E-3</c:v>
                </c:pt>
                <c:pt idx="270">
                  <c:v>4.0000000000000036E-3</c:v>
                </c:pt>
                <c:pt idx="271">
                  <c:v>4.0000000000000036E-3</c:v>
                </c:pt>
                <c:pt idx="272">
                  <c:v>4.0000000000000036E-3</c:v>
                </c:pt>
                <c:pt idx="273">
                  <c:v>4.0000000000000036E-3</c:v>
                </c:pt>
                <c:pt idx="274">
                  <c:v>4.0000000000000036E-3</c:v>
                </c:pt>
                <c:pt idx="275">
                  <c:v>4.0000000000000036E-3</c:v>
                </c:pt>
                <c:pt idx="276">
                  <c:v>4.0000000000000036E-3</c:v>
                </c:pt>
                <c:pt idx="277">
                  <c:v>4.0000000000000036E-3</c:v>
                </c:pt>
                <c:pt idx="278">
                  <c:v>4.0000000000000036E-3</c:v>
                </c:pt>
                <c:pt idx="279">
                  <c:v>4.0000000000000036E-3</c:v>
                </c:pt>
                <c:pt idx="280">
                  <c:v>4.0000000000000036E-3</c:v>
                </c:pt>
                <c:pt idx="281">
                  <c:v>4.0000000000000036E-3</c:v>
                </c:pt>
                <c:pt idx="282">
                  <c:v>2.0000000000000018E-3</c:v>
                </c:pt>
                <c:pt idx="283">
                  <c:v>2.0000000000000018E-3</c:v>
                </c:pt>
                <c:pt idx="284">
                  <c:v>2.0000000000000018E-3</c:v>
                </c:pt>
                <c:pt idx="285">
                  <c:v>2.0000000000000018E-3</c:v>
                </c:pt>
                <c:pt idx="286">
                  <c:v>2.0000000000000018E-3</c:v>
                </c:pt>
                <c:pt idx="287">
                  <c:v>2.0000000000000018E-3</c:v>
                </c:pt>
                <c:pt idx="288">
                  <c:v>2.0000000000000018E-3</c:v>
                </c:pt>
                <c:pt idx="289">
                  <c:v>2.0000000000000018E-3</c:v>
                </c:pt>
                <c:pt idx="290">
                  <c:v>2.0000000000000018E-3</c:v>
                </c:pt>
                <c:pt idx="291">
                  <c:v>2.0000000000000018E-3</c:v>
                </c:pt>
                <c:pt idx="292">
                  <c:v>2.0000000000000018E-3</c:v>
                </c:pt>
                <c:pt idx="293">
                  <c:v>2.0000000000000018E-3</c:v>
                </c:pt>
                <c:pt idx="294">
                  <c:v>2.0000000000000018E-3</c:v>
                </c:pt>
                <c:pt idx="295">
                  <c:v>2.0000000000000018E-3</c:v>
                </c:pt>
                <c:pt idx="296">
                  <c:v>2.0000000000000018E-3</c:v>
                </c:pt>
                <c:pt idx="297">
                  <c:v>2.0000000000000018E-3</c:v>
                </c:pt>
                <c:pt idx="298">
                  <c:v>2.0000000000000018E-3</c:v>
                </c:pt>
                <c:pt idx="299">
                  <c:v>2.0000000000000018E-3</c:v>
                </c:pt>
                <c:pt idx="300">
                  <c:v>2.0000000000000018E-3</c:v>
                </c:pt>
                <c:pt idx="301">
                  <c:v>2.0000000000000018E-3</c:v>
                </c:pt>
                <c:pt idx="302">
                  <c:v>2.0000000000000018E-3</c:v>
                </c:pt>
                <c:pt idx="303">
                  <c:v>2.0000000000000018E-3</c:v>
                </c:pt>
                <c:pt idx="304">
                  <c:v>2.0000000000000018E-3</c:v>
                </c:pt>
                <c:pt idx="305">
                  <c:v>2.0000000000000018E-3</c:v>
                </c:pt>
                <c:pt idx="306">
                  <c:v>2.0000000000000018E-3</c:v>
                </c:pt>
                <c:pt idx="307">
                  <c:v>2.0000000000000018E-3</c:v>
                </c:pt>
                <c:pt idx="308">
                  <c:v>2.0000000000000018E-3</c:v>
                </c:pt>
                <c:pt idx="309">
                  <c:v>2.0000000000000018E-3</c:v>
                </c:pt>
                <c:pt idx="310">
                  <c:v>2.0000000000000018E-3</c:v>
                </c:pt>
                <c:pt idx="311">
                  <c:v>2.0000000000000018E-3</c:v>
                </c:pt>
                <c:pt idx="312">
                  <c:v>2.0000000000000018E-3</c:v>
                </c:pt>
                <c:pt idx="313">
                  <c:v>2.0000000000000018E-3</c:v>
                </c:pt>
                <c:pt idx="314">
                  <c:v>2.0000000000000018E-3</c:v>
                </c:pt>
                <c:pt idx="315">
                  <c:v>2.0000000000000018E-3</c:v>
                </c:pt>
                <c:pt idx="316">
                  <c:v>2.0000000000000018E-3</c:v>
                </c:pt>
                <c:pt idx="317">
                  <c:v>2.0000000000000018E-3</c:v>
                </c:pt>
                <c:pt idx="318">
                  <c:v>2.0000000000000018E-3</c:v>
                </c:pt>
                <c:pt idx="319">
                  <c:v>2.0000000000000018E-3</c:v>
                </c:pt>
                <c:pt idx="320">
                  <c:v>2.0000000000000018E-3</c:v>
                </c:pt>
                <c:pt idx="321">
                  <c:v>2.0000000000000018E-3</c:v>
                </c:pt>
                <c:pt idx="322">
                  <c:v>2.0000000000000018E-3</c:v>
                </c:pt>
                <c:pt idx="323">
                  <c:v>2.0000000000000018E-3</c:v>
                </c:pt>
                <c:pt idx="324">
                  <c:v>2.0000000000000018E-3</c:v>
                </c:pt>
                <c:pt idx="325">
                  <c:v>2.0000000000000018E-3</c:v>
                </c:pt>
                <c:pt idx="326">
                  <c:v>2.0000000000000018E-3</c:v>
                </c:pt>
                <c:pt idx="327">
                  <c:v>2.0000000000000018E-3</c:v>
                </c:pt>
                <c:pt idx="328">
                  <c:v>2.0000000000000018E-3</c:v>
                </c:pt>
                <c:pt idx="329">
                  <c:v>2.0000000000000018E-3</c:v>
                </c:pt>
                <c:pt idx="330">
                  <c:v>2.0000000000000018E-3</c:v>
                </c:pt>
                <c:pt idx="331">
                  <c:v>2.0000000000000018E-3</c:v>
                </c:pt>
                <c:pt idx="332">
                  <c:v>2.0000000000000018E-3</c:v>
                </c:pt>
                <c:pt idx="333">
                  <c:v>2.0000000000000018E-3</c:v>
                </c:pt>
                <c:pt idx="334">
                  <c:v>2.0000000000000018E-3</c:v>
                </c:pt>
                <c:pt idx="335">
                  <c:v>2.0000000000000018E-3</c:v>
                </c:pt>
                <c:pt idx="336">
                  <c:v>2.0000000000000018E-3</c:v>
                </c:pt>
                <c:pt idx="337">
                  <c:v>2.0000000000000018E-3</c:v>
                </c:pt>
                <c:pt idx="338">
                  <c:v>2.0000000000000018E-3</c:v>
                </c:pt>
                <c:pt idx="339">
                  <c:v>2.0000000000000018E-3</c:v>
                </c:pt>
                <c:pt idx="340">
                  <c:v>2.0000000000000018E-3</c:v>
                </c:pt>
                <c:pt idx="341">
                  <c:v>2.0000000000000018E-3</c:v>
                </c:pt>
                <c:pt idx="342">
                  <c:v>2.0000000000000018E-3</c:v>
                </c:pt>
                <c:pt idx="343">
                  <c:v>2.0000000000000018E-3</c:v>
                </c:pt>
                <c:pt idx="344">
                  <c:v>2.0000000000000018E-3</c:v>
                </c:pt>
                <c:pt idx="345">
                  <c:v>2.0000000000000018E-3</c:v>
                </c:pt>
                <c:pt idx="346">
                  <c:v>2.0000000000000018E-3</c:v>
                </c:pt>
                <c:pt idx="347">
                  <c:v>2.0000000000000018E-3</c:v>
                </c:pt>
                <c:pt idx="348">
                  <c:v>2.0000000000000018E-3</c:v>
                </c:pt>
                <c:pt idx="349">
                  <c:v>2.0000000000000018E-3</c:v>
                </c:pt>
                <c:pt idx="350">
                  <c:v>2.0000000000000018E-3</c:v>
                </c:pt>
                <c:pt idx="351">
                  <c:v>2.0000000000000018E-3</c:v>
                </c:pt>
                <c:pt idx="352">
                  <c:v>2.0000000000000018E-3</c:v>
                </c:pt>
                <c:pt idx="353">
                  <c:v>2.0000000000000018E-3</c:v>
                </c:pt>
                <c:pt idx="354">
                  <c:v>2.0000000000000018E-3</c:v>
                </c:pt>
                <c:pt idx="355">
                  <c:v>2.0000000000000018E-3</c:v>
                </c:pt>
                <c:pt idx="356">
                  <c:v>2.0000000000000018E-3</c:v>
                </c:pt>
                <c:pt idx="357">
                  <c:v>2.0000000000000018E-3</c:v>
                </c:pt>
                <c:pt idx="358">
                  <c:v>2.0000000000000018E-3</c:v>
                </c:pt>
                <c:pt idx="359">
                  <c:v>2.0000000000000018E-3</c:v>
                </c:pt>
                <c:pt idx="360">
                  <c:v>2.0000000000000018E-3</c:v>
                </c:pt>
                <c:pt idx="361">
                  <c:v>2.0000000000000018E-3</c:v>
                </c:pt>
                <c:pt idx="362">
                  <c:v>2.0000000000000018E-3</c:v>
                </c:pt>
                <c:pt idx="363">
                  <c:v>2.0000000000000018E-3</c:v>
                </c:pt>
                <c:pt idx="364">
                  <c:v>2.0000000000000018E-3</c:v>
                </c:pt>
                <c:pt idx="365">
                  <c:v>2.0000000000000018E-3</c:v>
                </c:pt>
                <c:pt idx="366">
                  <c:v>2.0000000000000018E-3</c:v>
                </c:pt>
                <c:pt idx="367">
                  <c:v>2.0000000000000018E-3</c:v>
                </c:pt>
                <c:pt idx="368">
                  <c:v>2.0000000000000018E-3</c:v>
                </c:pt>
                <c:pt idx="369">
                  <c:v>2.0000000000000018E-3</c:v>
                </c:pt>
                <c:pt idx="370">
                  <c:v>2.0000000000000018E-3</c:v>
                </c:pt>
                <c:pt idx="371">
                  <c:v>2.0000000000000018E-3</c:v>
                </c:pt>
                <c:pt idx="372">
                  <c:v>2.0000000000000018E-3</c:v>
                </c:pt>
                <c:pt idx="373">
                  <c:v>2.0000000000000018E-3</c:v>
                </c:pt>
                <c:pt idx="374">
                  <c:v>2.0000000000000018E-3</c:v>
                </c:pt>
                <c:pt idx="375">
                  <c:v>2.0000000000000018E-3</c:v>
                </c:pt>
                <c:pt idx="376">
                  <c:v>2.0000000000000018E-3</c:v>
                </c:pt>
                <c:pt idx="377">
                  <c:v>2.0000000000000018E-3</c:v>
                </c:pt>
                <c:pt idx="378">
                  <c:v>2.0000000000000018E-3</c:v>
                </c:pt>
                <c:pt idx="379">
                  <c:v>2.0000000000000018E-3</c:v>
                </c:pt>
                <c:pt idx="380">
                  <c:v>2.0000000000000018E-3</c:v>
                </c:pt>
                <c:pt idx="381">
                  <c:v>2.0000000000000018E-3</c:v>
                </c:pt>
                <c:pt idx="382">
                  <c:v>2.0000000000000018E-3</c:v>
                </c:pt>
                <c:pt idx="383">
                  <c:v>2.0000000000000018E-3</c:v>
                </c:pt>
                <c:pt idx="384">
                  <c:v>2.0000000000000018E-3</c:v>
                </c:pt>
                <c:pt idx="385">
                  <c:v>2.0000000000000018E-3</c:v>
                </c:pt>
                <c:pt idx="386">
                  <c:v>2.0000000000000018E-3</c:v>
                </c:pt>
                <c:pt idx="387">
                  <c:v>2.0000000000000018E-3</c:v>
                </c:pt>
                <c:pt idx="388">
                  <c:v>2.0000000000000018E-3</c:v>
                </c:pt>
                <c:pt idx="389">
                  <c:v>2.0000000000000018E-3</c:v>
                </c:pt>
                <c:pt idx="390">
                  <c:v>2.0000000000000018E-3</c:v>
                </c:pt>
                <c:pt idx="391">
                  <c:v>2.0000000000000018E-3</c:v>
                </c:pt>
                <c:pt idx="392">
                  <c:v>2.0000000000000018E-3</c:v>
                </c:pt>
                <c:pt idx="393">
                  <c:v>2.0000000000000018E-3</c:v>
                </c:pt>
                <c:pt idx="394">
                  <c:v>2.0000000000000018E-3</c:v>
                </c:pt>
                <c:pt idx="395">
                  <c:v>2.0000000000000018E-3</c:v>
                </c:pt>
                <c:pt idx="396">
                  <c:v>2.0000000000000018E-3</c:v>
                </c:pt>
                <c:pt idx="397">
                  <c:v>2.0000000000000018E-3</c:v>
                </c:pt>
                <c:pt idx="398">
                  <c:v>2.0000000000000018E-3</c:v>
                </c:pt>
                <c:pt idx="399">
                  <c:v>2.0000000000000018E-3</c:v>
                </c:pt>
                <c:pt idx="400">
                  <c:v>2.0000000000000018E-3</c:v>
                </c:pt>
                <c:pt idx="401">
                  <c:v>2.0000000000000018E-3</c:v>
                </c:pt>
                <c:pt idx="402">
                  <c:v>2.0000000000000018E-3</c:v>
                </c:pt>
                <c:pt idx="403">
                  <c:v>2.0000000000000018E-3</c:v>
                </c:pt>
                <c:pt idx="404">
                  <c:v>2.0000000000000018E-3</c:v>
                </c:pt>
                <c:pt idx="405">
                  <c:v>2.0000000000000018E-3</c:v>
                </c:pt>
                <c:pt idx="406">
                  <c:v>2.0000000000000018E-3</c:v>
                </c:pt>
                <c:pt idx="407">
                  <c:v>2.0000000000000018E-3</c:v>
                </c:pt>
                <c:pt idx="408">
                  <c:v>2.0000000000000018E-3</c:v>
                </c:pt>
                <c:pt idx="409">
                  <c:v>2.0000000000000018E-3</c:v>
                </c:pt>
                <c:pt idx="410">
                  <c:v>2.0000000000000018E-3</c:v>
                </c:pt>
                <c:pt idx="411">
                  <c:v>2.0000000000000018E-3</c:v>
                </c:pt>
                <c:pt idx="412">
                  <c:v>2.0000000000000018E-3</c:v>
                </c:pt>
                <c:pt idx="413">
                  <c:v>2.0000000000000018E-3</c:v>
                </c:pt>
                <c:pt idx="414">
                  <c:v>2.0000000000000018E-3</c:v>
                </c:pt>
                <c:pt idx="415">
                  <c:v>2.0000000000000018E-3</c:v>
                </c:pt>
                <c:pt idx="416">
                  <c:v>2.0000000000000018E-3</c:v>
                </c:pt>
                <c:pt idx="417">
                  <c:v>2.0000000000000018E-3</c:v>
                </c:pt>
                <c:pt idx="418">
                  <c:v>2.0000000000000018E-3</c:v>
                </c:pt>
                <c:pt idx="419">
                  <c:v>2.0000000000000018E-3</c:v>
                </c:pt>
                <c:pt idx="420">
                  <c:v>2.0000000000000018E-3</c:v>
                </c:pt>
                <c:pt idx="421">
                  <c:v>2.0000000000000018E-3</c:v>
                </c:pt>
                <c:pt idx="422">
                  <c:v>2.0000000000000018E-3</c:v>
                </c:pt>
                <c:pt idx="423">
                  <c:v>2.0000000000000018E-3</c:v>
                </c:pt>
                <c:pt idx="424">
                  <c:v>2.0000000000000018E-3</c:v>
                </c:pt>
                <c:pt idx="425">
                  <c:v>2.0000000000000018E-3</c:v>
                </c:pt>
                <c:pt idx="426">
                  <c:v>2.0000000000000018E-3</c:v>
                </c:pt>
                <c:pt idx="427">
                  <c:v>2.0000000000000018E-3</c:v>
                </c:pt>
                <c:pt idx="428">
                  <c:v>2.0000000000000018E-3</c:v>
                </c:pt>
                <c:pt idx="429">
                  <c:v>2.0000000000000018E-3</c:v>
                </c:pt>
                <c:pt idx="430">
                  <c:v>2.0000000000000018E-3</c:v>
                </c:pt>
                <c:pt idx="431">
                  <c:v>2.0000000000000018E-3</c:v>
                </c:pt>
                <c:pt idx="432">
                  <c:v>2.0000000000000018E-3</c:v>
                </c:pt>
                <c:pt idx="433">
                  <c:v>2.0000000000000018E-3</c:v>
                </c:pt>
                <c:pt idx="434">
                  <c:v>2.0000000000000018E-3</c:v>
                </c:pt>
                <c:pt idx="435">
                  <c:v>2.0000000000000018E-3</c:v>
                </c:pt>
                <c:pt idx="436">
                  <c:v>2.0000000000000018E-3</c:v>
                </c:pt>
                <c:pt idx="437">
                  <c:v>2.0000000000000018E-3</c:v>
                </c:pt>
                <c:pt idx="438">
                  <c:v>2.0000000000000018E-3</c:v>
                </c:pt>
                <c:pt idx="439">
                  <c:v>2.0000000000000018E-3</c:v>
                </c:pt>
                <c:pt idx="440">
                  <c:v>2.0000000000000018E-3</c:v>
                </c:pt>
                <c:pt idx="441">
                  <c:v>2.0000000000000018E-3</c:v>
                </c:pt>
                <c:pt idx="442">
                  <c:v>2.0000000000000018E-3</c:v>
                </c:pt>
                <c:pt idx="443">
                  <c:v>2.0000000000000018E-3</c:v>
                </c:pt>
                <c:pt idx="444">
                  <c:v>2.0000000000000018E-3</c:v>
                </c:pt>
                <c:pt idx="445">
                  <c:v>2.0000000000000018E-3</c:v>
                </c:pt>
                <c:pt idx="446">
                  <c:v>2.0000000000000018E-3</c:v>
                </c:pt>
                <c:pt idx="447">
                  <c:v>2.0000000000000018E-3</c:v>
                </c:pt>
                <c:pt idx="448">
                  <c:v>2.0000000000000018E-3</c:v>
                </c:pt>
                <c:pt idx="449">
                  <c:v>2.0000000000000018E-3</c:v>
                </c:pt>
                <c:pt idx="450">
                  <c:v>2.0000000000000018E-3</c:v>
                </c:pt>
                <c:pt idx="451">
                  <c:v>2.0000000000000018E-3</c:v>
                </c:pt>
                <c:pt idx="452">
                  <c:v>2.0000000000000018E-3</c:v>
                </c:pt>
                <c:pt idx="453">
                  <c:v>2.0000000000000018E-3</c:v>
                </c:pt>
                <c:pt idx="454">
                  <c:v>2.0000000000000018E-3</c:v>
                </c:pt>
                <c:pt idx="455">
                  <c:v>2.0000000000000018E-3</c:v>
                </c:pt>
                <c:pt idx="456">
                  <c:v>2.0000000000000018E-3</c:v>
                </c:pt>
                <c:pt idx="457">
                  <c:v>2.0000000000000018E-3</c:v>
                </c:pt>
                <c:pt idx="458">
                  <c:v>2.0000000000000018E-3</c:v>
                </c:pt>
                <c:pt idx="459">
                  <c:v>2.0000000000000018E-3</c:v>
                </c:pt>
                <c:pt idx="460">
                  <c:v>2.0000000000000018E-3</c:v>
                </c:pt>
                <c:pt idx="461">
                  <c:v>2.0000000000000018E-3</c:v>
                </c:pt>
                <c:pt idx="462">
                  <c:v>2.0000000000000018E-3</c:v>
                </c:pt>
                <c:pt idx="463">
                  <c:v>2.0000000000000018E-3</c:v>
                </c:pt>
                <c:pt idx="464">
                  <c:v>2.0000000000000018E-3</c:v>
                </c:pt>
                <c:pt idx="465">
                  <c:v>2.0000000000000018E-3</c:v>
                </c:pt>
                <c:pt idx="466">
                  <c:v>2.0000000000000018E-3</c:v>
                </c:pt>
                <c:pt idx="467">
                  <c:v>2.0000000000000018E-3</c:v>
                </c:pt>
                <c:pt idx="468">
                  <c:v>2.0000000000000018E-3</c:v>
                </c:pt>
                <c:pt idx="469">
                  <c:v>2.0000000000000018E-3</c:v>
                </c:pt>
                <c:pt idx="470">
                  <c:v>2.0000000000000018E-3</c:v>
                </c:pt>
                <c:pt idx="471">
                  <c:v>2.0000000000000018E-3</c:v>
                </c:pt>
                <c:pt idx="472">
                  <c:v>2.0000000000000018E-3</c:v>
                </c:pt>
                <c:pt idx="473">
                  <c:v>2.0000000000000018E-3</c:v>
                </c:pt>
                <c:pt idx="474">
                  <c:v>2.0000000000000018E-3</c:v>
                </c:pt>
                <c:pt idx="475">
                  <c:v>2.0000000000000018E-3</c:v>
                </c:pt>
                <c:pt idx="476">
                  <c:v>2.0000000000000018E-3</c:v>
                </c:pt>
                <c:pt idx="477">
                  <c:v>2.0000000000000018E-3</c:v>
                </c:pt>
                <c:pt idx="478">
                  <c:v>2.0000000000000018E-3</c:v>
                </c:pt>
                <c:pt idx="479">
                  <c:v>2.0000000000000018E-3</c:v>
                </c:pt>
                <c:pt idx="480">
                  <c:v>2.0000000000000018E-3</c:v>
                </c:pt>
                <c:pt idx="481">
                  <c:v>2.0000000000000018E-3</c:v>
                </c:pt>
                <c:pt idx="482">
                  <c:v>2.0000000000000018E-3</c:v>
                </c:pt>
                <c:pt idx="483">
                  <c:v>2.0000000000000018E-3</c:v>
                </c:pt>
                <c:pt idx="484">
                  <c:v>2.0000000000000018E-3</c:v>
                </c:pt>
                <c:pt idx="485">
                  <c:v>2.0000000000000018E-3</c:v>
                </c:pt>
                <c:pt idx="486">
                  <c:v>2.0000000000000018E-3</c:v>
                </c:pt>
                <c:pt idx="487">
                  <c:v>2.0000000000000018E-3</c:v>
                </c:pt>
                <c:pt idx="488">
                  <c:v>2.0000000000000018E-3</c:v>
                </c:pt>
                <c:pt idx="489">
                  <c:v>2.0000000000000018E-3</c:v>
                </c:pt>
                <c:pt idx="490">
                  <c:v>2.0000000000000018E-3</c:v>
                </c:pt>
                <c:pt idx="491">
                  <c:v>2.0000000000000018E-3</c:v>
                </c:pt>
                <c:pt idx="492">
                  <c:v>2.0000000000000018E-3</c:v>
                </c:pt>
                <c:pt idx="493">
                  <c:v>2.0000000000000018E-3</c:v>
                </c:pt>
                <c:pt idx="494">
                  <c:v>2.0000000000000018E-3</c:v>
                </c:pt>
                <c:pt idx="495">
                  <c:v>2.0000000000000018E-3</c:v>
                </c:pt>
                <c:pt idx="496">
                  <c:v>2.0000000000000018E-3</c:v>
                </c:pt>
                <c:pt idx="497">
                  <c:v>2.0000000000000018E-3</c:v>
                </c:pt>
                <c:pt idx="498">
                  <c:v>2.0000000000000018E-3</c:v>
                </c:pt>
                <c:pt idx="499">
                  <c:v>2.0000000000000018E-3</c:v>
                </c:pt>
                <c:pt idx="500">
                  <c:v>2.0000000000000018E-3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C3-490A-816B-B898B8A00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031279"/>
        <c:axId val="1301055311"/>
      </c:scatterChart>
      <c:valAx>
        <c:axId val="1464031279"/>
        <c:scaling>
          <c:orientation val="minMax"/>
          <c:max val="500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Maximum Acceptable</a:t>
                </a:r>
                <a:r>
                  <a:rPr lang="en-GB" sz="1400" baseline="0"/>
                  <a:t> Incremental Cost-Effectiveness Ratio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055311"/>
        <c:crosses val="autoZero"/>
        <c:crossBetween val="midCat"/>
      </c:valAx>
      <c:valAx>
        <c:axId val="130105531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Probability</a:t>
                </a:r>
                <a:r>
                  <a:rPr lang="en-GB" sz="1400" baseline="0"/>
                  <a:t> that each strategy provides the highest net benefit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4031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D08CF4D-EFF0-4C5C-8FEC-636138ECB244}">
  <sheetPr codeName="Chart4"/>
  <sheetViews>
    <sheetView tabSelected="1" zoomScale="10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F2994DB-B179-4D3A-A06F-44A42BDDE833}">
  <sheetPr/>
  <sheetViews>
    <sheetView zoomScale="10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44B351-C7EC-42CD-8465-DC0D3ED216C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919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27EBD5-D76B-4360-928A-2BDC0A1203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ns_0_spec_90_PSA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ns_100_spec_10_PSA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_0_spec_90_PSA"/>
    </sheetNames>
    <sheetDataSet>
      <sheetData sheetId="0">
        <row r="1">
          <cell r="B1" t="str">
            <v>Sens_DR</v>
          </cell>
          <cell r="C1" t="str">
            <v>Spec_DR</v>
          </cell>
          <cell r="D1" t="str">
            <v>Number_recieving_MTC_care</v>
          </cell>
          <cell r="E1" t="str">
            <v>proportion_died_before_discharge</v>
          </cell>
          <cell r="F1" t="str">
            <v>proportion_died_between_discharge_and_1_year</v>
          </cell>
          <cell r="G1" t="str">
            <v>Years_lived</v>
          </cell>
          <cell r="H1" t="str">
            <v>undiscounted_QALYs</v>
          </cell>
          <cell r="I1" t="str">
            <v>discounted_QALYs</v>
          </cell>
          <cell r="J1" t="str">
            <v>undiscounted_Costs</v>
          </cell>
          <cell r="K1" t="str">
            <v>discounted_Costs</v>
          </cell>
          <cell r="L1" t="str">
            <v>proportion_ISS_over_16</v>
          </cell>
          <cell r="M1" t="str">
            <v>proportion_ISS_over_8_under_16</v>
          </cell>
        </row>
        <row r="2">
          <cell r="B2">
            <v>0</v>
          </cell>
          <cell r="C2" t="str">
            <v>NA</v>
          </cell>
          <cell r="D2">
            <v>0</v>
          </cell>
          <cell r="E2">
            <v>0.21190000000000001</v>
          </cell>
          <cell r="F2">
            <v>4.99E-2</v>
          </cell>
          <cell r="G2">
            <v>17.631805903270202</v>
          </cell>
          <cell r="H2">
            <v>12.580097745072001</v>
          </cell>
          <cell r="I2">
            <v>7.5077767282872703</v>
          </cell>
          <cell r="J2">
            <v>182555.52945799599</v>
          </cell>
          <cell r="K2">
            <v>108144.657838156</v>
          </cell>
          <cell r="L2">
            <v>1</v>
          </cell>
          <cell r="M2">
            <v>0</v>
          </cell>
        </row>
        <row r="3">
          <cell r="B3">
            <v>0</v>
          </cell>
          <cell r="C3" t="str">
            <v>NA</v>
          </cell>
          <cell r="D3">
            <v>0</v>
          </cell>
          <cell r="E3">
            <v>0.2263</v>
          </cell>
          <cell r="F3">
            <v>4.8800000000000003E-2</v>
          </cell>
          <cell r="G3">
            <v>16.109416605283599</v>
          </cell>
          <cell r="H3">
            <v>12.6962031092055</v>
          </cell>
          <cell r="I3">
            <v>7.7317906267995804</v>
          </cell>
          <cell r="J3">
            <v>156742.61829400799</v>
          </cell>
          <cell r="K3">
            <v>96513.837566222894</v>
          </cell>
          <cell r="L3">
            <v>1</v>
          </cell>
          <cell r="M3">
            <v>0</v>
          </cell>
        </row>
        <row r="4">
          <cell r="B4">
            <v>0</v>
          </cell>
          <cell r="C4" t="str">
            <v>NA</v>
          </cell>
          <cell r="D4">
            <v>0</v>
          </cell>
          <cell r="E4">
            <v>0.1799</v>
          </cell>
          <cell r="F4">
            <v>4.3299999999999998E-2</v>
          </cell>
          <cell r="G4">
            <v>16.703700616986701</v>
          </cell>
          <cell r="H4">
            <v>12.093400895103001</v>
          </cell>
          <cell r="I4">
            <v>7.45120445151555</v>
          </cell>
          <cell r="J4">
            <v>179345.22341482699</v>
          </cell>
          <cell r="K4">
            <v>110756.03978756801</v>
          </cell>
          <cell r="L4">
            <v>1</v>
          </cell>
          <cell r="M4">
            <v>0</v>
          </cell>
        </row>
        <row r="5">
          <cell r="B5">
            <v>0</v>
          </cell>
          <cell r="C5" t="str">
            <v>NA</v>
          </cell>
          <cell r="D5">
            <v>0</v>
          </cell>
          <cell r="E5">
            <v>0.15820000000000001</v>
          </cell>
          <cell r="F5">
            <v>4.3900000000000002E-2</v>
          </cell>
          <cell r="G5">
            <v>18.621213079716</v>
          </cell>
          <cell r="H5">
            <v>13.6536379601985</v>
          </cell>
          <cell r="I5">
            <v>8.1788172351023007</v>
          </cell>
          <cell r="J5">
            <v>280247.65123043302</v>
          </cell>
          <cell r="K5">
            <v>163202.913266346</v>
          </cell>
          <cell r="L5">
            <v>1</v>
          </cell>
          <cell r="M5">
            <v>0</v>
          </cell>
        </row>
        <row r="6">
          <cell r="B6">
            <v>0</v>
          </cell>
          <cell r="C6" t="str">
            <v>NA</v>
          </cell>
          <cell r="D6">
            <v>0</v>
          </cell>
          <cell r="E6">
            <v>0.16339999999999999</v>
          </cell>
          <cell r="F6">
            <v>2.87E-2</v>
          </cell>
          <cell r="G6">
            <v>18.968566380673099</v>
          </cell>
          <cell r="H6">
            <v>14.290644748812401</v>
          </cell>
          <cell r="I6">
            <v>8.5462484127584304</v>
          </cell>
          <cell r="J6">
            <v>258201.550408512</v>
          </cell>
          <cell r="K6">
            <v>150677.06134947401</v>
          </cell>
          <cell r="L6">
            <v>1</v>
          </cell>
          <cell r="M6">
            <v>0</v>
          </cell>
        </row>
        <row r="7">
          <cell r="B7">
            <v>0</v>
          </cell>
          <cell r="C7" t="str">
            <v>NA</v>
          </cell>
          <cell r="D7">
            <v>0</v>
          </cell>
          <cell r="E7">
            <v>0.21379999999999999</v>
          </cell>
          <cell r="F7">
            <v>4.6199999999999998E-2</v>
          </cell>
          <cell r="G7">
            <v>17.333676761959801</v>
          </cell>
          <cell r="H7">
            <v>13.669809012553699</v>
          </cell>
          <cell r="I7">
            <v>8.2265943752777897</v>
          </cell>
          <cell r="J7">
            <v>173062.570854308</v>
          </cell>
          <cell r="K7">
            <v>104008.303315157</v>
          </cell>
          <cell r="L7">
            <v>1</v>
          </cell>
          <cell r="M7">
            <v>0</v>
          </cell>
        </row>
        <row r="8">
          <cell r="B8">
            <v>0</v>
          </cell>
          <cell r="C8" t="str">
            <v>NA</v>
          </cell>
          <cell r="D8">
            <v>0</v>
          </cell>
          <cell r="E8">
            <v>0.15740000000000001</v>
          </cell>
          <cell r="F8">
            <v>6.3799999999999996E-2</v>
          </cell>
          <cell r="G8">
            <v>18.171702104675699</v>
          </cell>
          <cell r="H8">
            <v>13.544915627546899</v>
          </cell>
          <cell r="I8">
            <v>8.1326048456268101</v>
          </cell>
          <cell r="J8">
            <v>180966.51246048301</v>
          </cell>
          <cell r="K8">
            <v>108423.24705716599</v>
          </cell>
          <cell r="L8">
            <v>1</v>
          </cell>
          <cell r="M8">
            <v>0</v>
          </cell>
        </row>
        <row r="9">
          <cell r="B9">
            <v>0</v>
          </cell>
          <cell r="C9" t="str">
            <v>NA</v>
          </cell>
          <cell r="D9">
            <v>0</v>
          </cell>
          <cell r="E9">
            <v>0.26860000000000001</v>
          </cell>
          <cell r="F9">
            <v>3.4200000000000001E-2</v>
          </cell>
          <cell r="G9">
            <v>16.591360156837101</v>
          </cell>
          <cell r="H9">
            <v>11.3645095024253</v>
          </cell>
          <cell r="I9">
            <v>6.8100274836357304</v>
          </cell>
          <cell r="J9">
            <v>172398.53334121499</v>
          </cell>
          <cell r="K9">
            <v>103295.68149041</v>
          </cell>
          <cell r="L9">
            <v>1</v>
          </cell>
          <cell r="M9">
            <v>0</v>
          </cell>
        </row>
        <row r="10">
          <cell r="B10">
            <v>0</v>
          </cell>
          <cell r="C10" t="str">
            <v>NA</v>
          </cell>
          <cell r="D10">
            <v>0</v>
          </cell>
          <cell r="E10">
            <v>0.12039999999999999</v>
          </cell>
          <cell r="F10">
            <v>4.6399999999999997E-2</v>
          </cell>
          <cell r="G10">
            <v>20.327276256720999</v>
          </cell>
          <cell r="H10">
            <v>14.3981691896633</v>
          </cell>
          <cell r="I10">
            <v>8.5052634844433008</v>
          </cell>
          <cell r="J10">
            <v>241594.73381838601</v>
          </cell>
          <cell r="K10">
            <v>139402.238861708</v>
          </cell>
          <cell r="L10">
            <v>1</v>
          </cell>
          <cell r="M10">
            <v>0</v>
          </cell>
        </row>
        <row r="11">
          <cell r="B11">
            <v>0</v>
          </cell>
          <cell r="C11" t="str">
            <v>NA</v>
          </cell>
          <cell r="D11">
            <v>0</v>
          </cell>
          <cell r="E11">
            <v>0.23899999999999999</v>
          </cell>
          <cell r="F11">
            <v>4.3299999999999998E-2</v>
          </cell>
          <cell r="G11">
            <v>16.933389738112801</v>
          </cell>
          <cell r="H11">
            <v>11.32958206684</v>
          </cell>
          <cell r="I11">
            <v>6.80221217608503</v>
          </cell>
          <cell r="J11">
            <v>160948.01052280501</v>
          </cell>
          <cell r="K11">
            <v>97237.516426479604</v>
          </cell>
          <cell r="L11">
            <v>1</v>
          </cell>
          <cell r="M11">
            <v>0</v>
          </cell>
        </row>
        <row r="12">
          <cell r="B12">
            <v>0</v>
          </cell>
          <cell r="C12" t="str">
            <v>NA</v>
          </cell>
          <cell r="D12">
            <v>0</v>
          </cell>
          <cell r="E12">
            <v>0.129</v>
          </cell>
          <cell r="F12">
            <v>5.5800000000000002E-2</v>
          </cell>
          <cell r="G12">
            <v>18.780416826454701</v>
          </cell>
          <cell r="H12">
            <v>14.0679158737441</v>
          </cell>
          <cell r="I12">
            <v>8.4318269093934095</v>
          </cell>
          <cell r="J12">
            <v>216240.81446597801</v>
          </cell>
          <cell r="K12">
            <v>127991.368796011</v>
          </cell>
          <cell r="L12">
            <v>1</v>
          </cell>
          <cell r="M12">
            <v>0</v>
          </cell>
        </row>
        <row r="13">
          <cell r="B13">
            <v>0</v>
          </cell>
          <cell r="C13" t="str">
            <v>NA</v>
          </cell>
          <cell r="D13">
            <v>0</v>
          </cell>
          <cell r="E13">
            <v>0.21510000000000001</v>
          </cell>
          <cell r="F13">
            <v>4.4699999999999997E-2</v>
          </cell>
          <cell r="G13">
            <v>16.673093720368598</v>
          </cell>
          <cell r="H13">
            <v>10.4551898173442</v>
          </cell>
          <cell r="I13">
            <v>6.3436778444747297</v>
          </cell>
          <cell r="J13">
            <v>184880.62178068201</v>
          </cell>
          <cell r="K13">
            <v>111904.382445264</v>
          </cell>
          <cell r="L13">
            <v>1</v>
          </cell>
          <cell r="M13">
            <v>0</v>
          </cell>
        </row>
        <row r="14">
          <cell r="B14">
            <v>0</v>
          </cell>
          <cell r="C14" t="str">
            <v>NA</v>
          </cell>
          <cell r="D14">
            <v>0</v>
          </cell>
          <cell r="E14">
            <v>0.1497</v>
          </cell>
          <cell r="F14">
            <v>5.0900000000000001E-2</v>
          </cell>
          <cell r="G14">
            <v>19.8060409002568</v>
          </cell>
          <cell r="H14">
            <v>14.1766407717733</v>
          </cell>
          <cell r="I14">
            <v>8.3520949820968404</v>
          </cell>
          <cell r="J14">
            <v>208686.80109864101</v>
          </cell>
          <cell r="K14">
            <v>120963.271966963</v>
          </cell>
          <cell r="L14">
            <v>1</v>
          </cell>
          <cell r="M14">
            <v>0</v>
          </cell>
        </row>
        <row r="15">
          <cell r="B15">
            <v>0</v>
          </cell>
          <cell r="C15" t="str">
            <v>NA</v>
          </cell>
          <cell r="D15">
            <v>0</v>
          </cell>
          <cell r="E15">
            <v>0.25019999999999998</v>
          </cell>
          <cell r="F15">
            <v>4.36E-2</v>
          </cell>
          <cell r="G15">
            <v>15.241199643089001</v>
          </cell>
          <cell r="H15">
            <v>10.7983181828752</v>
          </cell>
          <cell r="I15">
            <v>6.6703172371726902</v>
          </cell>
          <cell r="J15">
            <v>138061.297834475</v>
          </cell>
          <cell r="K15">
            <v>86908.440147728499</v>
          </cell>
          <cell r="L15">
            <v>1</v>
          </cell>
          <cell r="M15">
            <v>0</v>
          </cell>
        </row>
        <row r="16">
          <cell r="B16">
            <v>0</v>
          </cell>
          <cell r="C16" t="str">
            <v>NA</v>
          </cell>
          <cell r="D16">
            <v>0</v>
          </cell>
          <cell r="E16">
            <v>0.1447</v>
          </cell>
          <cell r="F16">
            <v>4.3799999999999999E-2</v>
          </cell>
          <cell r="G16">
            <v>18.2511185190946</v>
          </cell>
          <cell r="H16">
            <v>12.3634175036463</v>
          </cell>
          <cell r="I16">
            <v>7.4803501622454602</v>
          </cell>
          <cell r="J16">
            <v>192327.08722038299</v>
          </cell>
          <cell r="K16">
            <v>115959.043140536</v>
          </cell>
          <cell r="L16">
            <v>1</v>
          </cell>
          <cell r="M16">
            <v>0</v>
          </cell>
        </row>
        <row r="17">
          <cell r="B17">
            <v>0</v>
          </cell>
          <cell r="C17" t="str">
            <v>NA</v>
          </cell>
          <cell r="D17">
            <v>0</v>
          </cell>
          <cell r="E17">
            <v>0.16139999999999999</v>
          </cell>
          <cell r="F17">
            <v>5.3100000000000001E-2</v>
          </cell>
          <cell r="G17">
            <v>18.385061907908</v>
          </cell>
          <cell r="H17">
            <v>13.634236180181</v>
          </cell>
          <cell r="I17">
            <v>8.1828242872223793</v>
          </cell>
          <cell r="J17">
            <v>180508.61201641001</v>
          </cell>
          <cell r="K17">
            <v>108162.662765815</v>
          </cell>
          <cell r="L17">
            <v>1</v>
          </cell>
          <cell r="M17">
            <v>0</v>
          </cell>
        </row>
        <row r="18">
          <cell r="B18">
            <v>0</v>
          </cell>
          <cell r="C18" t="str">
            <v>NA</v>
          </cell>
          <cell r="D18">
            <v>0</v>
          </cell>
          <cell r="E18">
            <v>0.23799999999999999</v>
          </cell>
          <cell r="F18">
            <v>4.1599999999999998E-2</v>
          </cell>
          <cell r="G18">
            <v>17.8708904850421</v>
          </cell>
          <cell r="H18">
            <v>11.768058888929099</v>
          </cell>
          <cell r="I18">
            <v>6.9467453032751498</v>
          </cell>
          <cell r="J18">
            <v>172458.13401165401</v>
          </cell>
          <cell r="K18">
            <v>101623.84357715301</v>
          </cell>
          <cell r="L18">
            <v>1</v>
          </cell>
          <cell r="M18">
            <v>0</v>
          </cell>
        </row>
        <row r="19">
          <cell r="B19">
            <v>0</v>
          </cell>
          <cell r="C19" t="str">
            <v>NA</v>
          </cell>
          <cell r="D19">
            <v>0</v>
          </cell>
          <cell r="E19">
            <v>0.21990000000000001</v>
          </cell>
          <cell r="F19">
            <v>4.5499999999999999E-2</v>
          </cell>
          <cell r="G19">
            <v>16.854287247451602</v>
          </cell>
          <cell r="H19">
            <v>12.421201980893599</v>
          </cell>
          <cell r="I19">
            <v>7.4900299559168202</v>
          </cell>
          <cell r="J19">
            <v>166804.44392073801</v>
          </cell>
          <cell r="K19">
            <v>101110.02539649799</v>
          </cell>
          <cell r="L19">
            <v>1</v>
          </cell>
          <cell r="M19">
            <v>0</v>
          </cell>
        </row>
        <row r="20">
          <cell r="B20">
            <v>0</v>
          </cell>
          <cell r="C20" t="str">
            <v>NA</v>
          </cell>
          <cell r="D20">
            <v>0</v>
          </cell>
          <cell r="E20">
            <v>0.17519999999999999</v>
          </cell>
          <cell r="F20">
            <v>3.6600000000000001E-2</v>
          </cell>
          <cell r="G20">
            <v>18.396148467521201</v>
          </cell>
          <cell r="H20">
            <v>14.118922309380199</v>
          </cell>
          <cell r="I20">
            <v>8.4597830977045607</v>
          </cell>
          <cell r="J20">
            <v>189318.61435811699</v>
          </cell>
          <cell r="K20">
            <v>113143.45153207501</v>
          </cell>
          <cell r="L20">
            <v>1</v>
          </cell>
          <cell r="M20">
            <v>0</v>
          </cell>
        </row>
        <row r="21">
          <cell r="B21">
            <v>0</v>
          </cell>
          <cell r="C21" t="str">
            <v>NA</v>
          </cell>
          <cell r="D21">
            <v>0</v>
          </cell>
          <cell r="E21">
            <v>0.2515</v>
          </cell>
          <cell r="F21">
            <v>4.1700000000000001E-2</v>
          </cell>
          <cell r="G21">
            <v>17.059877560757201</v>
          </cell>
          <cell r="H21">
            <v>11.440007958844999</v>
          </cell>
          <cell r="I21">
            <v>6.8522651001841401</v>
          </cell>
          <cell r="J21">
            <v>161566.492048318</v>
          </cell>
          <cell r="K21">
            <v>97154.4139620731</v>
          </cell>
          <cell r="L21">
            <v>1</v>
          </cell>
          <cell r="M21">
            <v>0</v>
          </cell>
        </row>
        <row r="22">
          <cell r="B22">
            <v>0</v>
          </cell>
          <cell r="C22" t="str">
            <v>NA</v>
          </cell>
          <cell r="D22">
            <v>0</v>
          </cell>
          <cell r="E22">
            <v>0.28739999999999999</v>
          </cell>
          <cell r="F22">
            <v>4.7500000000000001E-2</v>
          </cell>
          <cell r="G22">
            <v>15.3666877882879</v>
          </cell>
          <cell r="H22">
            <v>11.2149220681718</v>
          </cell>
          <cell r="I22">
            <v>6.7699934046668799</v>
          </cell>
          <cell r="J22">
            <v>181269.25321644699</v>
          </cell>
          <cell r="K22">
            <v>108799.645164313</v>
          </cell>
          <cell r="L22">
            <v>1</v>
          </cell>
          <cell r="M22">
            <v>0</v>
          </cell>
        </row>
        <row r="23">
          <cell r="B23">
            <v>0</v>
          </cell>
          <cell r="C23" t="str">
            <v>NA</v>
          </cell>
          <cell r="D23">
            <v>0</v>
          </cell>
          <cell r="E23">
            <v>0.2661</v>
          </cell>
          <cell r="F23">
            <v>4.1099999999999998E-2</v>
          </cell>
          <cell r="G23">
            <v>15.768709376688101</v>
          </cell>
          <cell r="H23">
            <v>12.165958940760101</v>
          </cell>
          <cell r="I23">
            <v>7.3693562118017999</v>
          </cell>
          <cell r="J23">
            <v>201435.59236761401</v>
          </cell>
          <cell r="K23">
            <v>121034.408200971</v>
          </cell>
          <cell r="L23">
            <v>1</v>
          </cell>
          <cell r="M23">
            <v>0</v>
          </cell>
        </row>
        <row r="24">
          <cell r="B24">
            <v>0</v>
          </cell>
          <cell r="C24" t="str">
            <v>NA</v>
          </cell>
          <cell r="D24">
            <v>0</v>
          </cell>
          <cell r="E24">
            <v>0.26419999999999999</v>
          </cell>
          <cell r="F24">
            <v>2.9499999999999998E-2</v>
          </cell>
          <cell r="G24">
            <v>16.235215537517099</v>
          </cell>
          <cell r="H24">
            <v>11.534048684980799</v>
          </cell>
          <cell r="I24">
            <v>6.9526146439150702</v>
          </cell>
          <cell r="J24">
            <v>178275.42751673999</v>
          </cell>
          <cell r="K24">
            <v>107116.50914492299</v>
          </cell>
          <cell r="L24">
            <v>1</v>
          </cell>
          <cell r="M24">
            <v>0</v>
          </cell>
        </row>
        <row r="25">
          <cell r="B25">
            <v>0</v>
          </cell>
          <cell r="C25" t="str">
            <v>NA</v>
          </cell>
          <cell r="D25">
            <v>0</v>
          </cell>
          <cell r="E25">
            <v>0.21260000000000001</v>
          </cell>
          <cell r="F25">
            <v>3.4099999999999998E-2</v>
          </cell>
          <cell r="G25">
            <v>17.172672735548201</v>
          </cell>
          <cell r="H25">
            <v>11.610789097067</v>
          </cell>
          <cell r="I25">
            <v>7.0287448154200201</v>
          </cell>
          <cell r="J25">
            <v>242953.79650102201</v>
          </cell>
          <cell r="K25">
            <v>144286.31108066399</v>
          </cell>
          <cell r="L25">
            <v>1</v>
          </cell>
          <cell r="M25">
            <v>0</v>
          </cell>
        </row>
        <row r="26">
          <cell r="B26">
            <v>0</v>
          </cell>
          <cell r="C26" t="str">
            <v>NA</v>
          </cell>
          <cell r="D26">
            <v>0</v>
          </cell>
          <cell r="E26">
            <v>0.16589999999999999</v>
          </cell>
          <cell r="F26">
            <v>4.8300000000000003E-2</v>
          </cell>
          <cell r="G26">
            <v>18.666151000675001</v>
          </cell>
          <cell r="H26">
            <v>14.9640862791559</v>
          </cell>
          <cell r="I26">
            <v>8.9468643858571699</v>
          </cell>
          <cell r="J26">
            <v>222953.78533144001</v>
          </cell>
          <cell r="K26">
            <v>131403.97359176999</v>
          </cell>
          <cell r="L26">
            <v>1</v>
          </cell>
          <cell r="M26">
            <v>0</v>
          </cell>
        </row>
        <row r="27">
          <cell r="B27">
            <v>0</v>
          </cell>
          <cell r="C27" t="str">
            <v>NA</v>
          </cell>
          <cell r="D27">
            <v>0</v>
          </cell>
          <cell r="E27">
            <v>0.1222</v>
          </cell>
          <cell r="F27">
            <v>5.4399999999999997E-2</v>
          </cell>
          <cell r="G27">
            <v>19.290015204175099</v>
          </cell>
          <cell r="H27">
            <v>13.877868487815</v>
          </cell>
          <cell r="I27">
            <v>8.2885112601675797</v>
          </cell>
          <cell r="J27">
            <v>244141.42944247901</v>
          </cell>
          <cell r="K27">
            <v>142718.28437343301</v>
          </cell>
          <cell r="L27">
            <v>1</v>
          </cell>
          <cell r="M27">
            <v>0</v>
          </cell>
        </row>
        <row r="28">
          <cell r="B28">
            <v>0</v>
          </cell>
          <cell r="C28" t="str">
            <v>NA</v>
          </cell>
          <cell r="D28">
            <v>0</v>
          </cell>
          <cell r="E28">
            <v>0.17849999999999999</v>
          </cell>
          <cell r="F28">
            <v>3.8199999999999998E-2</v>
          </cell>
          <cell r="G28">
            <v>17.8627438571665</v>
          </cell>
          <cell r="H28">
            <v>14.113917028267799</v>
          </cell>
          <cell r="I28">
            <v>8.5391348842286394</v>
          </cell>
          <cell r="J28">
            <v>134944.67323142299</v>
          </cell>
          <cell r="K28">
            <v>83327.433858743301</v>
          </cell>
          <cell r="L28">
            <v>1</v>
          </cell>
          <cell r="M28">
            <v>0</v>
          </cell>
        </row>
        <row r="29">
          <cell r="B29">
            <v>0</v>
          </cell>
          <cell r="C29" t="str">
            <v>NA</v>
          </cell>
          <cell r="D29">
            <v>0</v>
          </cell>
          <cell r="E29">
            <v>0.1462</v>
          </cell>
          <cell r="F29">
            <v>3.2000000000000001E-2</v>
          </cell>
          <cell r="G29">
            <v>19.048076387763999</v>
          </cell>
          <cell r="H29">
            <v>13.225221615766801</v>
          </cell>
          <cell r="I29">
            <v>7.9258730118534597</v>
          </cell>
          <cell r="J29">
            <v>194133.26951238501</v>
          </cell>
          <cell r="K29">
            <v>115688.758905514</v>
          </cell>
          <cell r="L29">
            <v>1</v>
          </cell>
          <cell r="M29">
            <v>0</v>
          </cell>
        </row>
        <row r="30">
          <cell r="B30">
            <v>0</v>
          </cell>
          <cell r="C30" t="str">
            <v>NA</v>
          </cell>
          <cell r="D30">
            <v>0</v>
          </cell>
          <cell r="E30">
            <v>0.22520000000000001</v>
          </cell>
          <cell r="F30">
            <v>3.8300000000000001E-2</v>
          </cell>
          <cell r="G30">
            <v>17.850348632632802</v>
          </cell>
          <cell r="H30">
            <v>10.5390919966427</v>
          </cell>
          <cell r="I30">
            <v>6.2600021134513799</v>
          </cell>
          <cell r="J30">
            <v>166012.89851754799</v>
          </cell>
          <cell r="K30">
            <v>98690.947340457395</v>
          </cell>
          <cell r="L30">
            <v>1</v>
          </cell>
          <cell r="M30">
            <v>0</v>
          </cell>
        </row>
        <row r="31">
          <cell r="B31">
            <v>0</v>
          </cell>
          <cell r="C31" t="str">
            <v>NA</v>
          </cell>
          <cell r="D31">
            <v>0</v>
          </cell>
          <cell r="E31">
            <v>0.17849999999999999</v>
          </cell>
          <cell r="F31">
            <v>3.6999999999999998E-2</v>
          </cell>
          <cell r="G31">
            <v>17.7931763722097</v>
          </cell>
          <cell r="H31">
            <v>12.903215293148699</v>
          </cell>
          <cell r="I31">
            <v>7.7883006076900303</v>
          </cell>
          <cell r="J31">
            <v>181117.83596602801</v>
          </cell>
          <cell r="K31">
            <v>109314.959009807</v>
          </cell>
          <cell r="L31">
            <v>1</v>
          </cell>
          <cell r="M31">
            <v>0</v>
          </cell>
        </row>
        <row r="32">
          <cell r="B32">
            <v>0</v>
          </cell>
          <cell r="C32" t="str">
            <v>NA</v>
          </cell>
          <cell r="D32">
            <v>0</v>
          </cell>
          <cell r="E32">
            <v>0.16120000000000001</v>
          </cell>
          <cell r="F32">
            <v>3.3399999999999999E-2</v>
          </cell>
          <cell r="G32">
            <v>18.2956663573577</v>
          </cell>
          <cell r="H32">
            <v>14.085943520027699</v>
          </cell>
          <cell r="I32">
            <v>8.5093135286556194</v>
          </cell>
          <cell r="J32">
            <v>226297.29702165001</v>
          </cell>
          <cell r="K32">
            <v>134796.86901801301</v>
          </cell>
          <cell r="L32">
            <v>1</v>
          </cell>
          <cell r="M32">
            <v>0</v>
          </cell>
        </row>
        <row r="33">
          <cell r="B33">
            <v>0</v>
          </cell>
          <cell r="C33" t="str">
            <v>NA</v>
          </cell>
          <cell r="D33">
            <v>0</v>
          </cell>
          <cell r="E33">
            <v>0.22950000000000001</v>
          </cell>
          <cell r="F33">
            <v>3.6200000000000003E-2</v>
          </cell>
          <cell r="G33">
            <v>18.332041377066499</v>
          </cell>
          <cell r="H33">
            <v>11.082974006656199</v>
          </cell>
          <cell r="I33">
            <v>6.5402613176126003</v>
          </cell>
          <cell r="J33">
            <v>173934.01379252801</v>
          </cell>
          <cell r="K33">
            <v>102360.697812183</v>
          </cell>
          <cell r="L33">
            <v>1</v>
          </cell>
          <cell r="M33">
            <v>0</v>
          </cell>
        </row>
        <row r="34">
          <cell r="B34">
            <v>0</v>
          </cell>
          <cell r="C34" t="str">
            <v>NA</v>
          </cell>
          <cell r="D34">
            <v>0</v>
          </cell>
          <cell r="E34">
            <v>0.21859999999999999</v>
          </cell>
          <cell r="F34">
            <v>3.9699999999999999E-2</v>
          </cell>
          <cell r="G34">
            <v>19.277372661457701</v>
          </cell>
          <cell r="H34">
            <v>14.2933414173889</v>
          </cell>
          <cell r="I34">
            <v>8.3390028905276292</v>
          </cell>
          <cell r="J34">
            <v>174700.58327908101</v>
          </cell>
          <cell r="K34">
            <v>101455.311670005</v>
          </cell>
          <cell r="L34">
            <v>1</v>
          </cell>
          <cell r="M34">
            <v>0</v>
          </cell>
        </row>
        <row r="35">
          <cell r="B35">
            <v>0</v>
          </cell>
          <cell r="C35" t="str">
            <v>NA</v>
          </cell>
          <cell r="D35">
            <v>0</v>
          </cell>
          <cell r="E35">
            <v>0.1522</v>
          </cell>
          <cell r="F35">
            <v>3.95E-2</v>
          </cell>
          <cell r="G35">
            <v>18.982514626753598</v>
          </cell>
          <cell r="H35">
            <v>14.6712968197342</v>
          </cell>
          <cell r="I35">
            <v>8.7820015148803101</v>
          </cell>
          <cell r="J35">
            <v>261415.87788560701</v>
          </cell>
          <cell r="K35">
            <v>153038.50026862201</v>
          </cell>
          <cell r="L35">
            <v>1</v>
          </cell>
          <cell r="M35">
            <v>0</v>
          </cell>
        </row>
        <row r="36">
          <cell r="B36">
            <v>0</v>
          </cell>
          <cell r="C36" t="str">
            <v>NA</v>
          </cell>
          <cell r="D36">
            <v>0</v>
          </cell>
          <cell r="E36">
            <v>0.2172</v>
          </cell>
          <cell r="F36">
            <v>3.5499999999999997E-2</v>
          </cell>
          <cell r="G36">
            <v>19.642383595415101</v>
          </cell>
          <cell r="H36">
            <v>14.8108077519058</v>
          </cell>
          <cell r="I36">
            <v>8.6018122212132297</v>
          </cell>
          <cell r="J36">
            <v>168965.27440372499</v>
          </cell>
          <cell r="K36">
            <v>97628.794437955905</v>
          </cell>
          <cell r="L36">
            <v>1</v>
          </cell>
          <cell r="M36">
            <v>0</v>
          </cell>
        </row>
        <row r="37">
          <cell r="B37">
            <v>0</v>
          </cell>
          <cell r="C37" t="str">
            <v>NA</v>
          </cell>
          <cell r="D37">
            <v>0</v>
          </cell>
          <cell r="E37">
            <v>0.16370000000000001</v>
          </cell>
          <cell r="F37">
            <v>3.8600000000000002E-2</v>
          </cell>
          <cell r="G37">
            <v>19.641126460825699</v>
          </cell>
          <cell r="H37">
            <v>14.129723332724</v>
          </cell>
          <cell r="I37">
            <v>8.3505698362098997</v>
          </cell>
          <cell r="J37">
            <v>225886.00093623501</v>
          </cell>
          <cell r="K37">
            <v>131114.46867427201</v>
          </cell>
          <cell r="L37">
            <v>1</v>
          </cell>
          <cell r="M37">
            <v>0</v>
          </cell>
        </row>
        <row r="38">
          <cell r="B38">
            <v>0</v>
          </cell>
          <cell r="C38" t="str">
            <v>NA</v>
          </cell>
          <cell r="D38">
            <v>0</v>
          </cell>
          <cell r="E38">
            <v>0.16489999999999999</v>
          </cell>
          <cell r="F38">
            <v>4.7300000000000002E-2</v>
          </cell>
          <cell r="G38">
            <v>20.147477623806601</v>
          </cell>
          <cell r="H38">
            <v>15.654316352245701</v>
          </cell>
          <cell r="I38">
            <v>9.1417923809147599</v>
          </cell>
          <cell r="J38">
            <v>224314.64292095299</v>
          </cell>
          <cell r="K38">
            <v>128182.963294473</v>
          </cell>
          <cell r="L38">
            <v>1</v>
          </cell>
          <cell r="M38">
            <v>0</v>
          </cell>
        </row>
        <row r="39">
          <cell r="B39">
            <v>0</v>
          </cell>
          <cell r="C39" t="str">
            <v>NA</v>
          </cell>
          <cell r="D39">
            <v>0</v>
          </cell>
          <cell r="E39">
            <v>0.14960000000000001</v>
          </cell>
          <cell r="F39">
            <v>4.7600000000000003E-2</v>
          </cell>
          <cell r="G39">
            <v>18.486436263226999</v>
          </cell>
          <cell r="H39">
            <v>13.1855897670956</v>
          </cell>
          <cell r="I39">
            <v>7.9305275656690704</v>
          </cell>
          <cell r="J39">
            <v>227741.99367225499</v>
          </cell>
          <cell r="K39">
            <v>134865.02467325301</v>
          </cell>
          <cell r="L39">
            <v>1</v>
          </cell>
          <cell r="M39">
            <v>0</v>
          </cell>
        </row>
        <row r="40">
          <cell r="B40">
            <v>0</v>
          </cell>
          <cell r="C40" t="str">
            <v>NA</v>
          </cell>
          <cell r="D40">
            <v>0</v>
          </cell>
          <cell r="E40">
            <v>0.1401</v>
          </cell>
          <cell r="F40">
            <v>3.8100000000000002E-2</v>
          </cell>
          <cell r="G40">
            <v>17.562527281341101</v>
          </cell>
          <cell r="H40">
            <v>10.987381859021999</v>
          </cell>
          <cell r="I40">
            <v>6.7334919657015702</v>
          </cell>
          <cell r="J40">
            <v>168369.86503471099</v>
          </cell>
          <cell r="K40">
            <v>104087.183111066</v>
          </cell>
          <cell r="L40">
            <v>1</v>
          </cell>
          <cell r="M40">
            <v>0</v>
          </cell>
        </row>
        <row r="41">
          <cell r="B41">
            <v>0</v>
          </cell>
          <cell r="C41" t="str">
            <v>NA</v>
          </cell>
          <cell r="D41">
            <v>0</v>
          </cell>
          <cell r="E41">
            <v>0.17610000000000001</v>
          </cell>
          <cell r="F41">
            <v>3.7100000000000001E-2</v>
          </cell>
          <cell r="G41">
            <v>19.101152213970199</v>
          </cell>
          <cell r="H41">
            <v>14.083591646359601</v>
          </cell>
          <cell r="I41">
            <v>8.3337005047628807</v>
          </cell>
          <cell r="J41">
            <v>316029.079161192</v>
          </cell>
          <cell r="K41">
            <v>180813.664679487</v>
          </cell>
          <cell r="L41">
            <v>1</v>
          </cell>
          <cell r="M41">
            <v>0</v>
          </cell>
        </row>
        <row r="42">
          <cell r="B42">
            <v>0</v>
          </cell>
          <cell r="C42" t="str">
            <v>NA</v>
          </cell>
          <cell r="D42">
            <v>0</v>
          </cell>
          <cell r="E42">
            <v>0.13089999999999999</v>
          </cell>
          <cell r="F42">
            <v>5.9200000000000003E-2</v>
          </cell>
          <cell r="G42">
            <v>19.025499748972599</v>
          </cell>
          <cell r="H42">
            <v>12.6770048994648</v>
          </cell>
          <cell r="I42">
            <v>7.5837255749771</v>
          </cell>
          <cell r="J42">
            <v>149851.35568115301</v>
          </cell>
          <cell r="K42">
            <v>90938.829085085206</v>
          </cell>
          <cell r="L42">
            <v>1</v>
          </cell>
          <cell r="M42">
            <v>0</v>
          </cell>
        </row>
        <row r="43">
          <cell r="B43">
            <v>0</v>
          </cell>
          <cell r="C43" t="str">
            <v>NA</v>
          </cell>
          <cell r="D43">
            <v>0</v>
          </cell>
          <cell r="E43">
            <v>0.21579999999999999</v>
          </cell>
          <cell r="F43">
            <v>4.2900000000000001E-2</v>
          </cell>
          <cell r="G43">
            <v>17.819643977687502</v>
          </cell>
          <cell r="H43">
            <v>12.677836504497799</v>
          </cell>
          <cell r="I43">
            <v>7.5598270811628803</v>
          </cell>
          <cell r="J43">
            <v>152223.89863741599</v>
          </cell>
          <cell r="K43">
            <v>91308.141207028704</v>
          </cell>
          <cell r="L43">
            <v>1</v>
          </cell>
          <cell r="M43">
            <v>0</v>
          </cell>
        </row>
        <row r="44">
          <cell r="B44">
            <v>0</v>
          </cell>
          <cell r="C44" t="str">
            <v>NA</v>
          </cell>
          <cell r="D44">
            <v>0</v>
          </cell>
          <cell r="E44">
            <v>0.15110000000000001</v>
          </cell>
          <cell r="F44">
            <v>4.65E-2</v>
          </cell>
          <cell r="G44">
            <v>19.195211826623499</v>
          </cell>
          <cell r="H44">
            <v>13.3124130581896</v>
          </cell>
          <cell r="I44">
            <v>7.9126231572484196</v>
          </cell>
          <cell r="J44">
            <v>247395.28650257501</v>
          </cell>
          <cell r="K44">
            <v>143879.89647369299</v>
          </cell>
          <cell r="L44">
            <v>1</v>
          </cell>
          <cell r="M44">
            <v>0</v>
          </cell>
        </row>
        <row r="45">
          <cell r="B45">
            <v>0</v>
          </cell>
          <cell r="C45" t="str">
            <v>NA</v>
          </cell>
          <cell r="D45">
            <v>0</v>
          </cell>
          <cell r="E45">
            <v>0.2258</v>
          </cell>
          <cell r="F45">
            <v>3.78E-2</v>
          </cell>
          <cell r="G45">
            <v>17.879088181824901</v>
          </cell>
          <cell r="H45">
            <v>12.9994521914915</v>
          </cell>
          <cell r="I45">
            <v>7.7422517467352696</v>
          </cell>
          <cell r="J45">
            <v>152257.98763858801</v>
          </cell>
          <cell r="K45">
            <v>91288.769533044193</v>
          </cell>
          <cell r="L45">
            <v>1</v>
          </cell>
          <cell r="M45">
            <v>0</v>
          </cell>
        </row>
        <row r="46">
          <cell r="B46">
            <v>0</v>
          </cell>
          <cell r="C46" t="str">
            <v>NA</v>
          </cell>
          <cell r="D46">
            <v>0</v>
          </cell>
          <cell r="E46">
            <v>0.15359999999999999</v>
          </cell>
          <cell r="F46">
            <v>3.8199999999999998E-2</v>
          </cell>
          <cell r="G46">
            <v>18.882989613789999</v>
          </cell>
          <cell r="H46">
            <v>13.3639614958247</v>
          </cell>
          <cell r="I46">
            <v>8.0026213260115604</v>
          </cell>
          <cell r="J46">
            <v>187101.74295918699</v>
          </cell>
          <cell r="K46">
            <v>111773.449635824</v>
          </cell>
          <cell r="L46">
            <v>1</v>
          </cell>
          <cell r="M46">
            <v>0</v>
          </cell>
        </row>
        <row r="47">
          <cell r="B47">
            <v>0</v>
          </cell>
          <cell r="C47" t="str">
            <v>NA</v>
          </cell>
          <cell r="D47">
            <v>0</v>
          </cell>
          <cell r="E47">
            <v>0.16039999999999999</v>
          </cell>
          <cell r="F47">
            <v>3.9600000000000003E-2</v>
          </cell>
          <cell r="G47">
            <v>17.1076711748102</v>
          </cell>
          <cell r="H47">
            <v>13.406277436699799</v>
          </cell>
          <cell r="I47">
            <v>8.2087456123328799</v>
          </cell>
          <cell r="J47">
            <v>179491.77612758</v>
          </cell>
          <cell r="K47">
            <v>110162.82745461899</v>
          </cell>
          <cell r="L47">
            <v>1</v>
          </cell>
          <cell r="M47">
            <v>0</v>
          </cell>
        </row>
        <row r="48">
          <cell r="B48">
            <v>0</v>
          </cell>
          <cell r="C48" t="str">
            <v>NA</v>
          </cell>
          <cell r="D48">
            <v>0</v>
          </cell>
          <cell r="E48">
            <v>0.16950000000000001</v>
          </cell>
          <cell r="F48">
            <v>4.6899999999999997E-2</v>
          </cell>
          <cell r="G48">
            <v>18.587365738631298</v>
          </cell>
          <cell r="H48">
            <v>14.152784035147</v>
          </cell>
          <cell r="I48">
            <v>8.4375131857521808</v>
          </cell>
          <cell r="J48">
            <v>219705.352232907</v>
          </cell>
          <cell r="K48">
            <v>128988.318830737</v>
          </cell>
          <cell r="L48">
            <v>1</v>
          </cell>
          <cell r="M48">
            <v>0</v>
          </cell>
        </row>
        <row r="49">
          <cell r="B49">
            <v>0</v>
          </cell>
          <cell r="C49" t="str">
            <v>NA</v>
          </cell>
          <cell r="D49">
            <v>0</v>
          </cell>
          <cell r="E49">
            <v>0.14169999999999999</v>
          </cell>
          <cell r="F49">
            <v>5.6399999999999999E-2</v>
          </cell>
          <cell r="G49">
            <v>18.920094354886199</v>
          </cell>
          <cell r="H49">
            <v>15.6472097223094</v>
          </cell>
          <cell r="I49">
            <v>9.3273708502810795</v>
          </cell>
          <cell r="J49">
            <v>206742.90232025899</v>
          </cell>
          <cell r="K49">
            <v>122163.926756056</v>
          </cell>
          <cell r="L49">
            <v>1</v>
          </cell>
          <cell r="M49">
            <v>0</v>
          </cell>
        </row>
        <row r="50">
          <cell r="B50">
            <v>0</v>
          </cell>
          <cell r="C50" t="str">
            <v>NA</v>
          </cell>
          <cell r="D50">
            <v>0</v>
          </cell>
          <cell r="E50">
            <v>0.21260000000000001</v>
          </cell>
          <cell r="F50">
            <v>4.6300000000000001E-2</v>
          </cell>
          <cell r="G50">
            <v>16.410296003410899</v>
          </cell>
          <cell r="H50">
            <v>11.9423188362227</v>
          </cell>
          <cell r="I50">
            <v>7.28241753957942</v>
          </cell>
          <cell r="J50">
            <v>137773.495835051</v>
          </cell>
          <cell r="K50">
            <v>85700.7664756343</v>
          </cell>
          <cell r="L50">
            <v>1</v>
          </cell>
          <cell r="M50">
            <v>0</v>
          </cell>
        </row>
        <row r="51">
          <cell r="B51">
            <v>0</v>
          </cell>
          <cell r="C51" t="str">
            <v>NA</v>
          </cell>
          <cell r="D51">
            <v>0</v>
          </cell>
          <cell r="E51">
            <v>0.1216</v>
          </cell>
          <cell r="F51">
            <v>4.48E-2</v>
          </cell>
          <cell r="G51">
            <v>19.550749552436798</v>
          </cell>
          <cell r="H51">
            <v>14.390978274191999</v>
          </cell>
          <cell r="I51">
            <v>8.5709996374895994</v>
          </cell>
          <cell r="J51">
            <v>185713.91403887601</v>
          </cell>
          <cell r="K51">
            <v>110148.7760427</v>
          </cell>
          <cell r="L51">
            <v>1</v>
          </cell>
          <cell r="M51">
            <v>0</v>
          </cell>
        </row>
        <row r="52">
          <cell r="B52">
            <v>0</v>
          </cell>
          <cell r="C52" t="str">
            <v>NA</v>
          </cell>
          <cell r="D52">
            <v>0</v>
          </cell>
          <cell r="E52">
            <v>0.2044</v>
          </cell>
          <cell r="F52">
            <v>4.2299999999999997E-2</v>
          </cell>
          <cell r="G52">
            <v>18.6156946524932</v>
          </cell>
          <cell r="H52">
            <v>12.5686338888897</v>
          </cell>
          <cell r="I52">
            <v>7.4138592741940803</v>
          </cell>
          <cell r="J52">
            <v>173591.54625831801</v>
          </cell>
          <cell r="K52">
            <v>102169.739651207</v>
          </cell>
          <cell r="L52">
            <v>1</v>
          </cell>
          <cell r="M52">
            <v>0</v>
          </cell>
        </row>
        <row r="53">
          <cell r="B53">
            <v>0</v>
          </cell>
          <cell r="C53" t="str">
            <v>NA</v>
          </cell>
          <cell r="D53">
            <v>0</v>
          </cell>
          <cell r="E53">
            <v>0.13389999999999999</v>
          </cell>
          <cell r="F53">
            <v>4.6800000000000001E-2</v>
          </cell>
          <cell r="G53">
            <v>17.204130657160299</v>
          </cell>
          <cell r="H53">
            <v>12.4022264375366</v>
          </cell>
          <cell r="I53">
            <v>7.6313830974143304</v>
          </cell>
          <cell r="J53">
            <v>189022.952485282</v>
          </cell>
          <cell r="K53">
            <v>116299.404807806</v>
          </cell>
          <cell r="L53">
            <v>1</v>
          </cell>
          <cell r="M53">
            <v>0</v>
          </cell>
        </row>
        <row r="54">
          <cell r="B54">
            <v>0</v>
          </cell>
          <cell r="C54" t="str">
            <v>NA</v>
          </cell>
          <cell r="D54">
            <v>0</v>
          </cell>
          <cell r="E54">
            <v>0.188</v>
          </cell>
          <cell r="F54">
            <v>5.1400000000000001E-2</v>
          </cell>
          <cell r="G54">
            <v>18.707179057430899</v>
          </cell>
          <cell r="H54">
            <v>14.775213544287601</v>
          </cell>
          <cell r="I54">
            <v>8.7470303995825294</v>
          </cell>
          <cell r="J54">
            <v>217638.22190017099</v>
          </cell>
          <cell r="K54">
            <v>126580.253598371</v>
          </cell>
          <cell r="L54">
            <v>1</v>
          </cell>
          <cell r="M54">
            <v>0</v>
          </cell>
        </row>
        <row r="55">
          <cell r="B55">
            <v>0</v>
          </cell>
          <cell r="C55" t="str">
            <v>NA</v>
          </cell>
          <cell r="D55">
            <v>0</v>
          </cell>
          <cell r="E55">
            <v>0.2331</v>
          </cell>
          <cell r="F55">
            <v>4.82E-2</v>
          </cell>
          <cell r="G55">
            <v>17.045005639755999</v>
          </cell>
          <cell r="H55">
            <v>11.4371587769588</v>
          </cell>
          <cell r="I55">
            <v>6.8561876993753899</v>
          </cell>
          <cell r="J55">
            <v>140715.894073745</v>
          </cell>
          <cell r="K55">
            <v>85599.709118127095</v>
          </cell>
          <cell r="L55">
            <v>1</v>
          </cell>
          <cell r="M55">
            <v>0</v>
          </cell>
        </row>
        <row r="56">
          <cell r="B56">
            <v>0</v>
          </cell>
          <cell r="C56" t="str">
            <v>NA</v>
          </cell>
          <cell r="D56">
            <v>0</v>
          </cell>
          <cell r="E56">
            <v>0.13059999999999999</v>
          </cell>
          <cell r="F56">
            <v>3.8699999999999998E-2</v>
          </cell>
          <cell r="G56">
            <v>18.153232475643701</v>
          </cell>
          <cell r="H56">
            <v>13.4901414182727</v>
          </cell>
          <cell r="I56">
            <v>8.2258938613866892</v>
          </cell>
          <cell r="J56">
            <v>263942.724149402</v>
          </cell>
          <cell r="K56">
            <v>157700.946022241</v>
          </cell>
          <cell r="L56">
            <v>1</v>
          </cell>
          <cell r="M56">
            <v>0</v>
          </cell>
        </row>
        <row r="57">
          <cell r="B57">
            <v>0</v>
          </cell>
          <cell r="C57" t="str">
            <v>NA</v>
          </cell>
          <cell r="D57">
            <v>0</v>
          </cell>
          <cell r="E57">
            <v>0.14940000000000001</v>
          </cell>
          <cell r="F57">
            <v>4.1200000000000001E-2</v>
          </cell>
          <cell r="G57">
            <v>16.603087931497001</v>
          </cell>
          <cell r="H57">
            <v>11.9108212599035</v>
          </cell>
          <cell r="I57">
            <v>7.3773672563600696</v>
          </cell>
          <cell r="J57">
            <v>164395.869340212</v>
          </cell>
          <cell r="K57">
            <v>102487.70368649899</v>
          </cell>
          <cell r="L57">
            <v>1</v>
          </cell>
          <cell r="M57">
            <v>0</v>
          </cell>
        </row>
        <row r="58">
          <cell r="B58">
            <v>0</v>
          </cell>
          <cell r="C58" t="str">
            <v>NA</v>
          </cell>
          <cell r="D58">
            <v>0</v>
          </cell>
          <cell r="E58">
            <v>0.1774</v>
          </cell>
          <cell r="F58">
            <v>4.6100000000000002E-2</v>
          </cell>
          <cell r="G58">
            <v>18.050287897337</v>
          </cell>
          <cell r="H58">
            <v>12.543687486148601</v>
          </cell>
          <cell r="I58">
            <v>7.5221759207551999</v>
          </cell>
          <cell r="J58">
            <v>180881.789049474</v>
          </cell>
          <cell r="K58">
            <v>108078.376118646</v>
          </cell>
          <cell r="L58">
            <v>1</v>
          </cell>
          <cell r="M58">
            <v>0</v>
          </cell>
        </row>
        <row r="59">
          <cell r="B59">
            <v>0</v>
          </cell>
          <cell r="C59" t="str">
            <v>NA</v>
          </cell>
          <cell r="D59">
            <v>0</v>
          </cell>
          <cell r="E59">
            <v>0.16919999999999999</v>
          </cell>
          <cell r="F59">
            <v>2.4400000000000002E-2</v>
          </cell>
          <cell r="G59">
            <v>18.182945513147899</v>
          </cell>
          <cell r="H59">
            <v>12.2854679567884</v>
          </cell>
          <cell r="I59">
            <v>7.42088259985512</v>
          </cell>
          <cell r="J59">
            <v>160653.86982034799</v>
          </cell>
          <cell r="K59">
            <v>97939.465667288998</v>
          </cell>
          <cell r="L59">
            <v>1</v>
          </cell>
          <cell r="M59">
            <v>0</v>
          </cell>
        </row>
        <row r="60">
          <cell r="B60">
            <v>0</v>
          </cell>
          <cell r="C60" t="str">
            <v>NA</v>
          </cell>
          <cell r="D60">
            <v>0</v>
          </cell>
          <cell r="E60">
            <v>0.22689999999999999</v>
          </cell>
          <cell r="F60">
            <v>4.2700000000000002E-2</v>
          </cell>
          <cell r="G60">
            <v>16.296886388506199</v>
          </cell>
          <cell r="H60">
            <v>13.364644356521699</v>
          </cell>
          <cell r="I60">
            <v>8.1657011672855795</v>
          </cell>
          <cell r="J60">
            <v>149037.53871329199</v>
          </cell>
          <cell r="K60">
            <v>92227.704655291294</v>
          </cell>
          <cell r="L60">
            <v>1</v>
          </cell>
          <cell r="M60">
            <v>0</v>
          </cell>
        </row>
        <row r="61">
          <cell r="B61">
            <v>0</v>
          </cell>
          <cell r="C61" t="str">
            <v>NA</v>
          </cell>
          <cell r="D61">
            <v>0</v>
          </cell>
          <cell r="E61">
            <v>0.19719999999999999</v>
          </cell>
          <cell r="F61">
            <v>4.5100000000000001E-2</v>
          </cell>
          <cell r="G61">
            <v>17.368673315057102</v>
          </cell>
          <cell r="H61">
            <v>13.161007501065299</v>
          </cell>
          <cell r="I61">
            <v>7.9569844564634904</v>
          </cell>
          <cell r="J61">
            <v>188442.07815816099</v>
          </cell>
          <cell r="K61">
            <v>113355.62644760001</v>
          </cell>
          <cell r="L61">
            <v>1</v>
          </cell>
          <cell r="M61">
            <v>0</v>
          </cell>
        </row>
        <row r="62">
          <cell r="B62">
            <v>0</v>
          </cell>
          <cell r="C62" t="str">
            <v>NA</v>
          </cell>
          <cell r="D62">
            <v>0</v>
          </cell>
          <cell r="E62">
            <v>0.21490000000000001</v>
          </cell>
          <cell r="F62">
            <v>5.6899999999999999E-2</v>
          </cell>
          <cell r="G62">
            <v>17.111237365960299</v>
          </cell>
          <cell r="H62">
            <v>12.6950852494874</v>
          </cell>
          <cell r="I62">
            <v>7.6576342277383098</v>
          </cell>
          <cell r="J62">
            <v>204236.094642212</v>
          </cell>
          <cell r="K62">
            <v>121775.64050457301</v>
          </cell>
          <cell r="L62">
            <v>1</v>
          </cell>
          <cell r="M62">
            <v>0</v>
          </cell>
        </row>
        <row r="63">
          <cell r="B63">
            <v>0</v>
          </cell>
          <cell r="C63" t="str">
            <v>NA</v>
          </cell>
          <cell r="D63">
            <v>0</v>
          </cell>
          <cell r="E63">
            <v>0.26090000000000002</v>
          </cell>
          <cell r="F63">
            <v>3.5400000000000001E-2</v>
          </cell>
          <cell r="G63">
            <v>16.522072871804198</v>
          </cell>
          <cell r="H63">
            <v>12.1072369022644</v>
          </cell>
          <cell r="I63">
            <v>7.2556380650336996</v>
          </cell>
          <cell r="J63">
            <v>220321.75232150001</v>
          </cell>
          <cell r="K63">
            <v>129944.98366887801</v>
          </cell>
          <cell r="L63">
            <v>1</v>
          </cell>
          <cell r="M63">
            <v>0</v>
          </cell>
        </row>
        <row r="64">
          <cell r="B64">
            <v>0</v>
          </cell>
          <cell r="C64" t="str">
            <v>NA</v>
          </cell>
          <cell r="D64">
            <v>0</v>
          </cell>
          <cell r="E64">
            <v>0.22</v>
          </cell>
          <cell r="F64">
            <v>3.6700000000000003E-2</v>
          </cell>
          <cell r="G64">
            <v>16.3523099768849</v>
          </cell>
          <cell r="H64">
            <v>11.348451895949401</v>
          </cell>
          <cell r="I64">
            <v>6.9414074647197204</v>
          </cell>
          <cell r="J64">
            <v>156466.27872292299</v>
          </cell>
          <cell r="K64">
            <v>96734.831398788097</v>
          </cell>
          <cell r="L64">
            <v>1</v>
          </cell>
          <cell r="M64">
            <v>0</v>
          </cell>
        </row>
        <row r="65">
          <cell r="B65">
            <v>0</v>
          </cell>
          <cell r="C65" t="str">
            <v>NA</v>
          </cell>
          <cell r="D65">
            <v>0</v>
          </cell>
          <cell r="E65">
            <v>0.22589999999999999</v>
          </cell>
          <cell r="F65">
            <v>3.6700000000000003E-2</v>
          </cell>
          <cell r="G65">
            <v>18.104089258886301</v>
          </cell>
          <cell r="H65">
            <v>12.2120910008853</v>
          </cell>
          <cell r="I65">
            <v>7.2307975040005203</v>
          </cell>
          <cell r="J65">
            <v>264240.22993600997</v>
          </cell>
          <cell r="K65">
            <v>151963.26382434901</v>
          </cell>
          <cell r="L65">
            <v>1</v>
          </cell>
          <cell r="M65">
            <v>0</v>
          </cell>
        </row>
        <row r="66">
          <cell r="B66">
            <v>0</v>
          </cell>
          <cell r="C66" t="str">
            <v>NA</v>
          </cell>
          <cell r="D66">
            <v>0</v>
          </cell>
          <cell r="E66">
            <v>0.17730000000000001</v>
          </cell>
          <cell r="F66">
            <v>3.1300000000000001E-2</v>
          </cell>
          <cell r="G66">
            <v>20.304444764188599</v>
          </cell>
          <cell r="H66">
            <v>16.0193620092701</v>
          </cell>
          <cell r="I66">
            <v>9.3321076244706695</v>
          </cell>
          <cell r="J66">
            <v>251031.68982733399</v>
          </cell>
          <cell r="K66">
            <v>142397.77910785799</v>
          </cell>
          <cell r="L66">
            <v>1</v>
          </cell>
          <cell r="M66">
            <v>0</v>
          </cell>
        </row>
        <row r="67">
          <cell r="B67">
            <v>0</v>
          </cell>
          <cell r="C67" t="str">
            <v>NA</v>
          </cell>
          <cell r="D67">
            <v>0</v>
          </cell>
          <cell r="E67">
            <v>0.1492</v>
          </cell>
          <cell r="F67">
            <v>4.48E-2</v>
          </cell>
          <cell r="G67">
            <v>18.1717602768794</v>
          </cell>
          <cell r="H67">
            <v>11.528227901697599</v>
          </cell>
          <cell r="I67">
            <v>6.9785964835108798</v>
          </cell>
          <cell r="J67">
            <v>260246.727160271</v>
          </cell>
          <cell r="K67">
            <v>154037.81024348701</v>
          </cell>
          <cell r="L67">
            <v>1</v>
          </cell>
          <cell r="M67">
            <v>0</v>
          </cell>
        </row>
        <row r="68">
          <cell r="B68">
            <v>0</v>
          </cell>
          <cell r="C68" t="str">
            <v>NA</v>
          </cell>
          <cell r="D68">
            <v>0</v>
          </cell>
          <cell r="E68">
            <v>0.19600000000000001</v>
          </cell>
          <cell r="F68">
            <v>3.8800000000000001E-2</v>
          </cell>
          <cell r="G68">
            <v>17.330914898706801</v>
          </cell>
          <cell r="H68">
            <v>12.819344107764699</v>
          </cell>
          <cell r="I68">
            <v>7.7904413729039499</v>
          </cell>
          <cell r="J68">
            <v>188362.98584968201</v>
          </cell>
          <cell r="K68">
            <v>113967.425599346</v>
          </cell>
          <cell r="L68">
            <v>1</v>
          </cell>
          <cell r="M68">
            <v>0</v>
          </cell>
        </row>
        <row r="69">
          <cell r="B69">
            <v>0</v>
          </cell>
          <cell r="C69" t="str">
            <v>NA</v>
          </cell>
          <cell r="D69">
            <v>0</v>
          </cell>
          <cell r="E69">
            <v>0.19400000000000001</v>
          </cell>
          <cell r="F69">
            <v>4.9099999999999998E-2</v>
          </cell>
          <cell r="G69">
            <v>18.595324593159201</v>
          </cell>
          <cell r="H69">
            <v>13.905045723379001</v>
          </cell>
          <cell r="I69">
            <v>8.2107437736350306</v>
          </cell>
          <cell r="J69">
            <v>207447.81870931201</v>
          </cell>
          <cell r="K69">
            <v>120645.67188921401</v>
          </cell>
          <cell r="L69">
            <v>1</v>
          </cell>
          <cell r="M69">
            <v>0</v>
          </cell>
        </row>
        <row r="70">
          <cell r="B70">
            <v>0</v>
          </cell>
          <cell r="C70" t="str">
            <v>NA</v>
          </cell>
          <cell r="D70">
            <v>0</v>
          </cell>
          <cell r="E70">
            <v>0.1792</v>
          </cell>
          <cell r="F70">
            <v>3.3700000000000001E-2</v>
          </cell>
          <cell r="G70">
            <v>18.245609490100101</v>
          </cell>
          <cell r="H70">
            <v>11.007008928388499</v>
          </cell>
          <cell r="I70">
            <v>6.6156031332715699</v>
          </cell>
          <cell r="J70">
            <v>213998.19289111401</v>
          </cell>
          <cell r="K70">
            <v>126840.92675379899</v>
          </cell>
          <cell r="L70">
            <v>1</v>
          </cell>
          <cell r="M70">
            <v>0</v>
          </cell>
        </row>
        <row r="71">
          <cell r="B71">
            <v>0</v>
          </cell>
          <cell r="C71" t="str">
            <v>NA</v>
          </cell>
          <cell r="D71">
            <v>0</v>
          </cell>
          <cell r="E71">
            <v>0.12740000000000001</v>
          </cell>
          <cell r="F71">
            <v>4.3900000000000002E-2</v>
          </cell>
          <cell r="G71">
            <v>17.860002903043501</v>
          </cell>
          <cell r="H71">
            <v>13.195436825586899</v>
          </cell>
          <cell r="I71">
            <v>8.0475904991720704</v>
          </cell>
          <cell r="J71">
            <v>202399.403708314</v>
          </cell>
          <cell r="K71">
            <v>122668.162394516</v>
          </cell>
          <cell r="L71">
            <v>1</v>
          </cell>
          <cell r="M71">
            <v>0</v>
          </cell>
        </row>
        <row r="72">
          <cell r="B72">
            <v>0</v>
          </cell>
          <cell r="C72" t="str">
            <v>NA</v>
          </cell>
          <cell r="D72">
            <v>0</v>
          </cell>
          <cell r="E72">
            <v>0.129</v>
          </cell>
          <cell r="F72">
            <v>3.0099999999999998E-2</v>
          </cell>
          <cell r="G72">
            <v>19.8013734274375</v>
          </cell>
          <cell r="H72">
            <v>15.4933847372368</v>
          </cell>
          <cell r="I72">
            <v>9.2182715019071306</v>
          </cell>
          <cell r="J72">
            <v>236368.32917533201</v>
          </cell>
          <cell r="K72">
            <v>138297.89507028699</v>
          </cell>
          <cell r="L72">
            <v>1</v>
          </cell>
          <cell r="M72">
            <v>0</v>
          </cell>
        </row>
        <row r="73">
          <cell r="B73">
            <v>0</v>
          </cell>
          <cell r="C73" t="str">
            <v>NA</v>
          </cell>
          <cell r="D73">
            <v>0</v>
          </cell>
          <cell r="E73">
            <v>0.22209999999999999</v>
          </cell>
          <cell r="F73">
            <v>3.8899999999999997E-2</v>
          </cell>
          <cell r="G73">
            <v>16.7503492243595</v>
          </cell>
          <cell r="H73">
            <v>13.0021472234626</v>
          </cell>
          <cell r="I73">
            <v>7.9003857479399198</v>
          </cell>
          <cell r="J73">
            <v>205823.394570098</v>
          </cell>
          <cell r="K73">
            <v>123725.672227755</v>
          </cell>
          <cell r="L73">
            <v>1</v>
          </cell>
          <cell r="M73">
            <v>0</v>
          </cell>
        </row>
        <row r="74">
          <cell r="B74">
            <v>0</v>
          </cell>
          <cell r="C74" t="str">
            <v>NA</v>
          </cell>
          <cell r="D74">
            <v>0</v>
          </cell>
          <cell r="E74">
            <v>0.18840000000000001</v>
          </cell>
          <cell r="F74">
            <v>3.39E-2</v>
          </cell>
          <cell r="G74">
            <v>18.5847250308464</v>
          </cell>
          <cell r="H74">
            <v>12.3117822869512</v>
          </cell>
          <cell r="I74">
            <v>7.3524188137148503</v>
          </cell>
          <cell r="J74">
            <v>208979.42881162601</v>
          </cell>
          <cell r="K74">
            <v>123143.477808654</v>
          </cell>
          <cell r="L74">
            <v>1</v>
          </cell>
          <cell r="M74">
            <v>0</v>
          </cell>
        </row>
        <row r="75">
          <cell r="B75">
            <v>0</v>
          </cell>
          <cell r="C75" t="str">
            <v>NA</v>
          </cell>
          <cell r="D75">
            <v>0</v>
          </cell>
          <cell r="E75">
            <v>0.18909999999999999</v>
          </cell>
          <cell r="F75">
            <v>4.65E-2</v>
          </cell>
          <cell r="G75">
            <v>17.679138216840201</v>
          </cell>
          <cell r="H75">
            <v>12.103361095404299</v>
          </cell>
          <cell r="I75">
            <v>7.2711699570974</v>
          </cell>
          <cell r="J75">
            <v>174107.14909164899</v>
          </cell>
          <cell r="K75">
            <v>104642.302760946</v>
          </cell>
          <cell r="L75">
            <v>1</v>
          </cell>
          <cell r="M75">
            <v>0</v>
          </cell>
        </row>
        <row r="76">
          <cell r="B76">
            <v>0</v>
          </cell>
          <cell r="C76" t="str">
            <v>NA</v>
          </cell>
          <cell r="D76">
            <v>0</v>
          </cell>
          <cell r="E76">
            <v>0.28210000000000002</v>
          </cell>
          <cell r="F76">
            <v>2.4E-2</v>
          </cell>
          <cell r="G76">
            <v>16.5627496932204</v>
          </cell>
          <cell r="H76">
            <v>12.2830117592482</v>
          </cell>
          <cell r="I76">
            <v>7.3622335366589899</v>
          </cell>
          <cell r="J76">
            <v>152738.77360349099</v>
          </cell>
          <cell r="K76">
            <v>92203.999009342893</v>
          </cell>
          <cell r="L76">
            <v>1</v>
          </cell>
          <cell r="M76">
            <v>0</v>
          </cell>
        </row>
        <row r="77">
          <cell r="B77">
            <v>0</v>
          </cell>
          <cell r="C77" t="str">
            <v>NA</v>
          </cell>
          <cell r="D77">
            <v>0</v>
          </cell>
          <cell r="E77">
            <v>0.29310000000000003</v>
          </cell>
          <cell r="F77">
            <v>4.5499999999999999E-2</v>
          </cell>
          <cell r="G77">
            <v>15.655940192760999</v>
          </cell>
          <cell r="H77">
            <v>12.6981760910283</v>
          </cell>
          <cell r="I77">
            <v>7.6281986588230204</v>
          </cell>
          <cell r="J77">
            <v>156597.89651178001</v>
          </cell>
          <cell r="K77">
            <v>94429.890958861797</v>
          </cell>
          <cell r="L77">
            <v>1</v>
          </cell>
          <cell r="M77">
            <v>0</v>
          </cell>
        </row>
        <row r="78">
          <cell r="B78">
            <v>0</v>
          </cell>
          <cell r="C78" t="str">
            <v>NA</v>
          </cell>
          <cell r="D78">
            <v>0</v>
          </cell>
          <cell r="E78">
            <v>0.26140000000000002</v>
          </cell>
          <cell r="F78">
            <v>4.8099999999999997E-2</v>
          </cell>
          <cell r="G78">
            <v>17.260250189631101</v>
          </cell>
          <cell r="H78">
            <v>11.9442514582224</v>
          </cell>
          <cell r="I78">
            <v>7.0586176895829196</v>
          </cell>
          <cell r="J78">
            <v>208538.96342214401</v>
          </cell>
          <cell r="K78">
            <v>121149.401234654</v>
          </cell>
          <cell r="L78">
            <v>1</v>
          </cell>
          <cell r="M78">
            <v>0</v>
          </cell>
        </row>
        <row r="79">
          <cell r="B79">
            <v>0</v>
          </cell>
          <cell r="C79" t="str">
            <v>NA</v>
          </cell>
          <cell r="D79">
            <v>0</v>
          </cell>
          <cell r="E79">
            <v>0.1082</v>
          </cell>
          <cell r="F79">
            <v>3.1899999999999998E-2</v>
          </cell>
          <cell r="G79">
            <v>18.031794194762799</v>
          </cell>
          <cell r="H79">
            <v>13.5562419319964</v>
          </cell>
          <cell r="I79">
            <v>8.3319711060054704</v>
          </cell>
          <cell r="J79">
            <v>194912.145258668</v>
          </cell>
          <cell r="K79">
            <v>119732.59429152901</v>
          </cell>
          <cell r="L79">
            <v>1</v>
          </cell>
          <cell r="M79">
            <v>0</v>
          </cell>
        </row>
        <row r="80">
          <cell r="B80">
            <v>0</v>
          </cell>
          <cell r="C80" t="str">
            <v>NA</v>
          </cell>
          <cell r="D80">
            <v>0</v>
          </cell>
          <cell r="E80">
            <v>0.121</v>
          </cell>
          <cell r="F80">
            <v>3.1399999999999997E-2</v>
          </cell>
          <cell r="G80">
            <v>19.924326252509601</v>
          </cell>
          <cell r="H80">
            <v>13.5727548414861</v>
          </cell>
          <cell r="I80">
            <v>8.1013847899556097</v>
          </cell>
          <cell r="J80">
            <v>245469.23247286299</v>
          </cell>
          <cell r="K80">
            <v>143757.818586173</v>
          </cell>
          <cell r="L80">
            <v>1</v>
          </cell>
          <cell r="M80">
            <v>0</v>
          </cell>
        </row>
        <row r="81">
          <cell r="B81">
            <v>0</v>
          </cell>
          <cell r="C81" t="str">
            <v>NA</v>
          </cell>
          <cell r="D81">
            <v>0</v>
          </cell>
          <cell r="E81">
            <v>0.31719999999999998</v>
          </cell>
          <cell r="F81">
            <v>3.3099999999999997E-2</v>
          </cell>
          <cell r="G81">
            <v>15.773774492804</v>
          </cell>
          <cell r="H81">
            <v>11.707931891946901</v>
          </cell>
          <cell r="I81">
            <v>6.9807513022685299</v>
          </cell>
          <cell r="J81">
            <v>156996.32277040099</v>
          </cell>
          <cell r="K81">
            <v>93787.599469861394</v>
          </cell>
          <cell r="L81">
            <v>1</v>
          </cell>
          <cell r="M81">
            <v>0</v>
          </cell>
        </row>
        <row r="82">
          <cell r="B82">
            <v>0</v>
          </cell>
          <cell r="C82" t="str">
            <v>NA</v>
          </cell>
          <cell r="D82">
            <v>0</v>
          </cell>
          <cell r="E82">
            <v>0.25700000000000001</v>
          </cell>
          <cell r="F82">
            <v>3.4299999999999997E-2</v>
          </cell>
          <cell r="G82">
            <v>16.996023455958898</v>
          </cell>
          <cell r="H82">
            <v>13.4799847270536</v>
          </cell>
          <cell r="I82">
            <v>8.0546664788522904</v>
          </cell>
          <cell r="J82">
            <v>189385.789962346</v>
          </cell>
          <cell r="K82">
            <v>112281.57684077301</v>
          </cell>
          <cell r="L82">
            <v>1</v>
          </cell>
          <cell r="M82">
            <v>0</v>
          </cell>
        </row>
        <row r="83">
          <cell r="B83">
            <v>0</v>
          </cell>
          <cell r="C83" t="str">
            <v>NA</v>
          </cell>
          <cell r="D83">
            <v>0</v>
          </cell>
          <cell r="E83">
            <v>0.14749999999999999</v>
          </cell>
          <cell r="F83">
            <v>3.8699999999999998E-2</v>
          </cell>
          <cell r="G83">
            <v>19.576865825527602</v>
          </cell>
          <cell r="H83">
            <v>13.6959375817351</v>
          </cell>
          <cell r="I83">
            <v>8.1080883032722504</v>
          </cell>
          <cell r="J83">
            <v>255921.33853402399</v>
          </cell>
          <cell r="K83">
            <v>147848.712483574</v>
          </cell>
          <cell r="L83">
            <v>1</v>
          </cell>
          <cell r="M83">
            <v>0</v>
          </cell>
        </row>
        <row r="84">
          <cell r="B84">
            <v>0</v>
          </cell>
          <cell r="C84" t="str">
            <v>NA</v>
          </cell>
          <cell r="D84">
            <v>0</v>
          </cell>
          <cell r="E84">
            <v>0.15240000000000001</v>
          </cell>
          <cell r="F84">
            <v>2.47E-2</v>
          </cell>
          <cell r="G84">
            <v>19.211645996886102</v>
          </cell>
          <cell r="H84">
            <v>13.556643136920799</v>
          </cell>
          <cell r="I84">
            <v>8.1104035683648608</v>
          </cell>
          <cell r="J84">
            <v>176838.42303201</v>
          </cell>
          <cell r="K84">
            <v>105877.33847032901</v>
          </cell>
          <cell r="L84">
            <v>1</v>
          </cell>
          <cell r="M84">
            <v>0</v>
          </cell>
        </row>
        <row r="85">
          <cell r="B85">
            <v>0</v>
          </cell>
          <cell r="C85" t="str">
            <v>NA</v>
          </cell>
          <cell r="D85">
            <v>0</v>
          </cell>
          <cell r="E85">
            <v>0.22020000000000001</v>
          </cell>
          <cell r="F85">
            <v>4.41E-2</v>
          </cell>
          <cell r="G85">
            <v>16.612805879367599</v>
          </cell>
          <cell r="H85">
            <v>12.383919326095199</v>
          </cell>
          <cell r="I85">
            <v>7.5144449500522397</v>
          </cell>
          <cell r="J85">
            <v>124232.441641987</v>
          </cell>
          <cell r="K85">
            <v>77283.183813886601</v>
          </cell>
          <cell r="L85">
            <v>1</v>
          </cell>
          <cell r="M85">
            <v>0</v>
          </cell>
        </row>
        <row r="86">
          <cell r="B86">
            <v>0</v>
          </cell>
          <cell r="C86" t="str">
            <v>NA</v>
          </cell>
          <cell r="D86">
            <v>0</v>
          </cell>
          <cell r="E86">
            <v>0.1668</v>
          </cell>
          <cell r="F86">
            <v>3.9100000000000003E-2</v>
          </cell>
          <cell r="G86">
            <v>16.992573057424501</v>
          </cell>
          <cell r="H86">
            <v>11.867988725792401</v>
          </cell>
          <cell r="I86">
            <v>7.2636584686151897</v>
          </cell>
          <cell r="J86">
            <v>153776.96004319901</v>
          </cell>
          <cell r="K86">
            <v>95237.664290673099</v>
          </cell>
          <cell r="L86">
            <v>1</v>
          </cell>
          <cell r="M86">
            <v>0</v>
          </cell>
        </row>
        <row r="87">
          <cell r="B87">
            <v>0</v>
          </cell>
          <cell r="C87" t="str">
            <v>NA</v>
          </cell>
          <cell r="D87">
            <v>0</v>
          </cell>
          <cell r="E87">
            <v>0.21729999999999999</v>
          </cell>
          <cell r="F87">
            <v>3.39E-2</v>
          </cell>
          <cell r="G87">
            <v>15.8474207819371</v>
          </cell>
          <cell r="H87">
            <v>12.4474378030041</v>
          </cell>
          <cell r="I87">
            <v>7.6921697362217003</v>
          </cell>
          <cell r="J87">
            <v>171023.00174892301</v>
          </cell>
          <cell r="K87">
            <v>106154.20352213801</v>
          </cell>
          <cell r="L87">
            <v>1</v>
          </cell>
          <cell r="M87">
            <v>0</v>
          </cell>
        </row>
        <row r="88">
          <cell r="B88">
            <v>0</v>
          </cell>
          <cell r="C88" t="str">
            <v>NA</v>
          </cell>
          <cell r="D88">
            <v>0</v>
          </cell>
          <cell r="E88">
            <v>0.15759999999999999</v>
          </cell>
          <cell r="F88">
            <v>4.2900000000000001E-2</v>
          </cell>
          <cell r="G88">
            <v>17.82104338693</v>
          </cell>
          <cell r="H88">
            <v>12.1263153198149</v>
          </cell>
          <cell r="I88">
            <v>7.37197193030606</v>
          </cell>
          <cell r="J88">
            <v>184291.397195506</v>
          </cell>
          <cell r="K88">
            <v>111991.790066712</v>
          </cell>
          <cell r="L88">
            <v>1</v>
          </cell>
          <cell r="M88">
            <v>0</v>
          </cell>
        </row>
        <row r="89">
          <cell r="B89">
            <v>0</v>
          </cell>
          <cell r="C89" t="str">
            <v>NA</v>
          </cell>
          <cell r="D89">
            <v>0</v>
          </cell>
          <cell r="E89">
            <v>0.2019</v>
          </cell>
          <cell r="F89">
            <v>4.6100000000000002E-2</v>
          </cell>
          <cell r="G89">
            <v>17.439053135938799</v>
          </cell>
          <cell r="H89">
            <v>12.4564060802978</v>
          </cell>
          <cell r="I89">
            <v>7.4801005147230901</v>
          </cell>
          <cell r="J89">
            <v>231859.678806296</v>
          </cell>
          <cell r="K89">
            <v>136825.15593896501</v>
          </cell>
          <cell r="L89">
            <v>1</v>
          </cell>
          <cell r="M89">
            <v>0</v>
          </cell>
        </row>
        <row r="90">
          <cell r="B90">
            <v>0</v>
          </cell>
          <cell r="C90" t="str">
            <v>NA</v>
          </cell>
          <cell r="D90">
            <v>0</v>
          </cell>
          <cell r="E90">
            <v>0.22409999999999999</v>
          </cell>
          <cell r="F90">
            <v>4.1300000000000003E-2</v>
          </cell>
          <cell r="G90">
            <v>18.9242619410409</v>
          </cell>
          <cell r="H90">
            <v>13.8504104452206</v>
          </cell>
          <cell r="I90">
            <v>8.0957121967780292</v>
          </cell>
          <cell r="J90">
            <v>279502.61576399999</v>
          </cell>
          <cell r="K90">
            <v>157387.50690414099</v>
          </cell>
          <cell r="L90">
            <v>1</v>
          </cell>
          <cell r="M90">
            <v>0</v>
          </cell>
        </row>
        <row r="91">
          <cell r="B91">
            <v>0</v>
          </cell>
          <cell r="C91" t="str">
            <v>NA</v>
          </cell>
          <cell r="D91">
            <v>0</v>
          </cell>
          <cell r="E91">
            <v>0.18029999999999999</v>
          </cell>
          <cell r="F91">
            <v>3.32E-2</v>
          </cell>
          <cell r="G91">
            <v>18.398757473393701</v>
          </cell>
          <cell r="H91">
            <v>11.587363051413501</v>
          </cell>
          <cell r="I91">
            <v>6.9390183811119304</v>
          </cell>
          <cell r="J91">
            <v>242947.764296054</v>
          </cell>
          <cell r="K91">
            <v>142679.91748807899</v>
          </cell>
          <cell r="L91">
            <v>1</v>
          </cell>
          <cell r="M91">
            <v>0</v>
          </cell>
        </row>
        <row r="92">
          <cell r="B92">
            <v>0</v>
          </cell>
          <cell r="C92" t="str">
            <v>NA</v>
          </cell>
          <cell r="D92">
            <v>0</v>
          </cell>
          <cell r="E92">
            <v>0.2392</v>
          </cell>
          <cell r="F92">
            <v>2.46E-2</v>
          </cell>
          <cell r="G92">
            <v>16.410909619749098</v>
          </cell>
          <cell r="H92">
            <v>11.189208690766099</v>
          </cell>
          <cell r="I92">
            <v>6.7952843537670198</v>
          </cell>
          <cell r="J92">
            <v>173493.467944406</v>
          </cell>
          <cell r="K92">
            <v>105624.476728932</v>
          </cell>
          <cell r="L92">
            <v>1</v>
          </cell>
          <cell r="M92">
            <v>0</v>
          </cell>
        </row>
        <row r="93">
          <cell r="B93">
            <v>0</v>
          </cell>
          <cell r="C93" t="str">
            <v>NA</v>
          </cell>
          <cell r="D93">
            <v>0</v>
          </cell>
          <cell r="E93">
            <v>0.24479999999999999</v>
          </cell>
          <cell r="F93">
            <v>2.7E-2</v>
          </cell>
          <cell r="G93">
            <v>17.305590782779301</v>
          </cell>
          <cell r="H93">
            <v>11.370724132567799</v>
          </cell>
          <cell r="I93">
            <v>6.7951867515683499</v>
          </cell>
          <cell r="J93">
            <v>199687.40709089101</v>
          </cell>
          <cell r="K93">
            <v>118075.199135838</v>
          </cell>
          <cell r="L93">
            <v>1</v>
          </cell>
          <cell r="M93">
            <v>0</v>
          </cell>
        </row>
        <row r="94">
          <cell r="B94">
            <v>0</v>
          </cell>
          <cell r="C94" t="str">
            <v>NA</v>
          </cell>
          <cell r="D94">
            <v>0</v>
          </cell>
          <cell r="E94">
            <v>0.14899999999999999</v>
          </cell>
          <cell r="F94">
            <v>3.2599999999999997E-2</v>
          </cell>
          <cell r="G94">
            <v>19.910066038746699</v>
          </cell>
          <cell r="H94">
            <v>14.079117431101601</v>
          </cell>
          <cell r="I94">
            <v>8.3427129566886098</v>
          </cell>
          <cell r="J94">
            <v>211396.86100976801</v>
          </cell>
          <cell r="K94">
            <v>123811.831991988</v>
          </cell>
          <cell r="L94">
            <v>1</v>
          </cell>
          <cell r="M94">
            <v>0</v>
          </cell>
        </row>
        <row r="95">
          <cell r="B95">
            <v>0</v>
          </cell>
          <cell r="C95" t="str">
            <v>NA</v>
          </cell>
          <cell r="D95">
            <v>0</v>
          </cell>
          <cell r="E95">
            <v>0.13350000000000001</v>
          </cell>
          <cell r="F95">
            <v>4.2299999999999997E-2</v>
          </cell>
          <cell r="G95">
            <v>19.222614676591299</v>
          </cell>
          <cell r="H95">
            <v>14.258843774855601</v>
          </cell>
          <cell r="I95">
            <v>8.5288866932215299</v>
          </cell>
          <cell r="J95">
            <v>172443.30040054501</v>
          </cell>
          <cell r="K95">
            <v>103498.269493894</v>
          </cell>
          <cell r="L95">
            <v>1</v>
          </cell>
          <cell r="M95">
            <v>0</v>
          </cell>
        </row>
        <row r="96">
          <cell r="B96">
            <v>0</v>
          </cell>
          <cell r="C96" t="str">
            <v>NA</v>
          </cell>
          <cell r="D96">
            <v>0</v>
          </cell>
          <cell r="E96">
            <v>0.1507</v>
          </cell>
          <cell r="F96">
            <v>4.3499999999999997E-2</v>
          </cell>
          <cell r="G96">
            <v>18.8077816129532</v>
          </cell>
          <cell r="H96">
            <v>15.556944849249399</v>
          </cell>
          <cell r="I96">
            <v>9.3251382361666408</v>
          </cell>
          <cell r="J96">
            <v>208366.71836783201</v>
          </cell>
          <cell r="K96">
            <v>123843.51486880799</v>
          </cell>
          <cell r="L96">
            <v>1</v>
          </cell>
          <cell r="M96">
            <v>0</v>
          </cell>
        </row>
        <row r="97">
          <cell r="B97">
            <v>0</v>
          </cell>
          <cell r="C97" t="str">
            <v>NA</v>
          </cell>
          <cell r="D97">
            <v>0</v>
          </cell>
          <cell r="E97">
            <v>0.2918</v>
          </cell>
          <cell r="F97">
            <v>3.5000000000000003E-2</v>
          </cell>
          <cell r="G97">
            <v>17.250942612818498</v>
          </cell>
          <cell r="H97">
            <v>12.0459108248864</v>
          </cell>
          <cell r="I97">
            <v>7.0439110145882804</v>
          </cell>
          <cell r="J97">
            <v>171941.72871754199</v>
          </cell>
          <cell r="K97">
            <v>99931.493942835805</v>
          </cell>
          <cell r="L97">
            <v>1</v>
          </cell>
          <cell r="M97">
            <v>0</v>
          </cell>
        </row>
        <row r="98">
          <cell r="B98">
            <v>0</v>
          </cell>
          <cell r="C98" t="str">
            <v>NA</v>
          </cell>
          <cell r="D98">
            <v>0</v>
          </cell>
          <cell r="E98">
            <v>0.16159999999999999</v>
          </cell>
          <cell r="F98">
            <v>3.1800000000000002E-2</v>
          </cell>
          <cell r="G98">
            <v>19.440182948550799</v>
          </cell>
          <cell r="H98">
            <v>14.0218474390003</v>
          </cell>
          <cell r="I98">
            <v>8.3115320207988308</v>
          </cell>
          <cell r="J98">
            <v>229368.46926784699</v>
          </cell>
          <cell r="K98">
            <v>133331.84349589801</v>
          </cell>
          <cell r="L98">
            <v>1</v>
          </cell>
          <cell r="M98">
            <v>0</v>
          </cell>
        </row>
        <row r="99">
          <cell r="B99">
            <v>0</v>
          </cell>
          <cell r="C99" t="str">
            <v>NA</v>
          </cell>
          <cell r="D99">
            <v>0</v>
          </cell>
          <cell r="E99">
            <v>0.1323</v>
          </cell>
          <cell r="F99">
            <v>4.02E-2</v>
          </cell>
          <cell r="G99">
            <v>18.655079156770402</v>
          </cell>
          <cell r="H99">
            <v>14.3939681224256</v>
          </cell>
          <cell r="I99">
            <v>8.70895434398928</v>
          </cell>
          <cell r="J99">
            <v>222351.77621904199</v>
          </cell>
          <cell r="K99">
            <v>132948.92946129301</v>
          </cell>
          <cell r="L99">
            <v>1</v>
          </cell>
          <cell r="M99">
            <v>0</v>
          </cell>
        </row>
        <row r="100">
          <cell r="B100">
            <v>0</v>
          </cell>
          <cell r="C100" t="str">
            <v>NA</v>
          </cell>
          <cell r="D100">
            <v>0</v>
          </cell>
          <cell r="E100">
            <v>0.1265</v>
          </cell>
          <cell r="F100">
            <v>3.7100000000000001E-2</v>
          </cell>
          <cell r="G100">
            <v>19.2197307917092</v>
          </cell>
          <cell r="H100">
            <v>12.979925515289199</v>
          </cell>
          <cell r="I100">
            <v>7.8032396416051402</v>
          </cell>
          <cell r="J100">
            <v>191299.01526782801</v>
          </cell>
          <cell r="K100">
            <v>114643.96346866799</v>
          </cell>
          <cell r="L100">
            <v>1</v>
          </cell>
          <cell r="M100">
            <v>0</v>
          </cell>
        </row>
        <row r="101">
          <cell r="B101">
            <v>0</v>
          </cell>
          <cell r="C101" t="str">
            <v>NA</v>
          </cell>
          <cell r="D101">
            <v>0</v>
          </cell>
          <cell r="E101">
            <v>0.18609999999999999</v>
          </cell>
          <cell r="F101">
            <v>2.9000000000000001E-2</v>
          </cell>
          <cell r="G101">
            <v>19.365158004563298</v>
          </cell>
          <cell r="H101">
            <v>13.7633672775472</v>
          </cell>
          <cell r="I101">
            <v>8.1288330297357394</v>
          </cell>
          <cell r="J101">
            <v>214720.67982653499</v>
          </cell>
          <cell r="K101">
            <v>124679.901419862</v>
          </cell>
          <cell r="L101">
            <v>1</v>
          </cell>
          <cell r="M101">
            <v>0</v>
          </cell>
        </row>
        <row r="102">
          <cell r="B102">
            <v>0</v>
          </cell>
          <cell r="C102" t="str">
            <v>NA</v>
          </cell>
          <cell r="D102">
            <v>0</v>
          </cell>
          <cell r="E102">
            <v>0.15920000000000001</v>
          </cell>
          <cell r="F102">
            <v>3.6400000000000002E-2</v>
          </cell>
          <cell r="G102">
            <v>18.9969740146825</v>
          </cell>
          <cell r="H102">
            <v>12.744554333357099</v>
          </cell>
          <cell r="I102">
            <v>7.5825328753661099</v>
          </cell>
          <cell r="J102">
            <v>209433.515643288</v>
          </cell>
          <cell r="K102">
            <v>123055.370877512</v>
          </cell>
          <cell r="L102">
            <v>1</v>
          </cell>
          <cell r="M102">
            <v>0</v>
          </cell>
        </row>
        <row r="103">
          <cell r="B103">
            <v>0</v>
          </cell>
          <cell r="C103" t="str">
            <v>NA</v>
          </cell>
          <cell r="D103">
            <v>0</v>
          </cell>
          <cell r="E103">
            <v>0.1239</v>
          </cell>
          <cell r="F103">
            <v>4.5499999999999999E-2</v>
          </cell>
          <cell r="G103">
            <v>17.753583586530699</v>
          </cell>
          <cell r="H103">
            <v>11.36575323672</v>
          </cell>
          <cell r="I103">
            <v>6.9654159108681801</v>
          </cell>
          <cell r="J103">
            <v>180073.27621080601</v>
          </cell>
          <cell r="K103">
            <v>110594.994581921</v>
          </cell>
          <cell r="L103">
            <v>1</v>
          </cell>
          <cell r="M103">
            <v>0</v>
          </cell>
        </row>
        <row r="104">
          <cell r="B104">
            <v>0</v>
          </cell>
          <cell r="C104" t="str">
            <v>NA</v>
          </cell>
          <cell r="D104">
            <v>0</v>
          </cell>
          <cell r="E104">
            <v>0.2049</v>
          </cell>
          <cell r="F104">
            <v>4.4200000000000003E-2</v>
          </cell>
          <cell r="G104">
            <v>18.4363409436633</v>
          </cell>
          <cell r="H104">
            <v>11.8970292771929</v>
          </cell>
          <cell r="I104">
            <v>7.0411102440776103</v>
          </cell>
          <cell r="J104">
            <v>202534.97684453201</v>
          </cell>
          <cell r="K104">
            <v>118434.26573314201</v>
          </cell>
          <cell r="L104">
            <v>1</v>
          </cell>
          <cell r="M104">
            <v>0</v>
          </cell>
        </row>
        <row r="105">
          <cell r="B105">
            <v>0</v>
          </cell>
          <cell r="C105" t="str">
            <v>NA</v>
          </cell>
          <cell r="D105">
            <v>0</v>
          </cell>
          <cell r="E105">
            <v>0.1193</v>
          </cell>
          <cell r="F105">
            <v>2.6100000000000002E-2</v>
          </cell>
          <cell r="G105">
            <v>19.4967395657217</v>
          </cell>
          <cell r="H105">
            <v>14.3852072869742</v>
          </cell>
          <cell r="I105">
            <v>8.6670986096569695</v>
          </cell>
          <cell r="J105">
            <v>198386.08751944601</v>
          </cell>
          <cell r="K105">
            <v>118919.916692517</v>
          </cell>
          <cell r="L105">
            <v>1</v>
          </cell>
          <cell r="M105">
            <v>0</v>
          </cell>
        </row>
        <row r="106">
          <cell r="B106">
            <v>0</v>
          </cell>
          <cell r="C106" t="str">
            <v>NA</v>
          </cell>
          <cell r="D106">
            <v>0</v>
          </cell>
          <cell r="E106">
            <v>0.2429</v>
          </cell>
          <cell r="F106">
            <v>2.6100000000000002E-2</v>
          </cell>
          <cell r="G106">
            <v>16.939298843562099</v>
          </cell>
          <cell r="H106">
            <v>13.282962061937299</v>
          </cell>
          <cell r="I106">
            <v>8.0103900329156499</v>
          </cell>
          <cell r="J106">
            <v>171299.744754343</v>
          </cell>
          <cell r="K106">
            <v>103359.91833556601</v>
          </cell>
          <cell r="L106">
            <v>1</v>
          </cell>
          <cell r="M106">
            <v>0</v>
          </cell>
        </row>
        <row r="107">
          <cell r="B107">
            <v>0</v>
          </cell>
          <cell r="C107" t="str">
            <v>NA</v>
          </cell>
          <cell r="D107">
            <v>0</v>
          </cell>
          <cell r="E107">
            <v>0.1593</v>
          </cell>
          <cell r="F107">
            <v>4.6100000000000002E-2</v>
          </cell>
          <cell r="G107">
            <v>19.304438528582999</v>
          </cell>
          <cell r="H107">
            <v>14.424249690870599</v>
          </cell>
          <cell r="I107">
            <v>8.5478200182770898</v>
          </cell>
          <cell r="J107">
            <v>170147.14591703101</v>
          </cell>
          <cell r="K107">
            <v>100836.338807387</v>
          </cell>
          <cell r="L107">
            <v>1</v>
          </cell>
          <cell r="M107">
            <v>0</v>
          </cell>
        </row>
        <row r="108">
          <cell r="B108">
            <v>0</v>
          </cell>
          <cell r="C108" t="str">
            <v>NA</v>
          </cell>
          <cell r="D108">
            <v>0</v>
          </cell>
          <cell r="E108">
            <v>0.17680000000000001</v>
          </cell>
          <cell r="F108">
            <v>3.9E-2</v>
          </cell>
          <cell r="G108">
            <v>16.887837478430299</v>
          </cell>
          <cell r="H108">
            <v>13.5891792397301</v>
          </cell>
          <cell r="I108">
            <v>8.3545544953416595</v>
          </cell>
          <cell r="J108">
            <v>145914.92089544999</v>
          </cell>
          <cell r="K108">
            <v>91309.7005850477</v>
          </cell>
          <cell r="L108">
            <v>1</v>
          </cell>
          <cell r="M108">
            <v>0</v>
          </cell>
        </row>
        <row r="109">
          <cell r="B109">
            <v>0</v>
          </cell>
          <cell r="C109" t="str">
            <v>NA</v>
          </cell>
          <cell r="D109">
            <v>0</v>
          </cell>
          <cell r="E109">
            <v>0.24529999999999999</v>
          </cell>
          <cell r="F109">
            <v>3.1300000000000001E-2</v>
          </cell>
          <cell r="G109">
            <v>16.711705901677298</v>
          </cell>
          <cell r="H109">
            <v>11.7996663075982</v>
          </cell>
          <cell r="I109">
            <v>7.1159621754688498</v>
          </cell>
          <cell r="J109">
            <v>159629.702039027</v>
          </cell>
          <cell r="K109">
            <v>96851.479596008794</v>
          </cell>
          <cell r="L109">
            <v>1</v>
          </cell>
          <cell r="M109">
            <v>0</v>
          </cell>
        </row>
        <row r="110">
          <cell r="B110">
            <v>0</v>
          </cell>
          <cell r="C110" t="str">
            <v>NA</v>
          </cell>
          <cell r="D110">
            <v>0</v>
          </cell>
          <cell r="E110">
            <v>0.2155</v>
          </cell>
          <cell r="F110">
            <v>5.7200000000000001E-2</v>
          </cell>
          <cell r="G110">
            <v>16.343727484551799</v>
          </cell>
          <cell r="H110">
            <v>11.390675418358599</v>
          </cell>
          <cell r="I110">
            <v>6.9145707076287701</v>
          </cell>
          <cell r="J110">
            <v>210789.88287424599</v>
          </cell>
          <cell r="K110">
            <v>126622.573912746</v>
          </cell>
          <cell r="L110">
            <v>1</v>
          </cell>
          <cell r="M110">
            <v>0</v>
          </cell>
        </row>
        <row r="111">
          <cell r="B111">
            <v>0</v>
          </cell>
          <cell r="C111" t="str">
            <v>NA</v>
          </cell>
          <cell r="D111">
            <v>0</v>
          </cell>
          <cell r="E111">
            <v>0.21260000000000001</v>
          </cell>
          <cell r="F111">
            <v>5.1999999999999998E-2</v>
          </cell>
          <cell r="G111">
            <v>16.4941588130099</v>
          </cell>
          <cell r="H111">
            <v>12.3883225692497</v>
          </cell>
          <cell r="I111">
            <v>7.5298763767642898</v>
          </cell>
          <cell r="J111">
            <v>227030.636815012</v>
          </cell>
          <cell r="K111">
            <v>135785.74142843601</v>
          </cell>
          <cell r="L111">
            <v>1</v>
          </cell>
          <cell r="M111">
            <v>0</v>
          </cell>
        </row>
        <row r="112">
          <cell r="B112">
            <v>0</v>
          </cell>
          <cell r="C112" t="str">
            <v>NA</v>
          </cell>
          <cell r="D112">
            <v>0</v>
          </cell>
          <cell r="E112">
            <v>0.16250000000000001</v>
          </cell>
          <cell r="F112">
            <v>4.7199999999999999E-2</v>
          </cell>
          <cell r="G112">
            <v>17.009260955152499</v>
          </cell>
          <cell r="H112">
            <v>11.6569264801707</v>
          </cell>
          <cell r="I112">
            <v>7.1410765559442702</v>
          </cell>
          <cell r="J112">
            <v>159952.27410922301</v>
          </cell>
          <cell r="K112">
            <v>98998.102807649193</v>
          </cell>
          <cell r="L112">
            <v>1</v>
          </cell>
          <cell r="M112">
            <v>0</v>
          </cell>
        </row>
        <row r="113">
          <cell r="B113">
            <v>0</v>
          </cell>
          <cell r="C113" t="str">
            <v>NA</v>
          </cell>
          <cell r="D113">
            <v>0</v>
          </cell>
          <cell r="E113">
            <v>0.2122</v>
          </cell>
          <cell r="F113">
            <v>2.5999999999999999E-2</v>
          </cell>
          <cell r="G113">
            <v>17.472981574478101</v>
          </cell>
          <cell r="H113">
            <v>13.0185096966489</v>
          </cell>
          <cell r="I113">
            <v>7.8471098364187997</v>
          </cell>
          <cell r="J113">
            <v>199429.03566251</v>
          </cell>
          <cell r="K113">
            <v>119268.143130289</v>
          </cell>
          <cell r="L113">
            <v>1</v>
          </cell>
          <cell r="M113">
            <v>0</v>
          </cell>
        </row>
        <row r="114">
          <cell r="B114">
            <v>0</v>
          </cell>
          <cell r="C114" t="str">
            <v>NA</v>
          </cell>
          <cell r="D114">
            <v>0</v>
          </cell>
          <cell r="E114">
            <v>0.1072</v>
          </cell>
          <cell r="F114">
            <v>7.0999999999999994E-2</v>
          </cell>
          <cell r="G114">
            <v>18.361072348265701</v>
          </cell>
          <cell r="H114">
            <v>13.5016341623326</v>
          </cell>
          <cell r="I114">
            <v>8.1693660380963191</v>
          </cell>
          <cell r="J114">
            <v>218201.08480352999</v>
          </cell>
          <cell r="K114">
            <v>130501.554004526</v>
          </cell>
          <cell r="L114">
            <v>1</v>
          </cell>
          <cell r="M114">
            <v>0</v>
          </cell>
        </row>
        <row r="115">
          <cell r="B115">
            <v>0</v>
          </cell>
          <cell r="C115" t="str">
            <v>NA</v>
          </cell>
          <cell r="D115">
            <v>0</v>
          </cell>
          <cell r="E115">
            <v>0.2676</v>
          </cell>
          <cell r="F115">
            <v>4.4699999999999997E-2</v>
          </cell>
          <cell r="G115">
            <v>16.589477082563299</v>
          </cell>
          <cell r="H115">
            <v>10.829536711156701</v>
          </cell>
          <cell r="I115">
            <v>6.4567249952101902</v>
          </cell>
          <cell r="J115">
            <v>171826.758794692</v>
          </cell>
          <cell r="K115">
            <v>101971.91880358</v>
          </cell>
          <cell r="L115">
            <v>1</v>
          </cell>
          <cell r="M115">
            <v>0</v>
          </cell>
        </row>
        <row r="116">
          <cell r="B116">
            <v>0</v>
          </cell>
          <cell r="C116" t="str">
            <v>NA</v>
          </cell>
          <cell r="D116">
            <v>0</v>
          </cell>
          <cell r="E116">
            <v>0.12820000000000001</v>
          </cell>
          <cell r="F116">
            <v>5.1900000000000002E-2</v>
          </cell>
          <cell r="G116">
            <v>17.967023212939701</v>
          </cell>
          <cell r="H116">
            <v>11.076442287449799</v>
          </cell>
          <cell r="I116">
            <v>6.7473873345825099</v>
          </cell>
          <cell r="J116">
            <v>187776.05405686799</v>
          </cell>
          <cell r="K116">
            <v>114066.891019911</v>
          </cell>
          <cell r="L116">
            <v>1</v>
          </cell>
          <cell r="M116">
            <v>0</v>
          </cell>
        </row>
        <row r="117">
          <cell r="B117">
            <v>0</v>
          </cell>
          <cell r="C117" t="str">
            <v>NA</v>
          </cell>
          <cell r="D117">
            <v>0</v>
          </cell>
          <cell r="E117">
            <v>0.14879999999999999</v>
          </cell>
          <cell r="F117">
            <v>4.1500000000000002E-2</v>
          </cell>
          <cell r="G117">
            <v>18.572773825436599</v>
          </cell>
          <cell r="H117">
            <v>13.8331768518904</v>
          </cell>
          <cell r="I117">
            <v>8.3216499425298398</v>
          </cell>
          <cell r="J117">
            <v>265456.19483091199</v>
          </cell>
          <cell r="K117">
            <v>156589.632744389</v>
          </cell>
          <cell r="L117">
            <v>1</v>
          </cell>
          <cell r="M117">
            <v>0</v>
          </cell>
        </row>
        <row r="118">
          <cell r="B118">
            <v>0</v>
          </cell>
          <cell r="C118" t="str">
            <v>NA</v>
          </cell>
          <cell r="D118">
            <v>0</v>
          </cell>
          <cell r="E118">
            <v>0.1699</v>
          </cell>
          <cell r="F118">
            <v>3.5400000000000001E-2</v>
          </cell>
          <cell r="G118">
            <v>18.571027624660498</v>
          </cell>
          <cell r="H118">
            <v>13.1808081343378</v>
          </cell>
          <cell r="I118">
            <v>7.9120422527696901</v>
          </cell>
          <cell r="J118">
            <v>193081.08063072999</v>
          </cell>
          <cell r="K118">
            <v>115285.183975994</v>
          </cell>
          <cell r="L118">
            <v>1</v>
          </cell>
          <cell r="M118">
            <v>0</v>
          </cell>
        </row>
        <row r="119">
          <cell r="B119">
            <v>0</v>
          </cell>
          <cell r="C119" t="str">
            <v>NA</v>
          </cell>
          <cell r="D119">
            <v>0</v>
          </cell>
          <cell r="E119">
            <v>0.1827</v>
          </cell>
          <cell r="F119">
            <v>4.9299999999999997E-2</v>
          </cell>
          <cell r="G119">
            <v>18.064488642162701</v>
          </cell>
          <cell r="H119">
            <v>14.1500864263522</v>
          </cell>
          <cell r="I119">
            <v>8.4839310042868004</v>
          </cell>
          <cell r="J119">
            <v>154637.729049021</v>
          </cell>
          <cell r="K119">
            <v>93583.100508832198</v>
          </cell>
          <cell r="L119">
            <v>1</v>
          </cell>
          <cell r="M119">
            <v>0</v>
          </cell>
        </row>
        <row r="120">
          <cell r="B120">
            <v>0</v>
          </cell>
          <cell r="C120" t="str">
            <v>NA</v>
          </cell>
          <cell r="D120">
            <v>0</v>
          </cell>
          <cell r="E120">
            <v>0.25269999999999998</v>
          </cell>
          <cell r="F120">
            <v>4.8599999999999997E-2</v>
          </cell>
          <cell r="G120">
            <v>15.997252151425901</v>
          </cell>
          <cell r="H120">
            <v>12.506565259756901</v>
          </cell>
          <cell r="I120">
            <v>7.5773180381850098</v>
          </cell>
          <cell r="J120">
            <v>183374.37356686799</v>
          </cell>
          <cell r="K120">
            <v>110519.616318047</v>
          </cell>
          <cell r="L120">
            <v>1</v>
          </cell>
          <cell r="M120">
            <v>0</v>
          </cell>
        </row>
        <row r="121">
          <cell r="B121">
            <v>0</v>
          </cell>
          <cell r="C121" t="str">
            <v>NA</v>
          </cell>
          <cell r="D121">
            <v>0</v>
          </cell>
          <cell r="E121">
            <v>0.23519999999999999</v>
          </cell>
          <cell r="F121">
            <v>2.35E-2</v>
          </cell>
          <cell r="G121">
            <v>16.502708030995102</v>
          </cell>
          <cell r="H121">
            <v>11.771328840636199</v>
          </cell>
          <cell r="I121">
            <v>7.1609113735463197</v>
          </cell>
          <cell r="J121">
            <v>152175.356980223</v>
          </cell>
          <cell r="K121">
            <v>93786.946031908796</v>
          </cell>
          <cell r="L121">
            <v>1</v>
          </cell>
          <cell r="M121">
            <v>0</v>
          </cell>
        </row>
        <row r="122">
          <cell r="B122">
            <v>0</v>
          </cell>
          <cell r="C122" t="str">
            <v>NA</v>
          </cell>
          <cell r="D122">
            <v>0</v>
          </cell>
          <cell r="E122">
            <v>0.19700000000000001</v>
          </cell>
          <cell r="F122">
            <v>4.0500000000000001E-2</v>
          </cell>
          <cell r="G122">
            <v>16.519440953917201</v>
          </cell>
          <cell r="H122">
            <v>12.661450894819399</v>
          </cell>
          <cell r="I122">
            <v>7.7852278776651396</v>
          </cell>
          <cell r="J122">
            <v>158295.44013198299</v>
          </cell>
          <cell r="K122">
            <v>98089.910717913503</v>
          </cell>
          <cell r="L122">
            <v>1</v>
          </cell>
          <cell r="M122">
            <v>0</v>
          </cell>
        </row>
        <row r="123">
          <cell r="B123">
            <v>0</v>
          </cell>
          <cell r="C123" t="str">
            <v>NA</v>
          </cell>
          <cell r="D123">
            <v>0</v>
          </cell>
          <cell r="E123">
            <v>0.1205</v>
          </cell>
          <cell r="F123">
            <v>5.3400000000000003E-2</v>
          </cell>
          <cell r="G123">
            <v>18.843309508095601</v>
          </cell>
          <cell r="H123">
            <v>14.2133560128864</v>
          </cell>
          <cell r="I123">
            <v>8.5591313953925798</v>
          </cell>
          <cell r="J123">
            <v>182537.230560984</v>
          </cell>
          <cell r="K123">
            <v>109733.227811365</v>
          </cell>
          <cell r="L123">
            <v>1</v>
          </cell>
          <cell r="M123">
            <v>0</v>
          </cell>
        </row>
        <row r="124">
          <cell r="B124">
            <v>0</v>
          </cell>
          <cell r="C124" t="str">
            <v>NA</v>
          </cell>
          <cell r="D124">
            <v>0</v>
          </cell>
          <cell r="E124">
            <v>0.1865</v>
          </cell>
          <cell r="F124">
            <v>4.0800000000000003E-2</v>
          </cell>
          <cell r="G124">
            <v>18.246502689149299</v>
          </cell>
          <cell r="H124">
            <v>14.5026797912817</v>
          </cell>
          <cell r="I124">
            <v>8.6773585704536291</v>
          </cell>
          <cell r="J124">
            <v>192385.12253165399</v>
          </cell>
          <cell r="K124">
            <v>114228.605449549</v>
          </cell>
          <cell r="L124">
            <v>1</v>
          </cell>
          <cell r="M124">
            <v>0</v>
          </cell>
        </row>
        <row r="125">
          <cell r="B125">
            <v>0</v>
          </cell>
          <cell r="C125" t="str">
            <v>NA</v>
          </cell>
          <cell r="D125">
            <v>0</v>
          </cell>
          <cell r="E125">
            <v>0.1489</v>
          </cell>
          <cell r="F125">
            <v>3.8600000000000002E-2</v>
          </cell>
          <cell r="G125">
            <v>18.759259937892299</v>
          </cell>
          <cell r="H125">
            <v>13.3559566798177</v>
          </cell>
          <cell r="I125">
            <v>8.0346710584745207</v>
          </cell>
          <cell r="J125">
            <v>183865.86767817999</v>
          </cell>
          <cell r="K125">
            <v>110204.247752507</v>
          </cell>
          <cell r="L125">
            <v>1</v>
          </cell>
          <cell r="M125">
            <v>0</v>
          </cell>
        </row>
        <row r="126">
          <cell r="B126">
            <v>0</v>
          </cell>
          <cell r="C126" t="str">
            <v>NA</v>
          </cell>
          <cell r="D126">
            <v>0</v>
          </cell>
          <cell r="E126">
            <v>0.2213</v>
          </cell>
          <cell r="F126">
            <v>2.9000000000000001E-2</v>
          </cell>
          <cell r="G126">
            <v>18.640112878376598</v>
          </cell>
          <cell r="H126">
            <v>12.1768431580621</v>
          </cell>
          <cell r="I126">
            <v>7.1704434309571399</v>
          </cell>
          <cell r="J126">
            <v>183284.41255757501</v>
          </cell>
          <cell r="K126">
            <v>107192.974235424</v>
          </cell>
          <cell r="L126">
            <v>1</v>
          </cell>
          <cell r="M126">
            <v>0</v>
          </cell>
        </row>
        <row r="127">
          <cell r="B127">
            <v>0</v>
          </cell>
          <cell r="C127" t="str">
            <v>NA</v>
          </cell>
          <cell r="D127">
            <v>0</v>
          </cell>
          <cell r="E127">
            <v>0.13619999999999999</v>
          </cell>
          <cell r="F127">
            <v>4.9000000000000002E-2</v>
          </cell>
          <cell r="G127">
            <v>17.524853711164901</v>
          </cell>
          <cell r="H127">
            <v>13.027069955698099</v>
          </cell>
          <cell r="I127">
            <v>7.9713326197090897</v>
          </cell>
          <cell r="J127">
            <v>177834.71448224399</v>
          </cell>
          <cell r="K127">
            <v>109165.759547106</v>
          </cell>
          <cell r="L127">
            <v>1</v>
          </cell>
          <cell r="M127">
            <v>0</v>
          </cell>
        </row>
        <row r="128">
          <cell r="B128">
            <v>0</v>
          </cell>
          <cell r="C128" t="str">
            <v>NA</v>
          </cell>
          <cell r="D128">
            <v>0</v>
          </cell>
          <cell r="E128">
            <v>0.1701</v>
          </cell>
          <cell r="F128">
            <v>4.8000000000000001E-2</v>
          </cell>
          <cell r="G128">
            <v>17.866372813077</v>
          </cell>
          <cell r="H128">
            <v>14.095445769794701</v>
          </cell>
          <cell r="I128">
            <v>8.4955244493911692</v>
          </cell>
          <cell r="J128">
            <v>192759.93785207599</v>
          </cell>
          <cell r="K128">
            <v>115791.924570944</v>
          </cell>
          <cell r="L128">
            <v>1</v>
          </cell>
          <cell r="M128">
            <v>0</v>
          </cell>
        </row>
        <row r="129">
          <cell r="B129">
            <v>0</v>
          </cell>
          <cell r="C129" t="str">
            <v>NA</v>
          </cell>
          <cell r="D129">
            <v>0</v>
          </cell>
          <cell r="E129">
            <v>0.18</v>
          </cell>
          <cell r="F129">
            <v>3.2800000000000003E-2</v>
          </cell>
          <cell r="G129">
            <v>17.2410299127408</v>
          </cell>
          <cell r="H129">
            <v>13.600221205972399</v>
          </cell>
          <cell r="I129">
            <v>8.3110364824426899</v>
          </cell>
          <cell r="J129">
            <v>200287.62945925799</v>
          </cell>
          <cell r="K129">
            <v>121971.869448818</v>
          </cell>
          <cell r="L129">
            <v>1</v>
          </cell>
          <cell r="M129">
            <v>0</v>
          </cell>
        </row>
        <row r="130">
          <cell r="B130">
            <v>0</v>
          </cell>
          <cell r="C130" t="str">
            <v>NA</v>
          </cell>
          <cell r="D130">
            <v>0</v>
          </cell>
          <cell r="E130">
            <v>0.1676</v>
          </cell>
          <cell r="F130">
            <v>0.04</v>
          </cell>
          <cell r="G130">
            <v>18.8200504406419</v>
          </cell>
          <cell r="H130">
            <v>13.2146063172328</v>
          </cell>
          <cell r="I130">
            <v>7.8888461618349899</v>
          </cell>
          <cell r="J130">
            <v>248817.75491759001</v>
          </cell>
          <cell r="K130">
            <v>145385.636594223</v>
          </cell>
          <cell r="L130">
            <v>1</v>
          </cell>
          <cell r="M130">
            <v>0</v>
          </cell>
        </row>
        <row r="131">
          <cell r="B131">
            <v>0</v>
          </cell>
          <cell r="C131" t="str">
            <v>NA</v>
          </cell>
          <cell r="D131">
            <v>0</v>
          </cell>
          <cell r="E131">
            <v>0.1169</v>
          </cell>
          <cell r="F131">
            <v>4.65E-2</v>
          </cell>
          <cell r="G131">
            <v>18.703481559354501</v>
          </cell>
          <cell r="H131">
            <v>14.7758432759914</v>
          </cell>
          <cell r="I131">
            <v>8.95338544641392</v>
          </cell>
          <cell r="J131">
            <v>182363.12951160601</v>
          </cell>
          <cell r="K131">
            <v>110575.954628871</v>
          </cell>
          <cell r="L131">
            <v>1</v>
          </cell>
          <cell r="M131">
            <v>0</v>
          </cell>
        </row>
        <row r="132">
          <cell r="B132">
            <v>0</v>
          </cell>
          <cell r="C132" t="str">
            <v>NA</v>
          </cell>
          <cell r="D132">
            <v>0</v>
          </cell>
          <cell r="E132">
            <v>0.13550000000000001</v>
          </cell>
          <cell r="F132">
            <v>3.9E-2</v>
          </cell>
          <cell r="G132">
            <v>18.873402492354799</v>
          </cell>
          <cell r="H132">
            <v>13.040739960543</v>
          </cell>
          <cell r="I132">
            <v>7.8443280499089596</v>
          </cell>
          <cell r="J132">
            <v>173254.476368901</v>
          </cell>
          <cell r="K132">
            <v>104468.366935939</v>
          </cell>
          <cell r="L132">
            <v>1</v>
          </cell>
          <cell r="M132">
            <v>0</v>
          </cell>
        </row>
        <row r="133">
          <cell r="B133">
            <v>0</v>
          </cell>
          <cell r="C133" t="str">
            <v>NA</v>
          </cell>
          <cell r="D133">
            <v>0</v>
          </cell>
          <cell r="E133">
            <v>0.11260000000000001</v>
          </cell>
          <cell r="F133">
            <v>3.0300000000000001E-2</v>
          </cell>
          <cell r="G133">
            <v>18.8506779782848</v>
          </cell>
          <cell r="H133">
            <v>13.3686876484522</v>
          </cell>
          <cell r="I133">
            <v>8.1058962412675104</v>
          </cell>
          <cell r="J133">
            <v>218577.59457718799</v>
          </cell>
          <cell r="K133">
            <v>131341.10483829799</v>
          </cell>
          <cell r="L133">
            <v>1</v>
          </cell>
          <cell r="M133">
            <v>0</v>
          </cell>
        </row>
        <row r="134">
          <cell r="B134">
            <v>0</v>
          </cell>
          <cell r="C134" t="str">
            <v>NA</v>
          </cell>
          <cell r="D134">
            <v>0</v>
          </cell>
          <cell r="E134">
            <v>0.2329</v>
          </cell>
          <cell r="F134">
            <v>3.0800000000000001E-2</v>
          </cell>
          <cell r="G134">
            <v>16.822231688615201</v>
          </cell>
          <cell r="H134">
            <v>13.169253385447499</v>
          </cell>
          <cell r="I134">
            <v>7.9573991579897196</v>
          </cell>
          <cell r="J134">
            <v>159211.531045154</v>
          </cell>
          <cell r="K134">
            <v>96710.545433110703</v>
          </cell>
          <cell r="L134">
            <v>1</v>
          </cell>
          <cell r="M134">
            <v>0</v>
          </cell>
        </row>
        <row r="135">
          <cell r="B135">
            <v>0</v>
          </cell>
          <cell r="C135" t="str">
            <v>NA</v>
          </cell>
          <cell r="D135">
            <v>0</v>
          </cell>
          <cell r="E135">
            <v>0.27160000000000001</v>
          </cell>
          <cell r="F135">
            <v>3.5200000000000002E-2</v>
          </cell>
          <cell r="G135">
            <v>16.434900244672601</v>
          </cell>
          <cell r="H135">
            <v>11.207089341414701</v>
          </cell>
          <cell r="I135">
            <v>6.7258730052451003</v>
          </cell>
          <cell r="J135">
            <v>149244.72687273801</v>
          </cell>
          <cell r="K135">
            <v>90435.847758527001</v>
          </cell>
          <cell r="L135">
            <v>1</v>
          </cell>
          <cell r="M135">
            <v>0</v>
          </cell>
        </row>
        <row r="136">
          <cell r="B136">
            <v>0</v>
          </cell>
          <cell r="C136" t="str">
            <v>NA</v>
          </cell>
          <cell r="D136">
            <v>0</v>
          </cell>
          <cell r="E136">
            <v>0.1268</v>
          </cell>
          <cell r="F136">
            <v>3.32E-2</v>
          </cell>
          <cell r="G136">
            <v>18.448090051825801</v>
          </cell>
          <cell r="H136">
            <v>13.701534809960901</v>
          </cell>
          <cell r="I136">
            <v>8.3302423819979499</v>
          </cell>
          <cell r="J136">
            <v>218751.81126572099</v>
          </cell>
          <cell r="K136">
            <v>131673.590239921</v>
          </cell>
          <cell r="L136">
            <v>1</v>
          </cell>
          <cell r="M136">
            <v>0</v>
          </cell>
        </row>
        <row r="137">
          <cell r="B137">
            <v>0</v>
          </cell>
          <cell r="C137" t="str">
            <v>NA</v>
          </cell>
          <cell r="D137">
            <v>0</v>
          </cell>
          <cell r="E137">
            <v>0.13980000000000001</v>
          </cell>
          <cell r="F137">
            <v>4.2799999999999998E-2</v>
          </cell>
          <cell r="G137">
            <v>18.146368801364702</v>
          </cell>
          <cell r="H137">
            <v>13.048618198912299</v>
          </cell>
          <cell r="I137">
            <v>7.9101091125144896</v>
          </cell>
          <cell r="J137">
            <v>245602.850653342</v>
          </cell>
          <cell r="K137">
            <v>146496.63649733501</v>
          </cell>
          <cell r="L137">
            <v>1</v>
          </cell>
          <cell r="M137">
            <v>0</v>
          </cell>
        </row>
        <row r="138">
          <cell r="B138">
            <v>0</v>
          </cell>
          <cell r="C138" t="str">
            <v>NA</v>
          </cell>
          <cell r="D138">
            <v>0</v>
          </cell>
          <cell r="E138">
            <v>0.20480000000000001</v>
          </cell>
          <cell r="F138">
            <v>3.6299999999999999E-2</v>
          </cell>
          <cell r="G138">
            <v>17.354532448946902</v>
          </cell>
          <cell r="H138">
            <v>12.853796024333899</v>
          </cell>
          <cell r="I138">
            <v>7.7509193088462602</v>
          </cell>
          <cell r="J138">
            <v>192983.23899252599</v>
          </cell>
          <cell r="K138">
            <v>115510.878950453</v>
          </cell>
          <cell r="L138">
            <v>1</v>
          </cell>
          <cell r="M138">
            <v>0</v>
          </cell>
        </row>
        <row r="139">
          <cell r="B139">
            <v>0</v>
          </cell>
          <cell r="C139" t="str">
            <v>NA</v>
          </cell>
          <cell r="D139">
            <v>0</v>
          </cell>
          <cell r="E139">
            <v>0.16439999999999999</v>
          </cell>
          <cell r="F139">
            <v>4.5100000000000001E-2</v>
          </cell>
          <cell r="G139">
            <v>18.392059501386299</v>
          </cell>
          <cell r="H139">
            <v>10.678682286989</v>
          </cell>
          <cell r="I139">
            <v>6.4143580872773498</v>
          </cell>
          <cell r="J139">
            <v>219765.037861055</v>
          </cell>
          <cell r="K139">
            <v>130214.321394331</v>
          </cell>
          <cell r="L139">
            <v>1</v>
          </cell>
          <cell r="M139">
            <v>0</v>
          </cell>
        </row>
        <row r="140">
          <cell r="B140">
            <v>0</v>
          </cell>
          <cell r="C140" t="str">
            <v>NA</v>
          </cell>
          <cell r="D140">
            <v>0</v>
          </cell>
          <cell r="E140">
            <v>0.20200000000000001</v>
          </cell>
          <cell r="F140">
            <v>3.1099999999999999E-2</v>
          </cell>
          <cell r="G140">
            <v>16.9628318398555</v>
          </cell>
          <cell r="H140">
            <v>11.785696299254299</v>
          </cell>
          <cell r="I140">
            <v>7.1989752249936698</v>
          </cell>
          <cell r="J140">
            <v>185262.93093824401</v>
          </cell>
          <cell r="K140">
            <v>113000.020443053</v>
          </cell>
          <cell r="L140">
            <v>1</v>
          </cell>
          <cell r="M140">
            <v>0</v>
          </cell>
        </row>
        <row r="141">
          <cell r="B141">
            <v>0</v>
          </cell>
          <cell r="C141" t="str">
            <v>NA</v>
          </cell>
          <cell r="D141">
            <v>0</v>
          </cell>
          <cell r="E141">
            <v>0.19900000000000001</v>
          </cell>
          <cell r="F141">
            <v>3.5999999999999997E-2</v>
          </cell>
          <cell r="G141">
            <v>17.701048725761499</v>
          </cell>
          <cell r="H141">
            <v>14.127484286743099</v>
          </cell>
          <cell r="I141">
            <v>8.5014235001386798</v>
          </cell>
          <cell r="J141">
            <v>188910.680825533</v>
          </cell>
          <cell r="K141">
            <v>113001.80008410801</v>
          </cell>
          <cell r="L141">
            <v>1</v>
          </cell>
          <cell r="M141">
            <v>0</v>
          </cell>
        </row>
        <row r="142">
          <cell r="B142">
            <v>0</v>
          </cell>
          <cell r="C142" t="str">
            <v>NA</v>
          </cell>
          <cell r="D142">
            <v>0</v>
          </cell>
          <cell r="E142">
            <v>0.19320000000000001</v>
          </cell>
          <cell r="F142">
            <v>6.1600000000000002E-2</v>
          </cell>
          <cell r="G142">
            <v>18.489827752061899</v>
          </cell>
          <cell r="H142">
            <v>13.8195369726421</v>
          </cell>
          <cell r="I142">
            <v>8.1331810327725105</v>
          </cell>
          <cell r="J142">
            <v>198468.44463890101</v>
          </cell>
          <cell r="K142">
            <v>115176.518114027</v>
          </cell>
          <cell r="L142">
            <v>1</v>
          </cell>
          <cell r="M142">
            <v>0</v>
          </cell>
        </row>
        <row r="143">
          <cell r="B143">
            <v>0</v>
          </cell>
          <cell r="C143" t="str">
            <v>NA</v>
          </cell>
          <cell r="D143">
            <v>0</v>
          </cell>
          <cell r="E143">
            <v>0.17899999999999999</v>
          </cell>
          <cell r="F143">
            <v>4.8000000000000001E-2</v>
          </cell>
          <cell r="G143">
            <v>16.769873998033201</v>
          </cell>
          <cell r="H143">
            <v>11.951945104790999</v>
          </cell>
          <cell r="I143">
            <v>7.2955909412809303</v>
          </cell>
          <cell r="J143">
            <v>158462.148598281</v>
          </cell>
          <cell r="K143">
            <v>97575.208795337094</v>
          </cell>
          <cell r="L143">
            <v>1</v>
          </cell>
          <cell r="M143">
            <v>0</v>
          </cell>
        </row>
        <row r="144">
          <cell r="B144">
            <v>0</v>
          </cell>
          <cell r="C144" t="str">
            <v>NA</v>
          </cell>
          <cell r="D144">
            <v>0</v>
          </cell>
          <cell r="E144">
            <v>0.2195</v>
          </cell>
          <cell r="F144">
            <v>2.8000000000000001E-2</v>
          </cell>
          <cell r="G144">
            <v>16.0759512813679</v>
          </cell>
          <cell r="H144">
            <v>10.712488100346601</v>
          </cell>
          <cell r="I144">
            <v>6.6172972390938103</v>
          </cell>
          <cell r="J144">
            <v>180126.81643230701</v>
          </cell>
          <cell r="K144">
            <v>111264.53001752</v>
          </cell>
          <cell r="L144">
            <v>1</v>
          </cell>
          <cell r="M144">
            <v>0</v>
          </cell>
        </row>
        <row r="145">
          <cell r="B145">
            <v>0</v>
          </cell>
          <cell r="C145" t="str">
            <v>NA</v>
          </cell>
          <cell r="D145">
            <v>0</v>
          </cell>
          <cell r="E145">
            <v>0.1772</v>
          </cell>
          <cell r="F145">
            <v>2.6100000000000002E-2</v>
          </cell>
          <cell r="G145">
            <v>18.378747367632101</v>
          </cell>
          <cell r="H145">
            <v>13.374910586728999</v>
          </cell>
          <cell r="I145">
            <v>8.0392890893827804</v>
          </cell>
          <cell r="J145">
            <v>227694.53307164001</v>
          </cell>
          <cell r="K145">
            <v>134999.412714568</v>
          </cell>
          <cell r="L145">
            <v>1</v>
          </cell>
          <cell r="M145">
            <v>0</v>
          </cell>
        </row>
        <row r="146">
          <cell r="B146">
            <v>0</v>
          </cell>
          <cell r="C146" t="str">
            <v>NA</v>
          </cell>
          <cell r="D146">
            <v>0</v>
          </cell>
          <cell r="E146">
            <v>0.20080000000000001</v>
          </cell>
          <cell r="F146">
            <v>3.0599999999999999E-2</v>
          </cell>
          <cell r="G146">
            <v>17.090869239162199</v>
          </cell>
          <cell r="H146">
            <v>12.7389889251256</v>
          </cell>
          <cell r="I146">
            <v>7.7458356515770701</v>
          </cell>
          <cell r="J146">
            <v>171510.64433161</v>
          </cell>
          <cell r="K146">
            <v>104521.77559116</v>
          </cell>
          <cell r="L146">
            <v>1</v>
          </cell>
          <cell r="M146">
            <v>0</v>
          </cell>
        </row>
        <row r="147">
          <cell r="B147">
            <v>0</v>
          </cell>
          <cell r="C147" t="str">
            <v>NA</v>
          </cell>
          <cell r="D147">
            <v>0</v>
          </cell>
          <cell r="E147">
            <v>0.27</v>
          </cell>
          <cell r="F147">
            <v>5.0099999999999999E-2</v>
          </cell>
          <cell r="G147">
            <v>16.3519521128996</v>
          </cell>
          <cell r="H147">
            <v>12.711388323247199</v>
          </cell>
          <cell r="I147">
            <v>7.5995396219680096</v>
          </cell>
          <cell r="J147">
            <v>210737.43455507499</v>
          </cell>
          <cell r="K147">
            <v>123701.961102639</v>
          </cell>
          <cell r="L147">
            <v>1</v>
          </cell>
          <cell r="M147">
            <v>0</v>
          </cell>
        </row>
        <row r="148">
          <cell r="B148">
            <v>0</v>
          </cell>
          <cell r="C148" t="str">
            <v>NA</v>
          </cell>
          <cell r="D148">
            <v>0</v>
          </cell>
          <cell r="E148">
            <v>0.21360000000000001</v>
          </cell>
          <cell r="F148">
            <v>5.57E-2</v>
          </cell>
          <cell r="G148">
            <v>18.014125671150801</v>
          </cell>
          <cell r="H148">
            <v>12.987291072834299</v>
          </cell>
          <cell r="I148">
            <v>7.6865804448242896</v>
          </cell>
          <cell r="J148">
            <v>185545.19980924501</v>
          </cell>
          <cell r="K148">
            <v>109053.10859247899</v>
          </cell>
          <cell r="L148">
            <v>1</v>
          </cell>
          <cell r="M148">
            <v>0</v>
          </cell>
        </row>
        <row r="149">
          <cell r="B149">
            <v>0</v>
          </cell>
          <cell r="C149" t="str">
            <v>NA</v>
          </cell>
          <cell r="D149">
            <v>0</v>
          </cell>
          <cell r="E149">
            <v>0.27960000000000002</v>
          </cell>
          <cell r="F149">
            <v>5.3199999999999997E-2</v>
          </cell>
          <cell r="G149">
            <v>15.816752434658699</v>
          </cell>
          <cell r="H149">
            <v>12.014530887427799</v>
          </cell>
          <cell r="I149">
            <v>7.2273698303738598</v>
          </cell>
          <cell r="J149">
            <v>164534.76111676899</v>
          </cell>
          <cell r="K149">
            <v>98776.934471821805</v>
          </cell>
          <cell r="L149">
            <v>1</v>
          </cell>
          <cell r="M149">
            <v>0</v>
          </cell>
        </row>
        <row r="150">
          <cell r="B150">
            <v>0</v>
          </cell>
          <cell r="C150" t="str">
            <v>NA</v>
          </cell>
          <cell r="D150">
            <v>0</v>
          </cell>
          <cell r="E150">
            <v>0.19689999999999999</v>
          </cell>
          <cell r="F150">
            <v>5.3999999999999999E-2</v>
          </cell>
          <cell r="G150">
            <v>17.455773306483401</v>
          </cell>
          <cell r="H150">
            <v>11.5434973916116</v>
          </cell>
          <cell r="I150">
            <v>6.9370839049672002</v>
          </cell>
          <cell r="J150">
            <v>206855.914670636</v>
          </cell>
          <cell r="K150">
            <v>122733.710158011</v>
          </cell>
          <cell r="L150">
            <v>1</v>
          </cell>
          <cell r="M150">
            <v>0</v>
          </cell>
        </row>
        <row r="151">
          <cell r="B151">
            <v>0</v>
          </cell>
          <cell r="C151" t="str">
            <v>NA</v>
          </cell>
          <cell r="D151">
            <v>0</v>
          </cell>
          <cell r="E151">
            <v>0.16450000000000001</v>
          </cell>
          <cell r="F151">
            <v>3.1399999999999997E-2</v>
          </cell>
          <cell r="G151">
            <v>19.570264936990199</v>
          </cell>
          <cell r="H151">
            <v>15.154749201342</v>
          </cell>
          <cell r="I151">
            <v>9.0005140595170197</v>
          </cell>
          <cell r="J151">
            <v>216925.37832570699</v>
          </cell>
          <cell r="K151">
            <v>126813.719609002</v>
          </cell>
          <cell r="L151">
            <v>1</v>
          </cell>
          <cell r="M151">
            <v>0</v>
          </cell>
        </row>
        <row r="152">
          <cell r="B152">
            <v>0</v>
          </cell>
          <cell r="C152" t="str">
            <v>NA</v>
          </cell>
          <cell r="D152">
            <v>0</v>
          </cell>
          <cell r="E152">
            <v>0.19520000000000001</v>
          </cell>
          <cell r="F152">
            <v>4.07E-2</v>
          </cell>
          <cell r="G152">
            <v>18.142264650445199</v>
          </cell>
          <cell r="H152">
            <v>12.5153054743804</v>
          </cell>
          <cell r="I152">
            <v>7.4698463909655199</v>
          </cell>
          <cell r="J152">
            <v>241348.824224029</v>
          </cell>
          <cell r="K152">
            <v>141149.47813236</v>
          </cell>
          <cell r="L152">
            <v>1</v>
          </cell>
          <cell r="M152">
            <v>0</v>
          </cell>
        </row>
        <row r="153">
          <cell r="B153">
            <v>0</v>
          </cell>
          <cell r="C153" t="str">
            <v>NA</v>
          </cell>
          <cell r="D153">
            <v>0</v>
          </cell>
          <cell r="E153">
            <v>0.2104</v>
          </cell>
          <cell r="F153">
            <v>3.2199999999999999E-2</v>
          </cell>
          <cell r="G153">
            <v>18.050946914887</v>
          </cell>
          <cell r="H153">
            <v>12.7183364715601</v>
          </cell>
          <cell r="I153">
            <v>7.58427092210355</v>
          </cell>
          <cell r="J153">
            <v>150712.53572058599</v>
          </cell>
          <cell r="K153">
            <v>90843.414651539802</v>
          </cell>
          <cell r="L153">
            <v>1</v>
          </cell>
          <cell r="M153">
            <v>0</v>
          </cell>
        </row>
        <row r="154">
          <cell r="B154">
            <v>0</v>
          </cell>
          <cell r="C154" t="str">
            <v>NA</v>
          </cell>
          <cell r="D154">
            <v>0</v>
          </cell>
          <cell r="E154">
            <v>0.3075</v>
          </cell>
          <cell r="F154">
            <v>2.0799999999999999E-2</v>
          </cell>
          <cell r="G154">
            <v>16.070109841744099</v>
          </cell>
          <cell r="H154">
            <v>10.3640697638711</v>
          </cell>
          <cell r="I154">
            <v>6.20446937054676</v>
          </cell>
          <cell r="J154">
            <v>186030.034129801</v>
          </cell>
          <cell r="K154">
            <v>110430.400795433</v>
          </cell>
          <cell r="L154">
            <v>1</v>
          </cell>
          <cell r="M154">
            <v>0</v>
          </cell>
        </row>
        <row r="155">
          <cell r="B155">
            <v>0</v>
          </cell>
          <cell r="C155" t="str">
            <v>NA</v>
          </cell>
          <cell r="D155">
            <v>0</v>
          </cell>
          <cell r="E155">
            <v>0.13159999999999999</v>
          </cell>
          <cell r="F155">
            <v>2.9899999999999999E-2</v>
          </cell>
          <cell r="G155">
            <v>17.953438815321601</v>
          </cell>
          <cell r="H155">
            <v>14.2983794299679</v>
          </cell>
          <cell r="I155">
            <v>8.7794752052719307</v>
          </cell>
          <cell r="J155">
            <v>231331.290449697</v>
          </cell>
          <cell r="K155">
            <v>140618.14255757301</v>
          </cell>
          <cell r="L155">
            <v>1</v>
          </cell>
          <cell r="M155">
            <v>0</v>
          </cell>
        </row>
        <row r="156">
          <cell r="B156">
            <v>0</v>
          </cell>
          <cell r="C156" t="str">
            <v>NA</v>
          </cell>
          <cell r="D156">
            <v>0</v>
          </cell>
          <cell r="E156">
            <v>0.15329999999999999</v>
          </cell>
          <cell r="F156">
            <v>5.3499999999999999E-2</v>
          </cell>
          <cell r="G156">
            <v>17.7873907638864</v>
          </cell>
          <cell r="H156">
            <v>12.1882311693753</v>
          </cell>
          <cell r="I156">
            <v>7.3685558697620097</v>
          </cell>
          <cell r="J156">
            <v>264654.74126999499</v>
          </cell>
          <cell r="K156">
            <v>156146.74352916999</v>
          </cell>
          <cell r="L156">
            <v>1</v>
          </cell>
          <cell r="M156">
            <v>0</v>
          </cell>
        </row>
        <row r="157">
          <cell r="B157">
            <v>0</v>
          </cell>
          <cell r="C157" t="str">
            <v>NA</v>
          </cell>
          <cell r="D157">
            <v>0</v>
          </cell>
          <cell r="E157">
            <v>0.2457</v>
          </cell>
          <cell r="F157">
            <v>3.9899999999999998E-2</v>
          </cell>
          <cell r="G157">
            <v>17.077903127872201</v>
          </cell>
          <cell r="H157">
            <v>11.8622997242477</v>
          </cell>
          <cell r="I157">
            <v>7.0891646261832602</v>
          </cell>
          <cell r="J157">
            <v>190760.84442172799</v>
          </cell>
          <cell r="K157">
            <v>113292.542777105</v>
          </cell>
          <cell r="L157">
            <v>1</v>
          </cell>
          <cell r="M157">
            <v>0</v>
          </cell>
        </row>
        <row r="158">
          <cell r="B158">
            <v>0</v>
          </cell>
          <cell r="C158" t="str">
            <v>NA</v>
          </cell>
          <cell r="D158">
            <v>0</v>
          </cell>
          <cell r="E158">
            <v>0.21010000000000001</v>
          </cell>
          <cell r="F158">
            <v>4.3499999999999997E-2</v>
          </cell>
          <cell r="G158">
            <v>17.060442504403699</v>
          </cell>
          <cell r="H158">
            <v>13.677549903388799</v>
          </cell>
          <cell r="I158">
            <v>8.2790455798181597</v>
          </cell>
          <cell r="J158">
            <v>202817.53698447801</v>
          </cell>
          <cell r="K158">
            <v>121311.624433484</v>
          </cell>
          <cell r="L158">
            <v>1</v>
          </cell>
          <cell r="M158">
            <v>0</v>
          </cell>
        </row>
        <row r="159">
          <cell r="B159">
            <v>0</v>
          </cell>
          <cell r="C159" t="str">
            <v>NA</v>
          </cell>
          <cell r="D159">
            <v>0</v>
          </cell>
          <cell r="E159">
            <v>0.1764</v>
          </cell>
          <cell r="F159">
            <v>3.1800000000000002E-2</v>
          </cell>
          <cell r="G159">
            <v>19.374411875276799</v>
          </cell>
          <cell r="H159">
            <v>14.1354629042052</v>
          </cell>
          <cell r="I159">
            <v>8.3518660089959909</v>
          </cell>
          <cell r="J159">
            <v>217614.09533934601</v>
          </cell>
          <cell r="K159">
            <v>126734.383202051</v>
          </cell>
          <cell r="L159">
            <v>1</v>
          </cell>
          <cell r="M159">
            <v>0</v>
          </cell>
        </row>
        <row r="160">
          <cell r="B160">
            <v>0</v>
          </cell>
          <cell r="C160" t="str">
            <v>NA</v>
          </cell>
          <cell r="D160">
            <v>0</v>
          </cell>
          <cell r="E160">
            <v>0.19400000000000001</v>
          </cell>
          <cell r="F160">
            <v>3.1699999999999999E-2</v>
          </cell>
          <cell r="G160">
            <v>17.521461032561099</v>
          </cell>
          <cell r="H160">
            <v>12.509579484753299</v>
          </cell>
          <cell r="I160">
            <v>7.5481966455466099</v>
          </cell>
          <cell r="J160">
            <v>172995.940887798</v>
          </cell>
          <cell r="K160">
            <v>104846.476733812</v>
          </cell>
          <cell r="L160">
            <v>1</v>
          </cell>
          <cell r="M160">
            <v>0</v>
          </cell>
        </row>
        <row r="161">
          <cell r="B161">
            <v>0</v>
          </cell>
          <cell r="C161" t="str">
            <v>NA</v>
          </cell>
          <cell r="D161">
            <v>0</v>
          </cell>
          <cell r="E161">
            <v>0.15629999999999999</v>
          </cell>
          <cell r="F161">
            <v>3.2300000000000002E-2</v>
          </cell>
          <cell r="G161">
            <v>18.046215407220799</v>
          </cell>
          <cell r="H161">
            <v>12.818275924804301</v>
          </cell>
          <cell r="I161">
            <v>7.7903691228340604</v>
          </cell>
          <cell r="J161">
            <v>242123.04772539099</v>
          </cell>
          <cell r="K161">
            <v>144668.42547777301</v>
          </cell>
          <cell r="L161">
            <v>1</v>
          </cell>
          <cell r="M161">
            <v>0</v>
          </cell>
        </row>
        <row r="162">
          <cell r="B162">
            <v>0</v>
          </cell>
          <cell r="C162" t="str">
            <v>NA</v>
          </cell>
          <cell r="D162">
            <v>0</v>
          </cell>
          <cell r="E162">
            <v>0.17810000000000001</v>
          </cell>
          <cell r="F162">
            <v>3.3599999999999998E-2</v>
          </cell>
          <cell r="G162">
            <v>17.250663373979801</v>
          </cell>
          <cell r="H162">
            <v>12.4603800859692</v>
          </cell>
          <cell r="I162">
            <v>7.6171147094209601</v>
          </cell>
          <cell r="J162">
            <v>242108.50094835399</v>
          </cell>
          <cell r="K162">
            <v>145831.10578066099</v>
          </cell>
          <cell r="L162">
            <v>1</v>
          </cell>
          <cell r="M162">
            <v>0</v>
          </cell>
        </row>
        <row r="163">
          <cell r="B163">
            <v>0</v>
          </cell>
          <cell r="C163" t="str">
            <v>NA</v>
          </cell>
          <cell r="D163">
            <v>0</v>
          </cell>
          <cell r="E163">
            <v>0.1731</v>
          </cell>
          <cell r="F163">
            <v>4.9200000000000001E-2</v>
          </cell>
          <cell r="G163">
            <v>18.959708621126101</v>
          </cell>
          <cell r="H163">
            <v>11.9389558919467</v>
          </cell>
          <cell r="I163">
            <v>7.0576463194516901</v>
          </cell>
          <cell r="J163">
            <v>246177.029155809</v>
          </cell>
          <cell r="K163">
            <v>142277.32571833101</v>
          </cell>
          <cell r="L163">
            <v>1</v>
          </cell>
          <cell r="M163">
            <v>0</v>
          </cell>
        </row>
        <row r="164">
          <cell r="B164">
            <v>0</v>
          </cell>
          <cell r="C164" t="str">
            <v>NA</v>
          </cell>
          <cell r="D164">
            <v>0</v>
          </cell>
          <cell r="E164">
            <v>0.1235</v>
          </cell>
          <cell r="F164">
            <v>5.2600000000000001E-2</v>
          </cell>
          <cell r="G164">
            <v>18.956807133254198</v>
          </cell>
          <cell r="H164">
            <v>14.604965823666699</v>
          </cell>
          <cell r="I164">
            <v>8.7755411566446</v>
          </cell>
          <cell r="J164">
            <v>174100.693852439</v>
          </cell>
          <cell r="K164">
            <v>104728.26557414301</v>
          </cell>
          <cell r="L164">
            <v>1</v>
          </cell>
          <cell r="M164">
            <v>0</v>
          </cell>
        </row>
        <row r="165">
          <cell r="B165">
            <v>0</v>
          </cell>
          <cell r="C165" t="str">
            <v>NA</v>
          </cell>
          <cell r="D165">
            <v>0</v>
          </cell>
          <cell r="E165">
            <v>0.17730000000000001</v>
          </cell>
          <cell r="F165">
            <v>4.6600000000000003E-2</v>
          </cell>
          <cell r="G165">
            <v>18.237351726278899</v>
          </cell>
          <cell r="H165">
            <v>14.881154195479599</v>
          </cell>
          <cell r="I165">
            <v>8.8918612160025692</v>
          </cell>
          <cell r="J165">
            <v>215460.427617596</v>
          </cell>
          <cell r="K165">
            <v>126903.33891828</v>
          </cell>
          <cell r="L165">
            <v>1</v>
          </cell>
          <cell r="M165">
            <v>0</v>
          </cell>
        </row>
        <row r="166">
          <cell r="B166">
            <v>0</v>
          </cell>
          <cell r="C166" t="str">
            <v>NA</v>
          </cell>
          <cell r="D166">
            <v>0</v>
          </cell>
          <cell r="E166">
            <v>0.20979999999999999</v>
          </cell>
          <cell r="F166">
            <v>3.3599999999999998E-2</v>
          </cell>
          <cell r="G166">
            <v>18.829964744340501</v>
          </cell>
          <cell r="H166">
            <v>12.6819401941199</v>
          </cell>
          <cell r="I166">
            <v>7.47408555894377</v>
          </cell>
          <cell r="J166">
            <v>261269.69223102101</v>
          </cell>
          <cell r="K166">
            <v>149598.45990242201</v>
          </cell>
          <cell r="L166">
            <v>1</v>
          </cell>
          <cell r="M166">
            <v>0</v>
          </cell>
        </row>
        <row r="167">
          <cell r="B167">
            <v>0</v>
          </cell>
          <cell r="C167" t="str">
            <v>NA</v>
          </cell>
          <cell r="D167">
            <v>0</v>
          </cell>
          <cell r="E167">
            <v>0.14080000000000001</v>
          </cell>
          <cell r="F167">
            <v>4.8300000000000003E-2</v>
          </cell>
          <cell r="G167">
            <v>19.004654737779202</v>
          </cell>
          <cell r="H167">
            <v>11.7986021959981</v>
          </cell>
          <cell r="I167">
            <v>7.0473725421650197</v>
          </cell>
          <cell r="J167">
            <v>166584.76147653101</v>
          </cell>
          <cell r="K167">
            <v>99992.694588149403</v>
          </cell>
          <cell r="L167">
            <v>1</v>
          </cell>
          <cell r="M167">
            <v>0</v>
          </cell>
        </row>
        <row r="168">
          <cell r="B168">
            <v>0</v>
          </cell>
          <cell r="C168" t="str">
            <v>NA</v>
          </cell>
          <cell r="D168">
            <v>0</v>
          </cell>
          <cell r="E168">
            <v>0.14710000000000001</v>
          </cell>
          <cell r="F168">
            <v>4.1000000000000002E-2</v>
          </cell>
          <cell r="G168">
            <v>19.185125408267101</v>
          </cell>
          <cell r="H168">
            <v>13.500536110448801</v>
          </cell>
          <cell r="I168">
            <v>8.0625527887430994</v>
          </cell>
          <cell r="J168">
            <v>197582.41744762901</v>
          </cell>
          <cell r="K168">
            <v>117262.90195187699</v>
          </cell>
          <cell r="L168">
            <v>1</v>
          </cell>
          <cell r="M168">
            <v>0</v>
          </cell>
        </row>
        <row r="169">
          <cell r="B169">
            <v>0</v>
          </cell>
          <cell r="C169" t="str">
            <v>NA</v>
          </cell>
          <cell r="D169">
            <v>0</v>
          </cell>
          <cell r="E169">
            <v>0.24299999999999999</v>
          </cell>
          <cell r="F169">
            <v>5.1299999999999998E-2</v>
          </cell>
          <cell r="G169">
            <v>17.571161049104401</v>
          </cell>
          <cell r="H169">
            <v>11.9812255656493</v>
          </cell>
          <cell r="I169">
            <v>7.0997471056226402</v>
          </cell>
          <cell r="J169">
            <v>204541.50106089999</v>
          </cell>
          <cell r="K169">
            <v>119278.288818128</v>
          </cell>
          <cell r="L169">
            <v>1</v>
          </cell>
          <cell r="M169">
            <v>0</v>
          </cell>
        </row>
        <row r="170">
          <cell r="B170">
            <v>0</v>
          </cell>
          <cell r="C170" t="str">
            <v>NA</v>
          </cell>
          <cell r="D170">
            <v>0</v>
          </cell>
          <cell r="E170">
            <v>0.17649999999999999</v>
          </cell>
          <cell r="F170">
            <v>5.0500000000000003E-2</v>
          </cell>
          <cell r="G170">
            <v>18.658945852566099</v>
          </cell>
          <cell r="H170">
            <v>13.9112555707973</v>
          </cell>
          <cell r="I170">
            <v>8.2919637413605098</v>
          </cell>
          <cell r="J170">
            <v>258575.62945654799</v>
          </cell>
          <cell r="K170">
            <v>150232.36253656101</v>
          </cell>
          <cell r="L170">
            <v>1</v>
          </cell>
          <cell r="M170">
            <v>0</v>
          </cell>
        </row>
        <row r="171">
          <cell r="B171">
            <v>0</v>
          </cell>
          <cell r="C171" t="str">
            <v>NA</v>
          </cell>
          <cell r="D171">
            <v>0</v>
          </cell>
          <cell r="E171">
            <v>0.20369999999999999</v>
          </cell>
          <cell r="F171">
            <v>4.4400000000000002E-2</v>
          </cell>
          <cell r="G171">
            <v>17.860102448197502</v>
          </cell>
          <cell r="H171">
            <v>12.4520378535703</v>
          </cell>
          <cell r="I171">
            <v>7.4282921696515798</v>
          </cell>
          <cell r="J171">
            <v>153502.689321755</v>
          </cell>
          <cell r="K171">
            <v>92199.751638515503</v>
          </cell>
          <cell r="L171">
            <v>1</v>
          </cell>
          <cell r="M171">
            <v>0</v>
          </cell>
        </row>
        <row r="172">
          <cell r="B172">
            <v>0</v>
          </cell>
          <cell r="C172" t="str">
            <v>NA</v>
          </cell>
          <cell r="D172">
            <v>0</v>
          </cell>
          <cell r="E172">
            <v>0.1875</v>
          </cell>
          <cell r="F172">
            <v>4.0300000000000002E-2</v>
          </cell>
          <cell r="G172">
            <v>18.532630741154701</v>
          </cell>
          <cell r="H172">
            <v>12.140731796118899</v>
          </cell>
          <cell r="I172">
            <v>7.2559493649895801</v>
          </cell>
          <cell r="J172">
            <v>260124.37798515</v>
          </cell>
          <cell r="K172">
            <v>151499.16512438399</v>
          </cell>
          <cell r="L172">
            <v>1</v>
          </cell>
          <cell r="M172">
            <v>0</v>
          </cell>
        </row>
        <row r="173">
          <cell r="B173">
            <v>0</v>
          </cell>
          <cell r="C173" t="str">
            <v>NA</v>
          </cell>
          <cell r="D173">
            <v>0</v>
          </cell>
          <cell r="E173">
            <v>0.1467</v>
          </cell>
          <cell r="F173">
            <v>2.6599999999999999E-2</v>
          </cell>
          <cell r="G173">
            <v>18.5662346932044</v>
          </cell>
          <cell r="H173">
            <v>13.009543796333</v>
          </cell>
          <cell r="I173">
            <v>7.8716009092090404</v>
          </cell>
          <cell r="J173">
            <v>229713.32985545101</v>
          </cell>
          <cell r="K173">
            <v>137113.67466719801</v>
          </cell>
          <cell r="L173">
            <v>1</v>
          </cell>
          <cell r="M173">
            <v>0</v>
          </cell>
        </row>
        <row r="174">
          <cell r="B174">
            <v>0</v>
          </cell>
          <cell r="C174" t="str">
            <v>NA</v>
          </cell>
          <cell r="D174">
            <v>0</v>
          </cell>
          <cell r="E174">
            <v>0.14460000000000001</v>
          </cell>
          <cell r="F174">
            <v>5.67E-2</v>
          </cell>
          <cell r="G174">
            <v>18.465164223535002</v>
          </cell>
          <cell r="H174">
            <v>10.4184029586738</v>
          </cell>
          <cell r="I174">
            <v>6.2534115812721502</v>
          </cell>
          <cell r="J174">
            <v>234358.622734695</v>
          </cell>
          <cell r="K174">
            <v>138174.35924050101</v>
          </cell>
          <cell r="L174">
            <v>1</v>
          </cell>
          <cell r="M174">
            <v>0</v>
          </cell>
        </row>
        <row r="175">
          <cell r="B175">
            <v>0</v>
          </cell>
          <cell r="C175" t="str">
            <v>NA</v>
          </cell>
          <cell r="D175">
            <v>0</v>
          </cell>
          <cell r="E175">
            <v>0.26850000000000002</v>
          </cell>
          <cell r="F175">
            <v>3.7600000000000001E-2</v>
          </cell>
          <cell r="G175">
            <v>18.085728819184101</v>
          </cell>
          <cell r="H175">
            <v>10.887622157018701</v>
          </cell>
          <cell r="I175">
            <v>6.3505035189556196</v>
          </cell>
          <cell r="J175">
            <v>235514.34732530901</v>
          </cell>
          <cell r="K175">
            <v>133611.95029435901</v>
          </cell>
          <cell r="L175">
            <v>1</v>
          </cell>
          <cell r="M175">
            <v>0</v>
          </cell>
        </row>
        <row r="176">
          <cell r="B176">
            <v>0</v>
          </cell>
          <cell r="C176" t="str">
            <v>NA</v>
          </cell>
          <cell r="D176">
            <v>0</v>
          </cell>
          <cell r="E176">
            <v>0.16220000000000001</v>
          </cell>
          <cell r="F176">
            <v>2.8000000000000001E-2</v>
          </cell>
          <cell r="G176">
            <v>18.5962493605454</v>
          </cell>
          <cell r="H176">
            <v>12.614125492784501</v>
          </cell>
          <cell r="I176">
            <v>7.5683828407033102</v>
          </cell>
          <cell r="J176">
            <v>243613.49556832601</v>
          </cell>
          <cell r="K176">
            <v>143221.39359082599</v>
          </cell>
          <cell r="L176">
            <v>1</v>
          </cell>
          <cell r="M176">
            <v>0</v>
          </cell>
        </row>
        <row r="177">
          <cell r="B177">
            <v>0</v>
          </cell>
          <cell r="C177" t="str">
            <v>NA</v>
          </cell>
          <cell r="D177">
            <v>0</v>
          </cell>
          <cell r="E177">
            <v>0.20799999999999999</v>
          </cell>
          <cell r="F177">
            <v>2.92E-2</v>
          </cell>
          <cell r="G177">
            <v>18.925293334299202</v>
          </cell>
          <cell r="H177">
            <v>13.508089680152899</v>
          </cell>
          <cell r="I177">
            <v>7.94690052168386</v>
          </cell>
          <cell r="J177">
            <v>225750.561729682</v>
          </cell>
          <cell r="K177">
            <v>130037.253878723</v>
          </cell>
          <cell r="L177">
            <v>1</v>
          </cell>
          <cell r="M177">
            <v>0</v>
          </cell>
        </row>
        <row r="178">
          <cell r="B178">
            <v>0</v>
          </cell>
          <cell r="C178" t="str">
            <v>NA</v>
          </cell>
          <cell r="D178">
            <v>0</v>
          </cell>
          <cell r="E178">
            <v>0.18079999999999999</v>
          </cell>
          <cell r="F178">
            <v>3.6400000000000002E-2</v>
          </cell>
          <cell r="G178">
            <v>17.614524092025199</v>
          </cell>
          <cell r="H178">
            <v>11.9009949690184</v>
          </cell>
          <cell r="I178">
            <v>7.2118872314938898</v>
          </cell>
          <cell r="J178">
            <v>201384.01845440399</v>
          </cell>
          <cell r="K178">
            <v>121171.635077037</v>
          </cell>
          <cell r="L178">
            <v>1</v>
          </cell>
          <cell r="M178">
            <v>0</v>
          </cell>
        </row>
        <row r="179">
          <cell r="B179">
            <v>0</v>
          </cell>
          <cell r="C179" t="str">
            <v>NA</v>
          </cell>
          <cell r="D179">
            <v>0</v>
          </cell>
          <cell r="E179">
            <v>0.2092</v>
          </cell>
          <cell r="F179">
            <v>4.5499999999999999E-2</v>
          </cell>
          <cell r="G179">
            <v>16.7236296881896</v>
          </cell>
          <cell r="H179">
            <v>10.782471299835899</v>
          </cell>
          <cell r="I179">
            <v>6.5591044144428601</v>
          </cell>
          <cell r="J179">
            <v>159082.87187495301</v>
          </cell>
          <cell r="K179">
            <v>97643.122595446504</v>
          </cell>
          <cell r="L179">
            <v>1</v>
          </cell>
          <cell r="M179">
            <v>0</v>
          </cell>
        </row>
        <row r="180">
          <cell r="B180">
            <v>0</v>
          </cell>
          <cell r="C180" t="str">
            <v>NA</v>
          </cell>
          <cell r="D180">
            <v>0</v>
          </cell>
          <cell r="E180">
            <v>0.13919999999999999</v>
          </cell>
          <cell r="F180">
            <v>4.1000000000000002E-2</v>
          </cell>
          <cell r="G180">
            <v>19.392350423674099</v>
          </cell>
          <cell r="H180">
            <v>14.533088621452</v>
          </cell>
          <cell r="I180">
            <v>8.6519244222762399</v>
          </cell>
          <cell r="J180">
            <v>269661.50267620001</v>
          </cell>
          <cell r="K180">
            <v>156485.69821093601</v>
          </cell>
          <cell r="L180">
            <v>1</v>
          </cell>
          <cell r="M180">
            <v>0</v>
          </cell>
        </row>
        <row r="181">
          <cell r="B181">
            <v>0</v>
          </cell>
          <cell r="C181" t="str">
            <v>NA</v>
          </cell>
          <cell r="D181">
            <v>0</v>
          </cell>
          <cell r="E181">
            <v>0.1368</v>
          </cell>
          <cell r="F181">
            <v>4.9200000000000001E-2</v>
          </cell>
          <cell r="G181">
            <v>18.2977866439394</v>
          </cell>
          <cell r="H181">
            <v>13.837170108865299</v>
          </cell>
          <cell r="I181">
            <v>8.3631111556408406</v>
          </cell>
          <cell r="J181">
            <v>217042.98348494401</v>
          </cell>
          <cell r="K181">
            <v>129677.077042319</v>
          </cell>
          <cell r="L181">
            <v>1</v>
          </cell>
          <cell r="M181">
            <v>0</v>
          </cell>
        </row>
        <row r="182">
          <cell r="B182">
            <v>0</v>
          </cell>
          <cell r="C182" t="str">
            <v>NA</v>
          </cell>
          <cell r="D182">
            <v>0</v>
          </cell>
          <cell r="E182">
            <v>0.13159999999999999</v>
          </cell>
          <cell r="F182">
            <v>3.39E-2</v>
          </cell>
          <cell r="G182">
            <v>19.826498924424001</v>
          </cell>
          <cell r="H182">
            <v>13.873558996447001</v>
          </cell>
          <cell r="I182">
            <v>8.2487369329677893</v>
          </cell>
          <cell r="J182">
            <v>217520.916903773</v>
          </cell>
          <cell r="K182">
            <v>127423.943660772</v>
          </cell>
          <cell r="L182">
            <v>1</v>
          </cell>
          <cell r="M182">
            <v>0</v>
          </cell>
        </row>
        <row r="183">
          <cell r="B183">
            <v>0</v>
          </cell>
          <cell r="C183" t="str">
            <v>NA</v>
          </cell>
          <cell r="D183">
            <v>0</v>
          </cell>
          <cell r="E183">
            <v>0.1439</v>
          </cell>
          <cell r="F183">
            <v>5.5500000000000001E-2</v>
          </cell>
          <cell r="G183">
            <v>18.806438937504701</v>
          </cell>
          <cell r="H183">
            <v>12.931565285958101</v>
          </cell>
          <cell r="I183">
            <v>7.7239739797451303</v>
          </cell>
          <cell r="J183">
            <v>236523.474483105</v>
          </cell>
          <cell r="K183">
            <v>138725.35840160001</v>
          </cell>
          <cell r="L183">
            <v>1</v>
          </cell>
          <cell r="M183">
            <v>0</v>
          </cell>
        </row>
        <row r="184">
          <cell r="B184">
            <v>0</v>
          </cell>
          <cell r="C184" t="str">
            <v>NA</v>
          </cell>
          <cell r="D184">
            <v>0</v>
          </cell>
          <cell r="E184">
            <v>0.13639999999999999</v>
          </cell>
          <cell r="F184">
            <v>5.1999999999999998E-2</v>
          </cell>
          <cell r="G184">
            <v>18.1941079890439</v>
          </cell>
          <cell r="H184">
            <v>12.982921715721</v>
          </cell>
          <cell r="I184">
            <v>7.8504950452484703</v>
          </cell>
          <cell r="J184">
            <v>184110.28979985099</v>
          </cell>
          <cell r="K184">
            <v>111021.687903339</v>
          </cell>
          <cell r="L184">
            <v>1</v>
          </cell>
          <cell r="M184">
            <v>0</v>
          </cell>
        </row>
        <row r="185">
          <cell r="B185">
            <v>0</v>
          </cell>
          <cell r="C185" t="str">
            <v>NA</v>
          </cell>
          <cell r="D185">
            <v>0</v>
          </cell>
          <cell r="E185">
            <v>0.3296</v>
          </cell>
          <cell r="F185">
            <v>2.81E-2</v>
          </cell>
          <cell r="G185">
            <v>15.5955951695596</v>
          </cell>
          <cell r="H185">
            <v>10.1476101521998</v>
          </cell>
          <cell r="I185">
            <v>6.0601226162739197</v>
          </cell>
          <cell r="J185">
            <v>217216.80129298201</v>
          </cell>
          <cell r="K185">
            <v>127278.56599621099</v>
          </cell>
          <cell r="L185">
            <v>1</v>
          </cell>
          <cell r="M185">
            <v>0</v>
          </cell>
        </row>
        <row r="186">
          <cell r="B186">
            <v>0</v>
          </cell>
          <cell r="C186" t="str">
            <v>NA</v>
          </cell>
          <cell r="D186">
            <v>0</v>
          </cell>
          <cell r="E186">
            <v>0.25779999999999997</v>
          </cell>
          <cell r="F186">
            <v>3.7699999999999997E-2</v>
          </cell>
          <cell r="G186">
            <v>16.676064737508</v>
          </cell>
          <cell r="H186">
            <v>12.314886213040101</v>
          </cell>
          <cell r="I186">
            <v>7.3993554604843697</v>
          </cell>
          <cell r="J186">
            <v>195706.73186814599</v>
          </cell>
          <cell r="K186">
            <v>116569.15297002799</v>
          </cell>
          <cell r="L186">
            <v>1</v>
          </cell>
          <cell r="M186">
            <v>0</v>
          </cell>
        </row>
        <row r="187">
          <cell r="B187">
            <v>0</v>
          </cell>
          <cell r="C187" t="str">
            <v>NA</v>
          </cell>
          <cell r="D187">
            <v>0</v>
          </cell>
          <cell r="E187">
            <v>0.24940000000000001</v>
          </cell>
          <cell r="F187">
            <v>3.1699999999999999E-2</v>
          </cell>
          <cell r="G187">
            <v>17.566952557285301</v>
          </cell>
          <cell r="H187">
            <v>13.322777889099401</v>
          </cell>
          <cell r="I187">
            <v>7.9084795001263002</v>
          </cell>
          <cell r="J187">
            <v>151386.03054611999</v>
          </cell>
          <cell r="K187">
            <v>90525.291366351594</v>
          </cell>
          <cell r="L187">
            <v>1</v>
          </cell>
          <cell r="M187">
            <v>0</v>
          </cell>
        </row>
        <row r="188">
          <cell r="B188">
            <v>0</v>
          </cell>
          <cell r="C188" t="str">
            <v>NA</v>
          </cell>
          <cell r="D188">
            <v>0</v>
          </cell>
          <cell r="E188">
            <v>0.1807</v>
          </cell>
          <cell r="F188">
            <v>3.3799999999999997E-2</v>
          </cell>
          <cell r="G188">
            <v>17.638598273081499</v>
          </cell>
          <cell r="H188">
            <v>12.173740634150301</v>
          </cell>
          <cell r="I188">
            <v>7.3684761000880297</v>
          </cell>
          <cell r="J188">
            <v>199897.30407383299</v>
          </cell>
          <cell r="K188">
            <v>120081.07394447199</v>
          </cell>
          <cell r="L188">
            <v>1</v>
          </cell>
          <cell r="M188">
            <v>0</v>
          </cell>
        </row>
        <row r="189">
          <cell r="B189">
            <v>0</v>
          </cell>
          <cell r="C189" t="str">
            <v>NA</v>
          </cell>
          <cell r="D189">
            <v>0</v>
          </cell>
          <cell r="E189">
            <v>0.17069999999999999</v>
          </cell>
          <cell r="F189">
            <v>3.0200000000000001E-2</v>
          </cell>
          <cell r="G189">
            <v>18.971994570688299</v>
          </cell>
          <cell r="H189">
            <v>13.0512568298497</v>
          </cell>
          <cell r="I189">
            <v>7.7546636600543604</v>
          </cell>
          <cell r="J189">
            <v>198490.60397191401</v>
          </cell>
          <cell r="K189">
            <v>116892.746439617</v>
          </cell>
          <cell r="L189">
            <v>1</v>
          </cell>
          <cell r="M189">
            <v>0</v>
          </cell>
        </row>
        <row r="190">
          <cell r="B190">
            <v>0</v>
          </cell>
          <cell r="C190" t="str">
            <v>NA</v>
          </cell>
          <cell r="D190">
            <v>0</v>
          </cell>
          <cell r="E190">
            <v>0.1673</v>
          </cell>
          <cell r="F190">
            <v>2.87E-2</v>
          </cell>
          <cell r="G190">
            <v>19.126008616676302</v>
          </cell>
          <cell r="H190">
            <v>13.6581408029594</v>
          </cell>
          <cell r="I190">
            <v>8.1426191517859596</v>
          </cell>
          <cell r="J190">
            <v>190691.50314617701</v>
          </cell>
          <cell r="K190">
            <v>113163.998584088</v>
          </cell>
          <cell r="L190">
            <v>1</v>
          </cell>
          <cell r="M190">
            <v>0</v>
          </cell>
        </row>
        <row r="191">
          <cell r="B191">
            <v>0</v>
          </cell>
          <cell r="C191" t="str">
            <v>NA</v>
          </cell>
          <cell r="D191">
            <v>0</v>
          </cell>
          <cell r="E191">
            <v>0.17810000000000001</v>
          </cell>
          <cell r="F191">
            <v>3.3500000000000002E-2</v>
          </cell>
          <cell r="G191">
            <v>17.335180137755</v>
          </cell>
          <cell r="H191">
            <v>11.5361603473653</v>
          </cell>
          <cell r="I191">
            <v>7.0409045162175996</v>
          </cell>
          <cell r="J191">
            <v>193350.92816657</v>
          </cell>
          <cell r="K191">
            <v>117431.692948646</v>
          </cell>
          <cell r="L191">
            <v>1</v>
          </cell>
          <cell r="M191">
            <v>0</v>
          </cell>
        </row>
        <row r="192">
          <cell r="B192">
            <v>0</v>
          </cell>
          <cell r="C192" t="str">
            <v>NA</v>
          </cell>
          <cell r="D192">
            <v>0</v>
          </cell>
          <cell r="E192">
            <v>0.17030000000000001</v>
          </cell>
          <cell r="F192">
            <v>6.4000000000000001E-2</v>
          </cell>
          <cell r="G192">
            <v>15.8414029154758</v>
          </cell>
          <cell r="H192">
            <v>11.8875063760452</v>
          </cell>
          <cell r="I192">
            <v>7.3452580829965903</v>
          </cell>
          <cell r="J192">
            <v>218500.576279256</v>
          </cell>
          <cell r="K192">
            <v>134014.908017148</v>
          </cell>
          <cell r="L192">
            <v>1</v>
          </cell>
          <cell r="M192">
            <v>0</v>
          </cell>
        </row>
        <row r="193">
          <cell r="B193">
            <v>0</v>
          </cell>
          <cell r="C193" t="str">
            <v>NA</v>
          </cell>
          <cell r="D193">
            <v>0</v>
          </cell>
          <cell r="E193">
            <v>0.1825</v>
          </cell>
          <cell r="F193">
            <v>5.04E-2</v>
          </cell>
          <cell r="G193">
            <v>17.2474866455211</v>
          </cell>
          <cell r="H193">
            <v>12.8793648890775</v>
          </cell>
          <cell r="I193">
            <v>7.8325980927155801</v>
          </cell>
          <cell r="J193">
            <v>172689.95364759001</v>
          </cell>
          <cell r="K193">
            <v>105388.45101615399</v>
          </cell>
          <cell r="L193">
            <v>1</v>
          </cell>
          <cell r="M193">
            <v>0</v>
          </cell>
        </row>
        <row r="194">
          <cell r="B194">
            <v>0</v>
          </cell>
          <cell r="C194" t="str">
            <v>NA</v>
          </cell>
          <cell r="D194">
            <v>0</v>
          </cell>
          <cell r="E194">
            <v>0.1157</v>
          </cell>
          <cell r="F194">
            <v>3.6999999999999998E-2</v>
          </cell>
          <cell r="G194">
            <v>18.547657504362402</v>
          </cell>
          <cell r="H194">
            <v>14.744466773492899</v>
          </cell>
          <cell r="I194">
            <v>8.9746375943908205</v>
          </cell>
          <cell r="J194">
            <v>191844.93025948701</v>
          </cell>
          <cell r="K194">
            <v>116642.67020155099</v>
          </cell>
          <cell r="L194">
            <v>1</v>
          </cell>
          <cell r="M194">
            <v>0</v>
          </cell>
        </row>
        <row r="195">
          <cell r="B195">
            <v>0</v>
          </cell>
          <cell r="C195" t="str">
            <v>NA</v>
          </cell>
          <cell r="D195">
            <v>0</v>
          </cell>
          <cell r="E195">
            <v>0.16170000000000001</v>
          </cell>
          <cell r="F195">
            <v>4.4499999999999998E-2</v>
          </cell>
          <cell r="G195">
            <v>17.452789356517801</v>
          </cell>
          <cell r="H195">
            <v>12.300463089297301</v>
          </cell>
          <cell r="I195">
            <v>7.5045219693783096</v>
          </cell>
          <cell r="J195">
            <v>176299.378403704</v>
          </cell>
          <cell r="K195">
            <v>107979.41825239699</v>
          </cell>
          <cell r="L195">
            <v>1</v>
          </cell>
          <cell r="M195">
            <v>0</v>
          </cell>
        </row>
        <row r="196">
          <cell r="B196">
            <v>0</v>
          </cell>
          <cell r="C196" t="str">
            <v>NA</v>
          </cell>
          <cell r="D196">
            <v>0</v>
          </cell>
          <cell r="E196">
            <v>0.24460000000000001</v>
          </cell>
          <cell r="F196">
            <v>3.61E-2</v>
          </cell>
          <cell r="G196">
            <v>17.889949861683899</v>
          </cell>
          <cell r="H196">
            <v>13.2082656776706</v>
          </cell>
          <cell r="I196">
            <v>7.7944050658457904</v>
          </cell>
          <cell r="J196">
            <v>186568.27278927699</v>
          </cell>
          <cell r="K196">
            <v>109250.02049056</v>
          </cell>
          <cell r="L196">
            <v>1</v>
          </cell>
          <cell r="M196">
            <v>0</v>
          </cell>
        </row>
        <row r="197">
          <cell r="B197">
            <v>0</v>
          </cell>
          <cell r="C197" t="str">
            <v>NA</v>
          </cell>
          <cell r="D197">
            <v>0</v>
          </cell>
          <cell r="E197">
            <v>0.13250000000000001</v>
          </cell>
          <cell r="F197">
            <v>4.3099999999999999E-2</v>
          </cell>
          <cell r="G197">
            <v>17.933198861121301</v>
          </cell>
          <cell r="H197">
            <v>13.2813544969221</v>
          </cell>
          <cell r="I197">
            <v>8.1013768431698896</v>
          </cell>
          <cell r="J197">
            <v>136320.31913139901</v>
          </cell>
          <cell r="K197">
            <v>85148.353813124806</v>
          </cell>
          <cell r="L197">
            <v>1</v>
          </cell>
          <cell r="M197">
            <v>0</v>
          </cell>
        </row>
        <row r="198">
          <cell r="B198">
            <v>0</v>
          </cell>
          <cell r="C198" t="str">
            <v>NA</v>
          </cell>
          <cell r="D198">
            <v>0</v>
          </cell>
          <cell r="E198">
            <v>0.1988</v>
          </cell>
          <cell r="F198">
            <v>4.0899999999999999E-2</v>
          </cell>
          <cell r="G198">
            <v>17.363694351672201</v>
          </cell>
          <cell r="H198">
            <v>11.8569754645617</v>
          </cell>
          <cell r="I198">
            <v>7.1675581166472098</v>
          </cell>
          <cell r="J198">
            <v>285775.020540422</v>
          </cell>
          <cell r="K198">
            <v>168523.77578891799</v>
          </cell>
          <cell r="L198">
            <v>1</v>
          </cell>
          <cell r="M198">
            <v>0</v>
          </cell>
        </row>
        <row r="199">
          <cell r="B199">
            <v>0</v>
          </cell>
          <cell r="C199" t="str">
            <v>NA</v>
          </cell>
          <cell r="D199">
            <v>0</v>
          </cell>
          <cell r="E199">
            <v>0.21859999999999999</v>
          </cell>
          <cell r="F199">
            <v>3.1E-2</v>
          </cell>
          <cell r="G199">
            <v>17.827161443157799</v>
          </cell>
          <cell r="H199">
            <v>11.4649560534773</v>
          </cell>
          <cell r="I199">
            <v>6.8508056403060298</v>
          </cell>
          <cell r="J199">
            <v>222879.84399490399</v>
          </cell>
          <cell r="K199">
            <v>131028.353313816</v>
          </cell>
          <cell r="L199">
            <v>1</v>
          </cell>
          <cell r="M199">
            <v>0</v>
          </cell>
        </row>
        <row r="200">
          <cell r="B200">
            <v>0</v>
          </cell>
          <cell r="C200" t="str">
            <v>NA</v>
          </cell>
          <cell r="D200">
            <v>0</v>
          </cell>
          <cell r="E200">
            <v>0.10580000000000001</v>
          </cell>
          <cell r="F200">
            <v>4.2200000000000001E-2</v>
          </cell>
          <cell r="G200">
            <v>19.7794661536884</v>
          </cell>
          <cell r="H200">
            <v>14.253480877150199</v>
          </cell>
          <cell r="I200">
            <v>8.5044587671813492</v>
          </cell>
          <cell r="J200">
            <v>215578.53831527801</v>
          </cell>
          <cell r="K200">
            <v>127219.82256878</v>
          </cell>
          <cell r="L200">
            <v>1</v>
          </cell>
          <cell r="M200">
            <v>0</v>
          </cell>
        </row>
        <row r="201">
          <cell r="B201">
            <v>0</v>
          </cell>
          <cell r="C201" t="str">
            <v>NA</v>
          </cell>
          <cell r="D201">
            <v>0</v>
          </cell>
          <cell r="E201">
            <v>0.17100000000000001</v>
          </cell>
          <cell r="F201">
            <v>3.9899999999999998E-2</v>
          </cell>
          <cell r="G201">
            <v>18.213048459892601</v>
          </cell>
          <cell r="H201">
            <v>11.897003069442199</v>
          </cell>
          <cell r="I201">
            <v>7.1635839524623304</v>
          </cell>
          <cell r="J201">
            <v>229426.99955473101</v>
          </cell>
          <cell r="K201">
            <v>135963.44985555499</v>
          </cell>
          <cell r="L201">
            <v>1</v>
          </cell>
          <cell r="M201">
            <v>0</v>
          </cell>
        </row>
        <row r="202">
          <cell r="B202">
            <v>0</v>
          </cell>
          <cell r="C202" t="str">
            <v>NA</v>
          </cell>
          <cell r="D202">
            <v>0</v>
          </cell>
          <cell r="E202">
            <v>0.23250000000000001</v>
          </cell>
          <cell r="F202">
            <v>3.7199999999999997E-2</v>
          </cell>
          <cell r="G202">
            <v>16.435645024979902</v>
          </cell>
          <cell r="H202">
            <v>9.7554774766540095</v>
          </cell>
          <cell r="I202">
            <v>5.9258305867856</v>
          </cell>
          <cell r="J202">
            <v>194741.04977737</v>
          </cell>
          <cell r="K202">
            <v>117500.857352483</v>
          </cell>
          <cell r="L202">
            <v>1</v>
          </cell>
          <cell r="M202">
            <v>0</v>
          </cell>
        </row>
        <row r="203">
          <cell r="B203">
            <v>0</v>
          </cell>
          <cell r="C203" t="str">
            <v>NA</v>
          </cell>
          <cell r="D203">
            <v>0</v>
          </cell>
          <cell r="E203">
            <v>0.16550000000000001</v>
          </cell>
          <cell r="F203">
            <v>3.0300000000000001E-2</v>
          </cell>
          <cell r="G203">
            <v>18.988706403428601</v>
          </cell>
          <cell r="H203">
            <v>14.217060261945999</v>
          </cell>
          <cell r="I203">
            <v>8.50637501109561</v>
          </cell>
          <cell r="J203">
            <v>222236.52283172199</v>
          </cell>
          <cell r="K203">
            <v>130830.57104461901</v>
          </cell>
          <cell r="L203">
            <v>1</v>
          </cell>
          <cell r="M203">
            <v>0</v>
          </cell>
        </row>
        <row r="204">
          <cell r="B204">
            <v>0</v>
          </cell>
          <cell r="C204" t="str">
            <v>NA</v>
          </cell>
          <cell r="D204">
            <v>0</v>
          </cell>
          <cell r="E204">
            <v>0.1178</v>
          </cell>
          <cell r="F204">
            <v>4.7100000000000003E-2</v>
          </cell>
          <cell r="G204">
            <v>17.139010912206299</v>
          </cell>
          <cell r="H204">
            <v>13.743430408181601</v>
          </cell>
          <cell r="I204">
            <v>8.5087596760593307</v>
          </cell>
          <cell r="J204">
            <v>205187.68341986201</v>
          </cell>
          <cell r="K204">
            <v>126188.585176462</v>
          </cell>
          <cell r="L204">
            <v>1</v>
          </cell>
          <cell r="M204">
            <v>0</v>
          </cell>
        </row>
        <row r="205">
          <cell r="B205">
            <v>0</v>
          </cell>
          <cell r="C205" t="str">
            <v>NA</v>
          </cell>
          <cell r="D205">
            <v>0</v>
          </cell>
          <cell r="E205">
            <v>0.14779999999999999</v>
          </cell>
          <cell r="F205">
            <v>3.1E-2</v>
          </cell>
          <cell r="G205">
            <v>18.860606841948201</v>
          </cell>
          <cell r="H205">
            <v>12.8114147070572</v>
          </cell>
          <cell r="I205">
            <v>7.71564964500124</v>
          </cell>
          <cell r="J205">
            <v>168408.125471698</v>
          </cell>
          <cell r="K205">
            <v>101891.645924155</v>
          </cell>
          <cell r="L205">
            <v>1</v>
          </cell>
          <cell r="M205">
            <v>0</v>
          </cell>
        </row>
        <row r="206">
          <cell r="B206">
            <v>0</v>
          </cell>
          <cell r="C206" t="str">
            <v>NA</v>
          </cell>
          <cell r="D206">
            <v>0</v>
          </cell>
          <cell r="E206">
            <v>0.1792</v>
          </cell>
          <cell r="F206">
            <v>5.6099999999999997E-2</v>
          </cell>
          <cell r="G206">
            <v>19.301449791787899</v>
          </cell>
          <cell r="H206">
            <v>12.676550451934499</v>
          </cell>
          <cell r="I206">
            <v>7.43924969371096</v>
          </cell>
          <cell r="J206">
            <v>208817.44038450799</v>
          </cell>
          <cell r="K206">
            <v>120527.530509219</v>
          </cell>
          <cell r="L206">
            <v>1</v>
          </cell>
          <cell r="M206">
            <v>0</v>
          </cell>
        </row>
        <row r="207">
          <cell r="B207">
            <v>0</v>
          </cell>
          <cell r="C207" t="str">
            <v>NA</v>
          </cell>
          <cell r="D207">
            <v>0</v>
          </cell>
          <cell r="E207">
            <v>0.14019999999999999</v>
          </cell>
          <cell r="F207">
            <v>4.2599999999999999E-2</v>
          </cell>
          <cell r="G207">
            <v>20.265190584373599</v>
          </cell>
          <cell r="H207">
            <v>12.7958921312561</v>
          </cell>
          <cell r="I207">
            <v>7.5074268308298704</v>
          </cell>
          <cell r="J207">
            <v>166190.88998653</v>
          </cell>
          <cell r="K207">
            <v>97775.327046565406</v>
          </cell>
          <cell r="L207">
            <v>1</v>
          </cell>
          <cell r="M207">
            <v>0</v>
          </cell>
        </row>
        <row r="208">
          <cell r="B208">
            <v>0</v>
          </cell>
          <cell r="C208" t="str">
            <v>NA</v>
          </cell>
          <cell r="D208">
            <v>0</v>
          </cell>
          <cell r="E208">
            <v>0.1857</v>
          </cell>
          <cell r="F208">
            <v>5.0900000000000001E-2</v>
          </cell>
          <cell r="G208">
            <v>16.8923862720325</v>
          </cell>
          <cell r="H208">
            <v>12.2629886596453</v>
          </cell>
          <cell r="I208">
            <v>7.4653654207292997</v>
          </cell>
          <cell r="J208">
            <v>201679.769119531</v>
          </cell>
          <cell r="K208">
            <v>121885.19394844701</v>
          </cell>
          <cell r="L208">
            <v>1</v>
          </cell>
          <cell r="M208">
            <v>0</v>
          </cell>
        </row>
        <row r="209">
          <cell r="B209">
            <v>0</v>
          </cell>
          <cell r="C209" t="str">
            <v>NA</v>
          </cell>
          <cell r="D209">
            <v>0</v>
          </cell>
          <cell r="E209">
            <v>0.1085</v>
          </cell>
          <cell r="F209">
            <v>4.2500000000000003E-2</v>
          </cell>
          <cell r="G209">
            <v>19.7314048351537</v>
          </cell>
          <cell r="H209">
            <v>12.4576598711462</v>
          </cell>
          <cell r="I209">
            <v>7.4260364067480404</v>
          </cell>
          <cell r="J209">
            <v>274484.58262978599</v>
          </cell>
          <cell r="K209">
            <v>159741.621635171</v>
          </cell>
          <cell r="L209">
            <v>1</v>
          </cell>
          <cell r="M209">
            <v>0</v>
          </cell>
        </row>
        <row r="210">
          <cell r="B210">
            <v>0</v>
          </cell>
          <cell r="C210" t="str">
            <v>NA</v>
          </cell>
          <cell r="D210">
            <v>0</v>
          </cell>
          <cell r="E210">
            <v>0.33310000000000001</v>
          </cell>
          <cell r="F210">
            <v>3.2899999999999999E-2</v>
          </cell>
          <cell r="G210">
            <v>15.307522171191501</v>
          </cell>
          <cell r="H210">
            <v>10.6542568695551</v>
          </cell>
          <cell r="I210">
            <v>6.3924005881318999</v>
          </cell>
          <cell r="J210">
            <v>193798.098649361</v>
          </cell>
          <cell r="K210">
            <v>114741.20396553801</v>
          </cell>
          <cell r="L210">
            <v>1</v>
          </cell>
          <cell r="M210">
            <v>0</v>
          </cell>
        </row>
        <row r="211">
          <cell r="B211">
            <v>0</v>
          </cell>
          <cell r="C211" t="str">
            <v>NA</v>
          </cell>
          <cell r="D211">
            <v>0</v>
          </cell>
          <cell r="E211">
            <v>0.20580000000000001</v>
          </cell>
          <cell r="F211">
            <v>5.3900000000000003E-2</v>
          </cell>
          <cell r="G211">
            <v>15.346769387412699</v>
          </cell>
          <cell r="H211">
            <v>12.7414218700326</v>
          </cell>
          <cell r="I211">
            <v>7.90810234872969</v>
          </cell>
          <cell r="J211">
            <v>185491.40861765199</v>
          </cell>
          <cell r="K211">
            <v>115273.451527274</v>
          </cell>
          <cell r="L211">
            <v>1</v>
          </cell>
          <cell r="M211">
            <v>0</v>
          </cell>
        </row>
        <row r="212">
          <cell r="B212">
            <v>0</v>
          </cell>
          <cell r="C212" t="str">
            <v>NA</v>
          </cell>
          <cell r="D212">
            <v>0</v>
          </cell>
          <cell r="E212">
            <v>0.11459999999999999</v>
          </cell>
          <cell r="F212">
            <v>3.0800000000000001E-2</v>
          </cell>
          <cell r="G212">
            <v>19.792221612342601</v>
          </cell>
          <cell r="H212">
            <v>11.9313963695736</v>
          </cell>
          <cell r="I212">
            <v>7.1467524574685699</v>
          </cell>
          <cell r="J212">
            <v>240379.25301310199</v>
          </cell>
          <cell r="K212">
            <v>141556.534878568</v>
          </cell>
          <cell r="L212">
            <v>1</v>
          </cell>
          <cell r="M212">
            <v>0</v>
          </cell>
        </row>
        <row r="213">
          <cell r="B213">
            <v>0</v>
          </cell>
          <cell r="C213" t="str">
            <v>NA</v>
          </cell>
          <cell r="D213">
            <v>0</v>
          </cell>
          <cell r="E213">
            <v>0.15559999999999999</v>
          </cell>
          <cell r="F213">
            <v>4.07E-2</v>
          </cell>
          <cell r="G213">
            <v>20.248149729971999</v>
          </cell>
          <cell r="H213">
            <v>14.722779087114301</v>
          </cell>
          <cell r="I213">
            <v>8.6194430154888799</v>
          </cell>
          <cell r="J213">
            <v>275463.19203180698</v>
          </cell>
          <cell r="K213">
            <v>156195.655393191</v>
          </cell>
          <cell r="L213">
            <v>1</v>
          </cell>
          <cell r="M213">
            <v>0</v>
          </cell>
        </row>
        <row r="214">
          <cell r="B214">
            <v>0</v>
          </cell>
          <cell r="C214" t="str">
            <v>NA</v>
          </cell>
          <cell r="D214">
            <v>0</v>
          </cell>
          <cell r="E214">
            <v>0.19220000000000001</v>
          </cell>
          <cell r="F214">
            <v>3.6499999999999998E-2</v>
          </cell>
          <cell r="G214">
            <v>18.0908473761755</v>
          </cell>
          <cell r="H214">
            <v>11.970955648014799</v>
          </cell>
          <cell r="I214">
            <v>7.1659377132446398</v>
          </cell>
          <cell r="J214">
            <v>134354.437321262</v>
          </cell>
          <cell r="K214">
            <v>82378.966316822305</v>
          </cell>
          <cell r="L214">
            <v>1</v>
          </cell>
          <cell r="M214">
            <v>0</v>
          </cell>
        </row>
        <row r="215">
          <cell r="B215">
            <v>0</v>
          </cell>
          <cell r="C215" t="str">
            <v>NA</v>
          </cell>
          <cell r="D215">
            <v>0</v>
          </cell>
          <cell r="E215">
            <v>0.18709999999999999</v>
          </cell>
          <cell r="F215">
            <v>2.9700000000000001E-2</v>
          </cell>
          <cell r="G215">
            <v>18.316002441704299</v>
          </cell>
          <cell r="H215">
            <v>13.9517335159717</v>
          </cell>
          <cell r="I215">
            <v>8.3681158928372206</v>
          </cell>
          <cell r="J215">
            <v>222383.54498569199</v>
          </cell>
          <cell r="K215">
            <v>131250.57708515599</v>
          </cell>
          <cell r="L215">
            <v>1</v>
          </cell>
          <cell r="M215">
            <v>0</v>
          </cell>
        </row>
        <row r="216">
          <cell r="B216">
            <v>0</v>
          </cell>
          <cell r="C216" t="str">
            <v>NA</v>
          </cell>
          <cell r="D216">
            <v>0</v>
          </cell>
          <cell r="E216">
            <v>0.18240000000000001</v>
          </cell>
          <cell r="F216">
            <v>3.85E-2</v>
          </cell>
          <cell r="G216">
            <v>17.983430752977799</v>
          </cell>
          <cell r="H216">
            <v>13.593464164306299</v>
          </cell>
          <cell r="I216">
            <v>8.1571205136002707</v>
          </cell>
          <cell r="J216">
            <v>183563.32230735201</v>
          </cell>
          <cell r="K216">
            <v>109916.65733302</v>
          </cell>
          <cell r="L216">
            <v>1</v>
          </cell>
          <cell r="M216">
            <v>0</v>
          </cell>
        </row>
        <row r="217">
          <cell r="B217">
            <v>0</v>
          </cell>
          <cell r="C217" t="str">
            <v>NA</v>
          </cell>
          <cell r="D217">
            <v>0</v>
          </cell>
          <cell r="E217">
            <v>0.2271</v>
          </cell>
          <cell r="F217">
            <v>4.6300000000000001E-2</v>
          </cell>
          <cell r="G217">
            <v>17.760689285650201</v>
          </cell>
          <cell r="H217">
            <v>13.2858772664081</v>
          </cell>
          <cell r="I217">
            <v>7.8911578805325799</v>
          </cell>
          <cell r="J217">
            <v>194632.75700113</v>
          </cell>
          <cell r="K217">
            <v>114268.34447310001</v>
          </cell>
          <cell r="L217">
            <v>1</v>
          </cell>
          <cell r="M217">
            <v>0</v>
          </cell>
        </row>
        <row r="218">
          <cell r="B218">
            <v>0</v>
          </cell>
          <cell r="C218" t="str">
            <v>NA</v>
          </cell>
          <cell r="D218">
            <v>0</v>
          </cell>
          <cell r="E218">
            <v>0.1757</v>
          </cell>
          <cell r="F218">
            <v>3.5200000000000002E-2</v>
          </cell>
          <cell r="G218">
            <v>18.627030369986102</v>
          </cell>
          <cell r="H218">
            <v>14.0676037037861</v>
          </cell>
          <cell r="I218">
            <v>8.4024961453795797</v>
          </cell>
          <cell r="J218">
            <v>202046.42278486901</v>
          </cell>
          <cell r="K218">
            <v>119152.57968538201</v>
          </cell>
          <cell r="L218">
            <v>1</v>
          </cell>
          <cell r="M218">
            <v>0</v>
          </cell>
        </row>
        <row r="219">
          <cell r="B219">
            <v>0</v>
          </cell>
          <cell r="C219" t="str">
            <v>NA</v>
          </cell>
          <cell r="D219">
            <v>0</v>
          </cell>
          <cell r="E219">
            <v>0.1265</v>
          </cell>
          <cell r="F219">
            <v>4.1599999999999998E-2</v>
          </cell>
          <cell r="G219">
            <v>18.727979659799399</v>
          </cell>
          <cell r="H219">
            <v>13.3585563376355</v>
          </cell>
          <cell r="I219">
            <v>8.0507084591733307</v>
          </cell>
          <cell r="J219">
            <v>264108.16351723199</v>
          </cell>
          <cell r="K219">
            <v>155717.95723405899</v>
          </cell>
          <cell r="L219">
            <v>1</v>
          </cell>
          <cell r="M219">
            <v>0</v>
          </cell>
        </row>
        <row r="220">
          <cell r="B220">
            <v>0</v>
          </cell>
          <cell r="C220" t="str">
            <v>NA</v>
          </cell>
          <cell r="D220">
            <v>0</v>
          </cell>
          <cell r="E220">
            <v>0.1656</v>
          </cell>
          <cell r="F220">
            <v>3.44E-2</v>
          </cell>
          <cell r="G220">
            <v>18.9018156304403</v>
          </cell>
          <cell r="H220">
            <v>13.5086444572548</v>
          </cell>
          <cell r="I220">
            <v>8.0650641088977295</v>
          </cell>
          <cell r="J220">
            <v>253314.03876341501</v>
          </cell>
          <cell r="K220">
            <v>147847.77094877599</v>
          </cell>
          <cell r="L220">
            <v>1</v>
          </cell>
          <cell r="M220">
            <v>0</v>
          </cell>
        </row>
        <row r="221">
          <cell r="B221">
            <v>0</v>
          </cell>
          <cell r="C221" t="str">
            <v>NA</v>
          </cell>
          <cell r="D221">
            <v>0</v>
          </cell>
          <cell r="E221">
            <v>0.21879999999999999</v>
          </cell>
          <cell r="F221">
            <v>2.5100000000000001E-2</v>
          </cell>
          <cell r="G221">
            <v>16.3837071121214</v>
          </cell>
          <cell r="H221">
            <v>11.4667796978521</v>
          </cell>
          <cell r="I221">
            <v>7.0370988401789303</v>
          </cell>
          <cell r="J221">
            <v>176983.271494952</v>
          </cell>
          <cell r="K221">
            <v>108899.30340092001</v>
          </cell>
          <cell r="L221">
            <v>1</v>
          </cell>
          <cell r="M221">
            <v>0</v>
          </cell>
        </row>
        <row r="222">
          <cell r="B222">
            <v>0</v>
          </cell>
          <cell r="C222" t="str">
            <v>NA</v>
          </cell>
          <cell r="D222">
            <v>0</v>
          </cell>
          <cell r="E222">
            <v>0.17480000000000001</v>
          </cell>
          <cell r="F222">
            <v>3.1899999999999998E-2</v>
          </cell>
          <cell r="G222">
            <v>18.310191171476401</v>
          </cell>
          <cell r="H222">
            <v>13.546546984354899</v>
          </cell>
          <cell r="I222">
            <v>8.1310695194243596</v>
          </cell>
          <cell r="J222">
            <v>184626.832060649</v>
          </cell>
          <cell r="K222">
            <v>110441.251596976</v>
          </cell>
          <cell r="L222">
            <v>1</v>
          </cell>
          <cell r="M222">
            <v>0</v>
          </cell>
        </row>
        <row r="223">
          <cell r="B223">
            <v>0</v>
          </cell>
          <cell r="C223" t="str">
            <v>NA</v>
          </cell>
          <cell r="D223">
            <v>0</v>
          </cell>
          <cell r="E223">
            <v>0.19350000000000001</v>
          </cell>
          <cell r="F223">
            <v>5.33E-2</v>
          </cell>
          <cell r="G223">
            <v>16.982161520616899</v>
          </cell>
          <cell r="H223">
            <v>10.397809463346301</v>
          </cell>
          <cell r="I223">
            <v>6.3307375168734499</v>
          </cell>
          <cell r="J223">
            <v>188306.85992515099</v>
          </cell>
          <cell r="K223">
            <v>114093.830057489</v>
          </cell>
          <cell r="L223">
            <v>1</v>
          </cell>
          <cell r="M223">
            <v>0</v>
          </cell>
        </row>
        <row r="224">
          <cell r="B224">
            <v>0</v>
          </cell>
          <cell r="C224" t="str">
            <v>NA</v>
          </cell>
          <cell r="D224">
            <v>0</v>
          </cell>
          <cell r="E224">
            <v>0.1769</v>
          </cell>
          <cell r="F224">
            <v>3.3500000000000002E-2</v>
          </cell>
          <cell r="G224">
            <v>18.035822653046701</v>
          </cell>
          <cell r="H224">
            <v>12.579648528871299</v>
          </cell>
          <cell r="I224">
            <v>7.5781452253715997</v>
          </cell>
          <cell r="J224">
            <v>201928.58017985401</v>
          </cell>
          <cell r="K224">
            <v>120639.130532333</v>
          </cell>
          <cell r="L224">
            <v>1</v>
          </cell>
          <cell r="M224">
            <v>0</v>
          </cell>
        </row>
        <row r="225">
          <cell r="B225">
            <v>0</v>
          </cell>
          <cell r="C225" t="str">
            <v>NA</v>
          </cell>
          <cell r="D225">
            <v>0</v>
          </cell>
          <cell r="E225">
            <v>0.15870000000000001</v>
          </cell>
          <cell r="F225">
            <v>2.76E-2</v>
          </cell>
          <cell r="G225">
            <v>17.295400666551298</v>
          </cell>
          <cell r="H225">
            <v>11.607063067494501</v>
          </cell>
          <cell r="I225">
            <v>7.12458457037242</v>
          </cell>
          <cell r="J225">
            <v>204867.46300152701</v>
          </cell>
          <cell r="K225">
            <v>125026.69329164999</v>
          </cell>
          <cell r="L225">
            <v>1</v>
          </cell>
          <cell r="M225">
            <v>0</v>
          </cell>
        </row>
        <row r="226">
          <cell r="B226">
            <v>0</v>
          </cell>
          <cell r="C226" t="str">
            <v>NA</v>
          </cell>
          <cell r="D226">
            <v>0</v>
          </cell>
          <cell r="E226">
            <v>0.16300000000000001</v>
          </cell>
          <cell r="F226">
            <v>4.9599999999999998E-2</v>
          </cell>
          <cell r="G226">
            <v>18.6570050829535</v>
          </cell>
          <cell r="H226">
            <v>13.242871144569699</v>
          </cell>
          <cell r="I226">
            <v>7.8947093056823299</v>
          </cell>
          <cell r="J226">
            <v>224401.21164695401</v>
          </cell>
          <cell r="K226">
            <v>131380.78454177</v>
          </cell>
          <cell r="L226">
            <v>1</v>
          </cell>
          <cell r="M226">
            <v>0</v>
          </cell>
        </row>
        <row r="227">
          <cell r="B227">
            <v>0</v>
          </cell>
          <cell r="C227" t="str">
            <v>NA</v>
          </cell>
          <cell r="D227">
            <v>0</v>
          </cell>
          <cell r="E227">
            <v>0.15490000000000001</v>
          </cell>
          <cell r="F227">
            <v>4.3999999999999997E-2</v>
          </cell>
          <cell r="G227">
            <v>16.353561219347799</v>
          </cell>
          <cell r="H227">
            <v>12.7801010346009</v>
          </cell>
          <cell r="I227">
            <v>7.9520099981102996</v>
          </cell>
          <cell r="J227">
            <v>166405.442223163</v>
          </cell>
          <cell r="K227">
            <v>104455.230284369</v>
          </cell>
          <cell r="L227">
            <v>1</v>
          </cell>
          <cell r="M227">
            <v>0</v>
          </cell>
        </row>
        <row r="228">
          <cell r="B228">
            <v>0</v>
          </cell>
          <cell r="C228" t="str">
            <v>NA</v>
          </cell>
          <cell r="D228">
            <v>0</v>
          </cell>
          <cell r="E228">
            <v>0.18329999999999999</v>
          </cell>
          <cell r="F228">
            <v>3.8699999999999998E-2</v>
          </cell>
          <cell r="G228">
            <v>17.792739258355599</v>
          </cell>
          <cell r="H228">
            <v>11.969327074386699</v>
          </cell>
          <cell r="I228">
            <v>7.2078382715628502</v>
          </cell>
          <cell r="J228">
            <v>224283.870414759</v>
          </cell>
          <cell r="K228">
            <v>132934.98098748701</v>
          </cell>
          <cell r="L228">
            <v>1</v>
          </cell>
          <cell r="M228">
            <v>0</v>
          </cell>
        </row>
        <row r="229">
          <cell r="B229">
            <v>0</v>
          </cell>
          <cell r="C229" t="str">
            <v>NA</v>
          </cell>
          <cell r="D229">
            <v>0</v>
          </cell>
          <cell r="E229">
            <v>0.1774</v>
          </cell>
          <cell r="F229">
            <v>4.2000000000000003E-2</v>
          </cell>
          <cell r="G229">
            <v>19.001319380726599</v>
          </cell>
          <cell r="H229">
            <v>13.635171413424899</v>
          </cell>
          <cell r="I229">
            <v>8.0948494562986593</v>
          </cell>
          <cell r="J229">
            <v>196369.065767986</v>
          </cell>
          <cell r="K229">
            <v>115358.24660989099</v>
          </cell>
          <cell r="L229">
            <v>1</v>
          </cell>
          <cell r="M229">
            <v>0</v>
          </cell>
        </row>
        <row r="230">
          <cell r="B230">
            <v>0</v>
          </cell>
          <cell r="C230" t="str">
            <v>NA</v>
          </cell>
          <cell r="D230">
            <v>0</v>
          </cell>
          <cell r="E230">
            <v>0.1482</v>
          </cell>
          <cell r="F230">
            <v>4.0599999999999997E-2</v>
          </cell>
          <cell r="G230">
            <v>17.630195472126399</v>
          </cell>
          <cell r="H230">
            <v>12.6684343047248</v>
          </cell>
          <cell r="I230">
            <v>7.7323582488747302</v>
          </cell>
          <cell r="J230">
            <v>195986.66251999</v>
          </cell>
          <cell r="K230">
            <v>119356.506274949</v>
          </cell>
          <cell r="L230">
            <v>1</v>
          </cell>
          <cell r="M230">
            <v>0</v>
          </cell>
        </row>
        <row r="231">
          <cell r="B231">
            <v>0</v>
          </cell>
          <cell r="C231" t="str">
            <v>NA</v>
          </cell>
          <cell r="D231">
            <v>0</v>
          </cell>
          <cell r="E231">
            <v>0.16550000000000001</v>
          </cell>
          <cell r="F231">
            <v>3.3799999999999997E-2</v>
          </cell>
          <cell r="G231">
            <v>18.680242672985202</v>
          </cell>
          <cell r="H231">
            <v>14.4966143836543</v>
          </cell>
          <cell r="I231">
            <v>8.6797151170668307</v>
          </cell>
          <cell r="J231">
            <v>263914.87252568098</v>
          </cell>
          <cell r="K231">
            <v>154352.49860312199</v>
          </cell>
          <cell r="L231">
            <v>1</v>
          </cell>
          <cell r="M231">
            <v>0</v>
          </cell>
        </row>
        <row r="232">
          <cell r="B232">
            <v>0</v>
          </cell>
          <cell r="C232" t="str">
            <v>NA</v>
          </cell>
          <cell r="D232">
            <v>0</v>
          </cell>
          <cell r="E232">
            <v>0.12620000000000001</v>
          </cell>
          <cell r="F232">
            <v>4.8899999999999999E-2</v>
          </cell>
          <cell r="G232">
            <v>18.189162052989499</v>
          </cell>
          <cell r="H232">
            <v>11.426601011611099</v>
          </cell>
          <cell r="I232">
            <v>6.9412261357961498</v>
          </cell>
          <cell r="J232">
            <v>217519.38229629101</v>
          </cell>
          <cell r="K232">
            <v>130896.954294152</v>
          </cell>
          <cell r="L232">
            <v>1</v>
          </cell>
          <cell r="M232">
            <v>0</v>
          </cell>
        </row>
        <row r="233">
          <cell r="B233">
            <v>0</v>
          </cell>
          <cell r="C233" t="str">
            <v>NA</v>
          </cell>
          <cell r="D233">
            <v>0</v>
          </cell>
          <cell r="E233">
            <v>0.1457</v>
          </cell>
          <cell r="F233">
            <v>5.21E-2</v>
          </cell>
          <cell r="G233">
            <v>18.8099925372372</v>
          </cell>
          <cell r="H233">
            <v>12.3893122555061</v>
          </cell>
          <cell r="I233">
            <v>7.4213220067726198</v>
          </cell>
          <cell r="J233">
            <v>201343.64839661101</v>
          </cell>
          <cell r="K233">
            <v>119405.424201442</v>
          </cell>
          <cell r="L233">
            <v>1</v>
          </cell>
          <cell r="M233">
            <v>0</v>
          </cell>
        </row>
        <row r="234">
          <cell r="B234">
            <v>0</v>
          </cell>
          <cell r="C234" t="str">
            <v>NA</v>
          </cell>
          <cell r="D234">
            <v>0</v>
          </cell>
          <cell r="E234">
            <v>0.2404</v>
          </cell>
          <cell r="F234">
            <v>3.0300000000000001E-2</v>
          </cell>
          <cell r="G234">
            <v>16.098603668312801</v>
          </cell>
          <cell r="H234">
            <v>10.709361234831899</v>
          </cell>
          <cell r="I234">
            <v>6.5411866257799796</v>
          </cell>
          <cell r="J234">
            <v>160885.39012350701</v>
          </cell>
          <cell r="K234">
            <v>98915.743045077499</v>
          </cell>
          <cell r="L234">
            <v>1</v>
          </cell>
          <cell r="M234">
            <v>0</v>
          </cell>
        </row>
        <row r="235">
          <cell r="B235">
            <v>0</v>
          </cell>
          <cell r="C235" t="str">
            <v>NA</v>
          </cell>
          <cell r="D235">
            <v>0</v>
          </cell>
          <cell r="E235">
            <v>0.21729999999999999</v>
          </cell>
          <cell r="F235">
            <v>4.5499999999999999E-2</v>
          </cell>
          <cell r="G235">
            <v>17.718866959748901</v>
          </cell>
          <cell r="H235">
            <v>12.089096408966901</v>
          </cell>
          <cell r="I235">
            <v>7.2003981946280202</v>
          </cell>
          <cell r="J235">
            <v>201222.579297205</v>
          </cell>
          <cell r="K235">
            <v>118326.212154443</v>
          </cell>
          <cell r="L235">
            <v>1</v>
          </cell>
          <cell r="M235">
            <v>0</v>
          </cell>
        </row>
        <row r="236">
          <cell r="B236">
            <v>0</v>
          </cell>
          <cell r="C236" t="str">
            <v>NA</v>
          </cell>
          <cell r="D236">
            <v>0</v>
          </cell>
          <cell r="E236">
            <v>0.15310000000000001</v>
          </cell>
          <cell r="F236">
            <v>3.5200000000000002E-2</v>
          </cell>
          <cell r="G236">
            <v>18.562326190005901</v>
          </cell>
          <cell r="H236">
            <v>14.3027228606765</v>
          </cell>
          <cell r="I236">
            <v>8.6234126370483004</v>
          </cell>
          <cell r="J236">
            <v>143580.08550735799</v>
          </cell>
          <cell r="K236">
            <v>88116.4399831927</v>
          </cell>
          <cell r="L236">
            <v>1</v>
          </cell>
          <cell r="M236">
            <v>0</v>
          </cell>
        </row>
        <row r="237">
          <cell r="B237">
            <v>0</v>
          </cell>
          <cell r="C237" t="str">
            <v>NA</v>
          </cell>
          <cell r="D237">
            <v>0</v>
          </cell>
          <cell r="E237">
            <v>0.1893</v>
          </cell>
          <cell r="F237">
            <v>2.8799999999999999E-2</v>
          </cell>
          <cell r="G237">
            <v>18.178099756552299</v>
          </cell>
          <cell r="H237">
            <v>11.0563838230974</v>
          </cell>
          <cell r="I237">
            <v>6.6325144191543401</v>
          </cell>
          <cell r="J237">
            <v>187771.566649799</v>
          </cell>
          <cell r="K237">
            <v>111983.524320988</v>
          </cell>
          <cell r="L237">
            <v>1</v>
          </cell>
          <cell r="M237">
            <v>0</v>
          </cell>
        </row>
        <row r="238">
          <cell r="B238">
            <v>0</v>
          </cell>
          <cell r="C238" t="str">
            <v>NA</v>
          </cell>
          <cell r="D238">
            <v>0</v>
          </cell>
          <cell r="E238">
            <v>0.13420000000000001</v>
          </cell>
          <cell r="F238">
            <v>4.0300000000000002E-2</v>
          </cell>
          <cell r="G238">
            <v>18.8191474187092</v>
          </cell>
          <cell r="H238">
            <v>13.438772775305999</v>
          </cell>
          <cell r="I238">
            <v>8.1179608219868893</v>
          </cell>
          <cell r="J238">
            <v>263323.69319318398</v>
          </cell>
          <cell r="K238">
            <v>155643.55763193601</v>
          </cell>
          <cell r="L238">
            <v>1</v>
          </cell>
          <cell r="M238">
            <v>0</v>
          </cell>
        </row>
        <row r="239">
          <cell r="B239">
            <v>0</v>
          </cell>
          <cell r="C239" t="str">
            <v>NA</v>
          </cell>
          <cell r="D239">
            <v>0</v>
          </cell>
          <cell r="E239">
            <v>0.20799999999999999</v>
          </cell>
          <cell r="F239">
            <v>3.9E-2</v>
          </cell>
          <cell r="G239">
            <v>17.785155363790299</v>
          </cell>
          <cell r="H239">
            <v>12.761497713256199</v>
          </cell>
          <cell r="I239">
            <v>7.6084908877536099</v>
          </cell>
          <cell r="J239">
            <v>167095.37397677801</v>
          </cell>
          <cell r="K239">
            <v>99756.795459293106</v>
          </cell>
          <cell r="L239">
            <v>1</v>
          </cell>
          <cell r="M239">
            <v>0</v>
          </cell>
        </row>
        <row r="240">
          <cell r="B240">
            <v>0</v>
          </cell>
          <cell r="C240" t="str">
            <v>NA</v>
          </cell>
          <cell r="D240">
            <v>0</v>
          </cell>
          <cell r="E240">
            <v>0.21179999999999999</v>
          </cell>
          <cell r="F240">
            <v>4.1700000000000001E-2</v>
          </cell>
          <cell r="G240">
            <v>16.375622700369899</v>
          </cell>
          <cell r="H240">
            <v>13.007039786968299</v>
          </cell>
          <cell r="I240">
            <v>7.9258060562580397</v>
          </cell>
          <cell r="J240">
            <v>213203.03217255199</v>
          </cell>
          <cell r="K240">
            <v>128615.327261835</v>
          </cell>
          <cell r="L240">
            <v>1</v>
          </cell>
          <cell r="M240">
            <v>0</v>
          </cell>
        </row>
        <row r="241">
          <cell r="B241">
            <v>0</v>
          </cell>
          <cell r="C241" t="str">
            <v>NA</v>
          </cell>
          <cell r="D241">
            <v>0</v>
          </cell>
          <cell r="E241">
            <v>0.1363</v>
          </cell>
          <cell r="F241">
            <v>3.6400000000000002E-2</v>
          </cell>
          <cell r="G241">
            <v>19.106313934069501</v>
          </cell>
          <cell r="H241">
            <v>13.384204921835201</v>
          </cell>
          <cell r="I241">
            <v>8.0097153313739096</v>
          </cell>
          <cell r="J241">
            <v>249359.60709425999</v>
          </cell>
          <cell r="K241">
            <v>146299.80685899299</v>
          </cell>
          <cell r="L241">
            <v>1</v>
          </cell>
          <cell r="M241">
            <v>0</v>
          </cell>
        </row>
        <row r="242">
          <cell r="B242">
            <v>0</v>
          </cell>
          <cell r="C242" t="str">
            <v>NA</v>
          </cell>
          <cell r="D242">
            <v>0</v>
          </cell>
          <cell r="E242">
            <v>0.1231</v>
          </cell>
          <cell r="F242">
            <v>4.1399999999999999E-2</v>
          </cell>
          <cell r="G242">
            <v>20.051054276876801</v>
          </cell>
          <cell r="H242">
            <v>13.1851632036573</v>
          </cell>
          <cell r="I242">
            <v>7.8349680379495696</v>
          </cell>
          <cell r="J242">
            <v>152292.649916428</v>
          </cell>
          <cell r="K242">
            <v>91338.149718350498</v>
          </cell>
          <cell r="L242">
            <v>1</v>
          </cell>
          <cell r="M242">
            <v>0</v>
          </cell>
        </row>
        <row r="243">
          <cell r="B243">
            <v>0</v>
          </cell>
          <cell r="C243" t="str">
            <v>NA</v>
          </cell>
          <cell r="D243">
            <v>0</v>
          </cell>
          <cell r="E243">
            <v>0.1694</v>
          </cell>
          <cell r="F243">
            <v>3.15E-2</v>
          </cell>
          <cell r="G243">
            <v>19.152685449124998</v>
          </cell>
          <cell r="H243">
            <v>13.9823815325363</v>
          </cell>
          <cell r="I243">
            <v>8.3228584709708304</v>
          </cell>
          <cell r="J243">
            <v>160178.22923997499</v>
          </cell>
          <cell r="K243">
            <v>95978.474100593899</v>
          </cell>
          <cell r="L243">
            <v>1</v>
          </cell>
          <cell r="M243">
            <v>0</v>
          </cell>
        </row>
        <row r="244">
          <cell r="B244">
            <v>0</v>
          </cell>
          <cell r="C244" t="str">
            <v>NA</v>
          </cell>
          <cell r="D244">
            <v>0</v>
          </cell>
          <cell r="E244">
            <v>0.25109999999999999</v>
          </cell>
          <cell r="F244">
            <v>3.15E-2</v>
          </cell>
          <cell r="G244">
            <v>15.2186679394134</v>
          </cell>
          <cell r="H244">
            <v>11.460537942916501</v>
          </cell>
          <cell r="I244">
            <v>7.1101501260378503</v>
          </cell>
          <cell r="J244">
            <v>152725.90650460901</v>
          </cell>
          <cell r="K244">
            <v>95776.124569497406</v>
          </cell>
          <cell r="L244">
            <v>1</v>
          </cell>
          <cell r="M244">
            <v>0</v>
          </cell>
        </row>
        <row r="245">
          <cell r="B245">
            <v>0</v>
          </cell>
          <cell r="C245" t="str">
            <v>NA</v>
          </cell>
          <cell r="D245">
            <v>0</v>
          </cell>
          <cell r="E245">
            <v>0.13739999999999999</v>
          </cell>
          <cell r="F245">
            <v>4.6699999999999998E-2</v>
          </cell>
          <cell r="G245">
            <v>18.1888600858973</v>
          </cell>
          <cell r="H245">
            <v>13.314656244543301</v>
          </cell>
          <cell r="I245">
            <v>8.0720650225936801</v>
          </cell>
          <cell r="J245">
            <v>170341.20371777701</v>
          </cell>
          <cell r="K245">
            <v>103677.910894922</v>
          </cell>
          <cell r="L245">
            <v>1</v>
          </cell>
          <cell r="M245">
            <v>0</v>
          </cell>
        </row>
        <row r="246">
          <cell r="B246">
            <v>0</v>
          </cell>
          <cell r="C246" t="str">
            <v>NA</v>
          </cell>
          <cell r="D246">
            <v>0</v>
          </cell>
          <cell r="E246">
            <v>0.1101</v>
          </cell>
          <cell r="F246">
            <v>4.7E-2</v>
          </cell>
          <cell r="G246">
            <v>18.167370383526599</v>
          </cell>
          <cell r="H246">
            <v>11.640333177823299</v>
          </cell>
          <cell r="I246">
            <v>7.1171931530503203</v>
          </cell>
          <cell r="J246">
            <v>185722.16343098501</v>
          </cell>
          <cell r="K246">
            <v>113535.98879753699</v>
          </cell>
          <cell r="L246">
            <v>1</v>
          </cell>
          <cell r="M246">
            <v>0</v>
          </cell>
        </row>
        <row r="247">
          <cell r="B247">
            <v>0</v>
          </cell>
          <cell r="C247" t="str">
            <v>NA</v>
          </cell>
          <cell r="D247">
            <v>0</v>
          </cell>
          <cell r="E247">
            <v>0.20449999999999999</v>
          </cell>
          <cell r="F247">
            <v>4.3400000000000001E-2</v>
          </cell>
          <cell r="G247">
            <v>17.294643373829199</v>
          </cell>
          <cell r="H247">
            <v>12.319798795178899</v>
          </cell>
          <cell r="I247">
            <v>7.42082723557479</v>
          </cell>
          <cell r="J247">
            <v>203963.26849583499</v>
          </cell>
          <cell r="K247">
            <v>121533.93809106501</v>
          </cell>
          <cell r="L247">
            <v>1</v>
          </cell>
          <cell r="M247">
            <v>0</v>
          </cell>
        </row>
        <row r="248">
          <cell r="B248">
            <v>0</v>
          </cell>
          <cell r="C248" t="str">
            <v>NA</v>
          </cell>
          <cell r="D248">
            <v>0</v>
          </cell>
          <cell r="E248">
            <v>0.2399</v>
          </cell>
          <cell r="F248">
            <v>4.2000000000000003E-2</v>
          </cell>
          <cell r="G248">
            <v>16.856078244816999</v>
          </cell>
          <cell r="H248">
            <v>11.934808028466501</v>
          </cell>
          <cell r="I248">
            <v>7.1909177470088101</v>
          </cell>
          <cell r="J248">
            <v>137622.576101332</v>
          </cell>
          <cell r="K248">
            <v>84126.007851749993</v>
          </cell>
          <cell r="L248">
            <v>1</v>
          </cell>
          <cell r="M248">
            <v>0</v>
          </cell>
        </row>
        <row r="249">
          <cell r="B249">
            <v>0</v>
          </cell>
          <cell r="C249" t="str">
            <v>NA</v>
          </cell>
          <cell r="D249">
            <v>0</v>
          </cell>
          <cell r="E249">
            <v>0.19639999999999999</v>
          </cell>
          <cell r="F249">
            <v>3.1E-2</v>
          </cell>
          <cell r="G249">
            <v>18.006315131405199</v>
          </cell>
          <cell r="H249">
            <v>14.5374745489107</v>
          </cell>
          <cell r="I249">
            <v>8.7475019651583104</v>
          </cell>
          <cell r="J249">
            <v>206685.9886518</v>
          </cell>
          <cell r="K249">
            <v>123114.300713783</v>
          </cell>
          <cell r="L249">
            <v>1</v>
          </cell>
          <cell r="M249">
            <v>0</v>
          </cell>
        </row>
        <row r="250">
          <cell r="B250">
            <v>0</v>
          </cell>
          <cell r="C250" t="str">
            <v>NA</v>
          </cell>
          <cell r="D250">
            <v>0</v>
          </cell>
          <cell r="E250">
            <v>0.15190000000000001</v>
          </cell>
          <cell r="F250">
            <v>5.6599999999999998E-2</v>
          </cell>
          <cell r="G250">
            <v>17.3702546808736</v>
          </cell>
          <cell r="H250">
            <v>12.126389307853</v>
          </cell>
          <cell r="I250">
            <v>7.4108768529898503</v>
          </cell>
          <cell r="J250">
            <v>144694.64177290199</v>
          </cell>
          <cell r="K250">
            <v>90069.223870702001</v>
          </cell>
          <cell r="L250">
            <v>1</v>
          </cell>
          <cell r="M250">
            <v>0</v>
          </cell>
        </row>
        <row r="251">
          <cell r="B251">
            <v>0</v>
          </cell>
          <cell r="C251" t="str">
            <v>NA</v>
          </cell>
          <cell r="D251">
            <v>0</v>
          </cell>
          <cell r="E251">
            <v>0.19120000000000001</v>
          </cell>
          <cell r="F251">
            <v>5.5199999999999999E-2</v>
          </cell>
          <cell r="G251">
            <v>18.724142698437301</v>
          </cell>
          <cell r="H251">
            <v>13.6837763824541</v>
          </cell>
          <cell r="I251">
            <v>8.0798283993856508</v>
          </cell>
          <cell r="J251">
            <v>190747.44811128601</v>
          </cell>
          <cell r="K251">
            <v>111298.09003294499</v>
          </cell>
          <cell r="L251">
            <v>1</v>
          </cell>
          <cell r="M251">
            <v>0</v>
          </cell>
        </row>
        <row r="252">
          <cell r="B252">
            <v>0</v>
          </cell>
          <cell r="C252" t="str">
            <v>NA</v>
          </cell>
          <cell r="D252">
            <v>0</v>
          </cell>
          <cell r="E252">
            <v>0.1769</v>
          </cell>
          <cell r="F252">
            <v>3.5700000000000003E-2</v>
          </cell>
          <cell r="G252">
            <v>17.761985568581402</v>
          </cell>
          <cell r="H252">
            <v>12.2820908172147</v>
          </cell>
          <cell r="I252">
            <v>7.44520393958285</v>
          </cell>
          <cell r="J252">
            <v>170903.830698773</v>
          </cell>
          <cell r="K252">
            <v>103980.155503063</v>
          </cell>
          <cell r="L252">
            <v>1</v>
          </cell>
          <cell r="M252">
            <v>0</v>
          </cell>
        </row>
        <row r="253">
          <cell r="B253">
            <v>0</v>
          </cell>
          <cell r="C253" t="str">
            <v>NA</v>
          </cell>
          <cell r="D253">
            <v>0</v>
          </cell>
          <cell r="E253">
            <v>0.18790000000000001</v>
          </cell>
          <cell r="F253">
            <v>4.1000000000000002E-2</v>
          </cell>
          <cell r="G253">
            <v>19.203080691300698</v>
          </cell>
          <cell r="H253">
            <v>11.7820813947977</v>
          </cell>
          <cell r="I253">
            <v>6.9477779379917903</v>
          </cell>
          <cell r="J253">
            <v>269667.49629691598</v>
          </cell>
          <cell r="K253">
            <v>154039.619703587</v>
          </cell>
          <cell r="L253">
            <v>1</v>
          </cell>
          <cell r="M253">
            <v>0</v>
          </cell>
        </row>
        <row r="254">
          <cell r="B254">
            <v>0</v>
          </cell>
          <cell r="C254" t="str">
            <v>NA</v>
          </cell>
          <cell r="D254">
            <v>0</v>
          </cell>
          <cell r="E254">
            <v>0.22600000000000001</v>
          </cell>
          <cell r="F254">
            <v>3.6700000000000003E-2</v>
          </cell>
          <cell r="G254">
            <v>17.468018436797699</v>
          </cell>
          <cell r="H254">
            <v>12.1387467031842</v>
          </cell>
          <cell r="I254">
            <v>7.2704948078126002</v>
          </cell>
          <cell r="J254">
            <v>164710.44550560799</v>
          </cell>
          <cell r="K254">
            <v>98689.536692877198</v>
          </cell>
          <cell r="L254">
            <v>1</v>
          </cell>
          <cell r="M254">
            <v>0</v>
          </cell>
        </row>
        <row r="255">
          <cell r="B255">
            <v>0</v>
          </cell>
          <cell r="C255" t="str">
            <v>NA</v>
          </cell>
          <cell r="D255">
            <v>0</v>
          </cell>
          <cell r="E255">
            <v>0.1545</v>
          </cell>
          <cell r="F255">
            <v>4.3400000000000001E-2</v>
          </cell>
          <cell r="G255">
            <v>20.311847754812199</v>
          </cell>
          <cell r="H255">
            <v>13.556270044478</v>
          </cell>
          <cell r="I255">
            <v>7.9454101364088796</v>
          </cell>
          <cell r="J255">
            <v>190249.405975275</v>
          </cell>
          <cell r="K255">
            <v>110475.431666912</v>
          </cell>
          <cell r="L255">
            <v>1</v>
          </cell>
          <cell r="M255">
            <v>0</v>
          </cell>
        </row>
        <row r="256">
          <cell r="B256">
            <v>0</v>
          </cell>
          <cell r="C256" t="str">
            <v>NA</v>
          </cell>
          <cell r="D256">
            <v>0</v>
          </cell>
          <cell r="E256">
            <v>0.2114</v>
          </cell>
          <cell r="F256">
            <v>3.1600000000000003E-2</v>
          </cell>
          <cell r="G256">
            <v>19.0295229376134</v>
          </cell>
          <cell r="H256">
            <v>11.122766385492801</v>
          </cell>
          <cell r="I256">
            <v>6.5615522729537599</v>
          </cell>
          <cell r="J256">
            <v>219945.28955718601</v>
          </cell>
          <cell r="K256">
            <v>127108.95458536599</v>
          </cell>
          <cell r="L256">
            <v>1</v>
          </cell>
          <cell r="M256">
            <v>0</v>
          </cell>
        </row>
        <row r="257">
          <cell r="B257">
            <v>0</v>
          </cell>
          <cell r="C257" t="str">
            <v>NA</v>
          </cell>
          <cell r="D257">
            <v>0</v>
          </cell>
          <cell r="E257">
            <v>0.17780000000000001</v>
          </cell>
          <cell r="F257">
            <v>3.1300000000000001E-2</v>
          </cell>
          <cell r="G257">
            <v>17.503660685396898</v>
          </cell>
          <cell r="H257">
            <v>11.6776565234816</v>
          </cell>
          <cell r="I257">
            <v>7.1170990207697598</v>
          </cell>
          <cell r="J257">
            <v>192736.399983874</v>
          </cell>
          <cell r="K257">
            <v>117117.400283745</v>
          </cell>
          <cell r="L257">
            <v>1</v>
          </cell>
          <cell r="M257">
            <v>0</v>
          </cell>
        </row>
        <row r="258">
          <cell r="B258">
            <v>0</v>
          </cell>
          <cell r="C258" t="str">
            <v>NA</v>
          </cell>
          <cell r="D258">
            <v>0</v>
          </cell>
          <cell r="E258">
            <v>0.1124</v>
          </cell>
          <cell r="F258">
            <v>5.16E-2</v>
          </cell>
          <cell r="G258">
            <v>18.352940907929099</v>
          </cell>
          <cell r="H258">
            <v>10.4339305076233</v>
          </cell>
          <cell r="I258">
            <v>6.3529957729448299</v>
          </cell>
          <cell r="J258">
            <v>160110.70710418301</v>
          </cell>
          <cell r="K258">
            <v>98333.837401702694</v>
          </cell>
          <cell r="L258">
            <v>1</v>
          </cell>
          <cell r="M258">
            <v>0</v>
          </cell>
        </row>
        <row r="259">
          <cell r="B259">
            <v>0</v>
          </cell>
          <cell r="C259" t="str">
            <v>NA</v>
          </cell>
          <cell r="D259">
            <v>0</v>
          </cell>
          <cell r="E259">
            <v>0.1706</v>
          </cell>
          <cell r="F259">
            <v>3.09E-2</v>
          </cell>
          <cell r="G259">
            <v>17.631386178915601</v>
          </cell>
          <cell r="H259">
            <v>13.257213737403999</v>
          </cell>
          <cell r="I259">
            <v>8.0599852619033392</v>
          </cell>
          <cell r="J259">
            <v>241539.714697471</v>
          </cell>
          <cell r="K259">
            <v>144615.774182705</v>
          </cell>
          <cell r="L259">
            <v>1</v>
          </cell>
          <cell r="M259">
            <v>0</v>
          </cell>
        </row>
        <row r="260">
          <cell r="B260">
            <v>0</v>
          </cell>
          <cell r="C260" t="str">
            <v>NA</v>
          </cell>
          <cell r="D260">
            <v>0</v>
          </cell>
          <cell r="E260">
            <v>0.17130000000000001</v>
          </cell>
          <cell r="F260">
            <v>2.7900000000000001E-2</v>
          </cell>
          <cell r="G260">
            <v>17.954129056454299</v>
          </cell>
          <cell r="H260">
            <v>13.326525686724899</v>
          </cell>
          <cell r="I260">
            <v>8.0504111523078503</v>
          </cell>
          <cell r="J260">
            <v>207737.68471252601</v>
          </cell>
          <cell r="K260">
            <v>124656.33504135501</v>
          </cell>
          <cell r="L260">
            <v>1</v>
          </cell>
          <cell r="M260">
            <v>0</v>
          </cell>
        </row>
        <row r="261">
          <cell r="B261">
            <v>0</v>
          </cell>
          <cell r="C261" t="str">
            <v>NA</v>
          </cell>
          <cell r="D261">
            <v>0</v>
          </cell>
          <cell r="E261">
            <v>0.18140000000000001</v>
          </cell>
          <cell r="F261">
            <v>5.9700000000000003E-2</v>
          </cell>
          <cell r="G261">
            <v>19.350004885577398</v>
          </cell>
          <cell r="H261">
            <v>11.6680141138129</v>
          </cell>
          <cell r="I261">
            <v>6.8335240398315404</v>
          </cell>
          <cell r="J261">
            <v>176225.07601600201</v>
          </cell>
          <cell r="K261">
            <v>102903.078657526</v>
          </cell>
          <cell r="L261">
            <v>1</v>
          </cell>
          <cell r="M261">
            <v>0</v>
          </cell>
        </row>
        <row r="262">
          <cell r="B262">
            <v>0</v>
          </cell>
          <cell r="C262" t="str">
            <v>NA</v>
          </cell>
          <cell r="D262">
            <v>0</v>
          </cell>
          <cell r="E262">
            <v>0.20330000000000001</v>
          </cell>
          <cell r="F262">
            <v>4.82E-2</v>
          </cell>
          <cell r="G262">
            <v>17.167670465509701</v>
          </cell>
          <cell r="H262">
            <v>13.019097496929</v>
          </cell>
          <cell r="I262">
            <v>7.8816405040518802</v>
          </cell>
          <cell r="J262">
            <v>178233.73008570599</v>
          </cell>
          <cell r="K262">
            <v>107907.094870806</v>
          </cell>
          <cell r="L262">
            <v>1</v>
          </cell>
          <cell r="M262">
            <v>0</v>
          </cell>
        </row>
        <row r="263">
          <cell r="B263">
            <v>0</v>
          </cell>
          <cell r="C263" t="str">
            <v>NA</v>
          </cell>
          <cell r="D263">
            <v>0</v>
          </cell>
          <cell r="E263">
            <v>0.24360000000000001</v>
          </cell>
          <cell r="F263">
            <v>4.8399999999999999E-2</v>
          </cell>
          <cell r="G263">
            <v>16.632248142336401</v>
          </cell>
          <cell r="H263">
            <v>12.310777604369999</v>
          </cell>
          <cell r="I263">
            <v>7.3968035571864696</v>
          </cell>
          <cell r="J263">
            <v>184819.872421084</v>
          </cell>
          <cell r="K263">
            <v>110184.862758806</v>
          </cell>
          <cell r="L263">
            <v>1</v>
          </cell>
          <cell r="M263">
            <v>0</v>
          </cell>
        </row>
        <row r="264">
          <cell r="B264">
            <v>0</v>
          </cell>
          <cell r="C264" t="str">
            <v>NA</v>
          </cell>
          <cell r="D264">
            <v>0</v>
          </cell>
          <cell r="E264">
            <v>0.16059999999999999</v>
          </cell>
          <cell r="F264">
            <v>5.45E-2</v>
          </cell>
          <cell r="G264">
            <v>18.027726969656001</v>
          </cell>
          <cell r="H264">
            <v>13.501599196217599</v>
          </cell>
          <cell r="I264">
            <v>8.1312343771225102</v>
          </cell>
          <cell r="J264">
            <v>159994.62058968301</v>
          </cell>
          <cell r="K264">
            <v>97060.606141817101</v>
          </cell>
          <cell r="L264">
            <v>1</v>
          </cell>
          <cell r="M264">
            <v>0</v>
          </cell>
        </row>
        <row r="265">
          <cell r="B265">
            <v>0</v>
          </cell>
          <cell r="C265" t="str">
            <v>NA</v>
          </cell>
          <cell r="D265">
            <v>0</v>
          </cell>
          <cell r="E265">
            <v>0.1522</v>
          </cell>
          <cell r="F265">
            <v>4.4200000000000003E-2</v>
          </cell>
          <cell r="G265">
            <v>19.285002467618401</v>
          </cell>
          <cell r="H265">
            <v>14.593943513701999</v>
          </cell>
          <cell r="I265">
            <v>8.6608796221834901</v>
          </cell>
          <cell r="J265">
            <v>198341.17955368699</v>
          </cell>
          <cell r="K265">
            <v>116352.913571659</v>
          </cell>
          <cell r="L265">
            <v>1</v>
          </cell>
          <cell r="M265">
            <v>0</v>
          </cell>
        </row>
        <row r="266">
          <cell r="B266">
            <v>0</v>
          </cell>
          <cell r="C266" t="str">
            <v>NA</v>
          </cell>
          <cell r="D266">
            <v>0</v>
          </cell>
          <cell r="E266">
            <v>0.28889999999999999</v>
          </cell>
          <cell r="F266">
            <v>2.4899999999999999E-2</v>
          </cell>
          <cell r="G266">
            <v>16.677080550917601</v>
          </cell>
          <cell r="H266">
            <v>11.2747616481922</v>
          </cell>
          <cell r="I266">
            <v>6.7032071033611</v>
          </cell>
          <cell r="J266">
            <v>192771.755677429</v>
          </cell>
          <cell r="K266">
            <v>113178.32313735</v>
          </cell>
          <cell r="L266">
            <v>1</v>
          </cell>
          <cell r="M266">
            <v>0</v>
          </cell>
        </row>
        <row r="267">
          <cell r="B267">
            <v>0</v>
          </cell>
          <cell r="C267" t="str">
            <v>NA</v>
          </cell>
          <cell r="D267">
            <v>0</v>
          </cell>
          <cell r="E267">
            <v>0.21079999999999999</v>
          </cell>
          <cell r="F267">
            <v>5.5500000000000001E-2</v>
          </cell>
          <cell r="G267">
            <v>17.1260167179402</v>
          </cell>
          <cell r="H267">
            <v>13.5669002833231</v>
          </cell>
          <cell r="I267">
            <v>8.1700449173737297</v>
          </cell>
          <cell r="J267">
            <v>191171.277719779</v>
          </cell>
          <cell r="K267">
            <v>113934.873775227</v>
          </cell>
          <cell r="L267">
            <v>1</v>
          </cell>
          <cell r="M267">
            <v>0</v>
          </cell>
        </row>
        <row r="268">
          <cell r="B268">
            <v>0</v>
          </cell>
          <cell r="C268" t="str">
            <v>NA</v>
          </cell>
          <cell r="D268">
            <v>0</v>
          </cell>
          <cell r="E268">
            <v>0.2064</v>
          </cell>
          <cell r="F268">
            <v>2.8299999999999999E-2</v>
          </cell>
          <cell r="G268">
            <v>18.3904414314365</v>
          </cell>
          <cell r="H268">
            <v>12.6208944593906</v>
          </cell>
          <cell r="I268">
            <v>7.5136723732869397</v>
          </cell>
          <cell r="J268">
            <v>180450.92927516301</v>
          </cell>
          <cell r="K268">
            <v>107067.047241751</v>
          </cell>
          <cell r="L268">
            <v>1</v>
          </cell>
          <cell r="M268">
            <v>0</v>
          </cell>
        </row>
        <row r="269">
          <cell r="B269">
            <v>0</v>
          </cell>
          <cell r="C269" t="str">
            <v>NA</v>
          </cell>
          <cell r="D269">
            <v>0</v>
          </cell>
          <cell r="E269">
            <v>0.1366</v>
          </cell>
          <cell r="F269">
            <v>4.5100000000000001E-2</v>
          </cell>
          <cell r="G269">
            <v>19.0796361030587</v>
          </cell>
          <cell r="H269">
            <v>15.062671824971</v>
          </cell>
          <cell r="I269">
            <v>9.0149000866977307</v>
          </cell>
          <cell r="J269">
            <v>234811.483507553</v>
          </cell>
          <cell r="K269">
            <v>138149.248194313</v>
          </cell>
          <cell r="L269">
            <v>1</v>
          </cell>
          <cell r="M269">
            <v>0</v>
          </cell>
        </row>
        <row r="270">
          <cell r="B270">
            <v>0</v>
          </cell>
          <cell r="C270" t="str">
            <v>NA</v>
          </cell>
          <cell r="D270">
            <v>0</v>
          </cell>
          <cell r="E270">
            <v>0.1653</v>
          </cell>
          <cell r="F270">
            <v>3.5400000000000001E-2</v>
          </cell>
          <cell r="G270">
            <v>18.991061988970799</v>
          </cell>
          <cell r="H270">
            <v>10.843249094501401</v>
          </cell>
          <cell r="I270">
            <v>6.4627651894063698</v>
          </cell>
          <cell r="J270">
            <v>191652.85524072201</v>
          </cell>
          <cell r="K270">
            <v>113489.854959395</v>
          </cell>
          <cell r="L270">
            <v>1</v>
          </cell>
          <cell r="M270">
            <v>0</v>
          </cell>
        </row>
        <row r="271">
          <cell r="B271">
            <v>0</v>
          </cell>
          <cell r="C271" t="str">
            <v>NA</v>
          </cell>
          <cell r="D271">
            <v>0</v>
          </cell>
          <cell r="E271">
            <v>0.1963</v>
          </cell>
          <cell r="F271">
            <v>3.5200000000000002E-2</v>
          </cell>
          <cell r="G271">
            <v>18.2467224723631</v>
          </cell>
          <cell r="H271">
            <v>12.927329956687601</v>
          </cell>
          <cell r="I271">
            <v>7.7164473690808402</v>
          </cell>
          <cell r="J271">
            <v>186236.23472556999</v>
          </cell>
          <cell r="K271">
            <v>110511.72902920299</v>
          </cell>
          <cell r="L271">
            <v>1</v>
          </cell>
          <cell r="M271">
            <v>0</v>
          </cell>
        </row>
        <row r="272">
          <cell r="B272">
            <v>0</v>
          </cell>
          <cell r="C272" t="str">
            <v>NA</v>
          </cell>
          <cell r="D272">
            <v>0</v>
          </cell>
          <cell r="E272">
            <v>0.25969999999999999</v>
          </cell>
          <cell r="F272">
            <v>4.53E-2</v>
          </cell>
          <cell r="G272">
            <v>17.562322727385599</v>
          </cell>
          <cell r="H272">
            <v>11.770511454192199</v>
          </cell>
          <cell r="I272">
            <v>6.9302074717656996</v>
          </cell>
          <cell r="J272">
            <v>202486.04512799601</v>
          </cell>
          <cell r="K272">
            <v>117319.890486738</v>
          </cell>
          <cell r="L272">
            <v>1</v>
          </cell>
          <cell r="M272">
            <v>0</v>
          </cell>
        </row>
        <row r="273">
          <cell r="B273">
            <v>0</v>
          </cell>
          <cell r="C273" t="str">
            <v>NA</v>
          </cell>
          <cell r="D273">
            <v>0</v>
          </cell>
          <cell r="E273">
            <v>0.13089999999999999</v>
          </cell>
          <cell r="F273">
            <v>3.9199999999999999E-2</v>
          </cell>
          <cell r="G273">
            <v>19.413982810236199</v>
          </cell>
          <cell r="H273">
            <v>15.052606211650099</v>
          </cell>
          <cell r="I273">
            <v>8.9994152196137307</v>
          </cell>
          <cell r="J273">
            <v>242352.96607427401</v>
          </cell>
          <cell r="K273">
            <v>142367.233526942</v>
          </cell>
          <cell r="L273">
            <v>1</v>
          </cell>
          <cell r="M273">
            <v>0</v>
          </cell>
        </row>
        <row r="274">
          <cell r="B274">
            <v>0</v>
          </cell>
          <cell r="C274" t="str">
            <v>NA</v>
          </cell>
          <cell r="D274">
            <v>0</v>
          </cell>
          <cell r="E274">
            <v>0.11</v>
          </cell>
          <cell r="F274">
            <v>5.6500000000000002E-2</v>
          </cell>
          <cell r="G274">
            <v>19.611846086566299</v>
          </cell>
          <cell r="H274">
            <v>14.0633886910157</v>
          </cell>
          <cell r="I274">
            <v>8.4228755184852595</v>
          </cell>
          <cell r="J274">
            <v>210522.454335861</v>
          </cell>
          <cell r="K274">
            <v>124693.349163256</v>
          </cell>
          <cell r="L274">
            <v>1</v>
          </cell>
          <cell r="M274">
            <v>0</v>
          </cell>
        </row>
        <row r="275">
          <cell r="B275">
            <v>0</v>
          </cell>
          <cell r="C275" t="str">
            <v>NA</v>
          </cell>
          <cell r="D275">
            <v>0</v>
          </cell>
          <cell r="E275">
            <v>0.27750000000000002</v>
          </cell>
          <cell r="F275">
            <v>4.2700000000000002E-2</v>
          </cell>
          <cell r="G275">
            <v>16.7773327143213</v>
          </cell>
          <cell r="H275">
            <v>13.523808169994499</v>
          </cell>
          <cell r="I275">
            <v>8.0565836193638507</v>
          </cell>
          <cell r="J275">
            <v>178811.23166632</v>
          </cell>
          <cell r="K275">
            <v>105798.400756804</v>
          </cell>
          <cell r="L275">
            <v>1</v>
          </cell>
          <cell r="M275">
            <v>0</v>
          </cell>
        </row>
        <row r="276">
          <cell r="B276">
            <v>0</v>
          </cell>
          <cell r="C276" t="str">
            <v>NA</v>
          </cell>
          <cell r="D276">
            <v>0</v>
          </cell>
          <cell r="E276">
            <v>0.22800000000000001</v>
          </cell>
          <cell r="F276">
            <v>3.3399999999999999E-2</v>
          </cell>
          <cell r="G276">
            <v>17.476052236703499</v>
          </cell>
          <cell r="H276">
            <v>10.515779673734601</v>
          </cell>
          <cell r="I276">
            <v>6.3098763720086604</v>
          </cell>
          <cell r="J276">
            <v>189252.24779910999</v>
          </cell>
          <cell r="K276">
            <v>112839.335422798</v>
          </cell>
          <cell r="L276">
            <v>1</v>
          </cell>
          <cell r="M276">
            <v>0</v>
          </cell>
        </row>
        <row r="277">
          <cell r="B277">
            <v>0</v>
          </cell>
          <cell r="C277" t="str">
            <v>NA</v>
          </cell>
          <cell r="D277">
            <v>0</v>
          </cell>
          <cell r="E277">
            <v>0.30709999999999998</v>
          </cell>
          <cell r="F277">
            <v>2.5499999999999998E-2</v>
          </cell>
          <cell r="G277">
            <v>15.659445771758801</v>
          </cell>
          <cell r="H277">
            <v>11.101045426288399</v>
          </cell>
          <cell r="I277">
            <v>6.6775340727062096</v>
          </cell>
          <cell r="J277">
            <v>158010.72317367001</v>
          </cell>
          <cell r="K277">
            <v>95540.954492944104</v>
          </cell>
          <cell r="L277">
            <v>1</v>
          </cell>
          <cell r="M277">
            <v>0</v>
          </cell>
        </row>
        <row r="278">
          <cell r="B278">
            <v>0</v>
          </cell>
          <cell r="C278" t="str">
            <v>NA</v>
          </cell>
          <cell r="D278">
            <v>0</v>
          </cell>
          <cell r="E278">
            <v>0.26469999999999999</v>
          </cell>
          <cell r="F278">
            <v>3.3300000000000003E-2</v>
          </cell>
          <cell r="G278">
            <v>16.264960824953501</v>
          </cell>
          <cell r="H278">
            <v>12.582675946868299</v>
          </cell>
          <cell r="I278">
            <v>7.59283121585276</v>
          </cell>
          <cell r="J278">
            <v>175616.86882150799</v>
          </cell>
          <cell r="K278">
            <v>105650.014219934</v>
          </cell>
          <cell r="L278">
            <v>1</v>
          </cell>
          <cell r="M278">
            <v>0</v>
          </cell>
        </row>
        <row r="279">
          <cell r="B279">
            <v>0</v>
          </cell>
          <cell r="C279" t="str">
            <v>NA</v>
          </cell>
          <cell r="D279">
            <v>0</v>
          </cell>
          <cell r="E279">
            <v>0.16619999999999999</v>
          </cell>
          <cell r="F279">
            <v>4.1599999999999998E-2</v>
          </cell>
          <cell r="G279">
            <v>18.777349862724598</v>
          </cell>
          <cell r="H279">
            <v>12.683750496321601</v>
          </cell>
          <cell r="I279">
            <v>7.5583805475407404</v>
          </cell>
          <cell r="J279">
            <v>234655.46436226901</v>
          </cell>
          <cell r="K279">
            <v>137097.898202382</v>
          </cell>
          <cell r="L279">
            <v>1</v>
          </cell>
          <cell r="M279">
            <v>0</v>
          </cell>
        </row>
        <row r="280">
          <cell r="B280">
            <v>0</v>
          </cell>
          <cell r="C280" t="str">
            <v>NA</v>
          </cell>
          <cell r="D280">
            <v>0</v>
          </cell>
          <cell r="E280">
            <v>0.15090000000000001</v>
          </cell>
          <cell r="F280">
            <v>3.4599999999999999E-2</v>
          </cell>
          <cell r="G280">
            <v>19.745263568247399</v>
          </cell>
          <cell r="H280">
            <v>15.1612382593945</v>
          </cell>
          <cell r="I280">
            <v>8.9875017794129608</v>
          </cell>
          <cell r="J280">
            <v>187605.74903537199</v>
          </cell>
          <cell r="K280">
            <v>110708.86843536999</v>
          </cell>
          <cell r="L280">
            <v>1</v>
          </cell>
          <cell r="M280">
            <v>0</v>
          </cell>
        </row>
        <row r="281">
          <cell r="B281">
            <v>0</v>
          </cell>
          <cell r="C281" t="str">
            <v>NA</v>
          </cell>
          <cell r="D281">
            <v>0</v>
          </cell>
          <cell r="E281">
            <v>0.127</v>
          </cell>
          <cell r="F281">
            <v>4.6600000000000003E-2</v>
          </cell>
          <cell r="G281">
            <v>20.28979995033</v>
          </cell>
          <cell r="H281">
            <v>15.051768073263</v>
          </cell>
          <cell r="I281">
            <v>8.8604703872804098</v>
          </cell>
          <cell r="J281">
            <v>269428.30626935902</v>
          </cell>
          <cell r="K281">
            <v>154272.57382512401</v>
          </cell>
          <cell r="L281">
            <v>1</v>
          </cell>
          <cell r="M281">
            <v>0</v>
          </cell>
        </row>
        <row r="282">
          <cell r="B282">
            <v>0</v>
          </cell>
          <cell r="C282" t="str">
            <v>NA</v>
          </cell>
          <cell r="D282">
            <v>0</v>
          </cell>
          <cell r="E282">
            <v>0.15190000000000001</v>
          </cell>
          <cell r="F282">
            <v>4.8599999999999997E-2</v>
          </cell>
          <cell r="G282">
            <v>19.016656018004401</v>
          </cell>
          <cell r="H282">
            <v>12.8429810052086</v>
          </cell>
          <cell r="I282">
            <v>7.6239431042529802</v>
          </cell>
          <cell r="J282">
            <v>193323.26101056399</v>
          </cell>
          <cell r="K282">
            <v>113696.68660982</v>
          </cell>
          <cell r="L282">
            <v>1</v>
          </cell>
          <cell r="M282">
            <v>0</v>
          </cell>
        </row>
        <row r="283">
          <cell r="B283">
            <v>0</v>
          </cell>
          <cell r="C283" t="str">
            <v>NA</v>
          </cell>
          <cell r="D283">
            <v>0</v>
          </cell>
          <cell r="E283">
            <v>0.22570000000000001</v>
          </cell>
          <cell r="F283">
            <v>2.23E-2</v>
          </cell>
          <cell r="G283">
            <v>18.562360673748302</v>
          </cell>
          <cell r="H283">
            <v>12.5550984717154</v>
          </cell>
          <cell r="I283">
            <v>7.4137854446171803</v>
          </cell>
          <cell r="J283">
            <v>181688.78368767301</v>
          </cell>
          <cell r="K283">
            <v>106795.212286799</v>
          </cell>
          <cell r="L283">
            <v>1</v>
          </cell>
          <cell r="M283">
            <v>0</v>
          </cell>
        </row>
        <row r="284">
          <cell r="B284">
            <v>0</v>
          </cell>
          <cell r="C284" t="str">
            <v>NA</v>
          </cell>
          <cell r="D284">
            <v>0</v>
          </cell>
          <cell r="E284">
            <v>0.153</v>
          </cell>
          <cell r="F284">
            <v>3.7600000000000001E-2</v>
          </cell>
          <cell r="G284">
            <v>18.935027168984899</v>
          </cell>
          <cell r="H284">
            <v>13.280098184071701</v>
          </cell>
          <cell r="I284">
            <v>7.9208556505967502</v>
          </cell>
          <cell r="J284">
            <v>205540.93999136699</v>
          </cell>
          <cell r="K284">
            <v>121259.110654666</v>
          </cell>
          <cell r="L284">
            <v>1</v>
          </cell>
          <cell r="M284">
            <v>0</v>
          </cell>
        </row>
        <row r="285">
          <cell r="B285">
            <v>0</v>
          </cell>
          <cell r="C285" t="str">
            <v>NA</v>
          </cell>
          <cell r="D285">
            <v>0</v>
          </cell>
          <cell r="E285">
            <v>0.16209999999999999</v>
          </cell>
          <cell r="F285">
            <v>4.0500000000000001E-2</v>
          </cell>
          <cell r="G285">
            <v>18.4987164979058</v>
          </cell>
          <cell r="H285">
            <v>14.1413391552272</v>
          </cell>
          <cell r="I285">
            <v>8.4658779579715393</v>
          </cell>
          <cell r="J285">
            <v>286248.69596724701</v>
          </cell>
          <cell r="K285">
            <v>166751.120485375</v>
          </cell>
          <cell r="L285">
            <v>1</v>
          </cell>
          <cell r="M285">
            <v>0</v>
          </cell>
        </row>
        <row r="286">
          <cell r="B286">
            <v>0</v>
          </cell>
          <cell r="C286" t="str">
            <v>NA</v>
          </cell>
          <cell r="D286">
            <v>0</v>
          </cell>
          <cell r="E286">
            <v>0.19500000000000001</v>
          </cell>
          <cell r="F286">
            <v>0.03</v>
          </cell>
          <cell r="G286">
            <v>19.394290559259598</v>
          </cell>
          <cell r="H286">
            <v>13.2359090943099</v>
          </cell>
          <cell r="I286">
            <v>7.8079646644332099</v>
          </cell>
          <cell r="J286">
            <v>223232.754896611</v>
          </cell>
          <cell r="K286">
            <v>129115.754705017</v>
          </cell>
          <cell r="L286">
            <v>1</v>
          </cell>
          <cell r="M286">
            <v>0</v>
          </cell>
        </row>
        <row r="287">
          <cell r="B287">
            <v>0</v>
          </cell>
          <cell r="C287" t="str">
            <v>NA</v>
          </cell>
          <cell r="D287">
            <v>0</v>
          </cell>
          <cell r="E287">
            <v>0.19020000000000001</v>
          </cell>
          <cell r="F287">
            <v>2.4299999999999999E-2</v>
          </cell>
          <cell r="G287">
            <v>18.065467070891899</v>
          </cell>
          <cell r="H287">
            <v>13.5783766477856</v>
          </cell>
          <cell r="I287">
            <v>8.1752090050995001</v>
          </cell>
          <cell r="J287">
            <v>165635.23267732101</v>
          </cell>
          <cell r="K287">
            <v>100040.45620288599</v>
          </cell>
          <cell r="L287">
            <v>1</v>
          </cell>
          <cell r="M287">
            <v>0</v>
          </cell>
        </row>
        <row r="288">
          <cell r="B288">
            <v>0</v>
          </cell>
          <cell r="C288" t="str">
            <v>NA</v>
          </cell>
          <cell r="D288">
            <v>0</v>
          </cell>
          <cell r="E288">
            <v>0.23169999999999999</v>
          </cell>
          <cell r="F288">
            <v>3.9100000000000003E-2</v>
          </cell>
          <cell r="G288">
            <v>16.196878713708301</v>
          </cell>
          <cell r="H288">
            <v>12.135149790824</v>
          </cell>
          <cell r="I288">
            <v>7.4059278551962899</v>
          </cell>
          <cell r="J288">
            <v>180857.631594848</v>
          </cell>
          <cell r="K288">
            <v>110267.468459497</v>
          </cell>
          <cell r="L288">
            <v>1</v>
          </cell>
          <cell r="M288">
            <v>0</v>
          </cell>
        </row>
        <row r="289">
          <cell r="B289">
            <v>0</v>
          </cell>
          <cell r="C289" t="str">
            <v>NA</v>
          </cell>
          <cell r="D289">
            <v>0</v>
          </cell>
          <cell r="E289">
            <v>0.19980000000000001</v>
          </cell>
          <cell r="F289">
            <v>3.3099999999999997E-2</v>
          </cell>
          <cell r="G289">
            <v>17.4106812598475</v>
          </cell>
          <cell r="H289">
            <v>11.4642959748272</v>
          </cell>
          <cell r="I289">
            <v>6.91425322692458</v>
          </cell>
          <cell r="J289">
            <v>207508.470080395</v>
          </cell>
          <cell r="K289">
            <v>124043.319202442</v>
          </cell>
          <cell r="L289">
            <v>1</v>
          </cell>
          <cell r="M289">
            <v>0</v>
          </cell>
        </row>
        <row r="290">
          <cell r="B290">
            <v>0</v>
          </cell>
          <cell r="C290" t="str">
            <v>NA</v>
          </cell>
          <cell r="D290">
            <v>0</v>
          </cell>
          <cell r="E290">
            <v>0.1908</v>
          </cell>
          <cell r="F290">
            <v>2.76E-2</v>
          </cell>
          <cell r="G290">
            <v>18.148375173363899</v>
          </cell>
          <cell r="H290">
            <v>11.8710731327979</v>
          </cell>
          <cell r="I290">
            <v>7.1330073886790304</v>
          </cell>
          <cell r="J290">
            <v>182788.97943211201</v>
          </cell>
          <cell r="K290">
            <v>109579.778643446</v>
          </cell>
          <cell r="L290">
            <v>1</v>
          </cell>
          <cell r="M290">
            <v>0</v>
          </cell>
        </row>
        <row r="291">
          <cell r="B291">
            <v>0</v>
          </cell>
          <cell r="C291" t="str">
            <v>NA</v>
          </cell>
          <cell r="D291">
            <v>0</v>
          </cell>
          <cell r="E291">
            <v>0.20899999999999999</v>
          </cell>
          <cell r="F291">
            <v>3.7900000000000003E-2</v>
          </cell>
          <cell r="G291">
            <v>18.610386280875598</v>
          </cell>
          <cell r="H291">
            <v>13.811475168545901</v>
          </cell>
          <cell r="I291">
            <v>8.1787235848114506</v>
          </cell>
          <cell r="J291">
            <v>182288.39208836999</v>
          </cell>
          <cell r="K291">
            <v>107269.138792567</v>
          </cell>
          <cell r="L291">
            <v>1</v>
          </cell>
          <cell r="M291">
            <v>0</v>
          </cell>
        </row>
        <row r="292">
          <cell r="B292">
            <v>0</v>
          </cell>
          <cell r="C292" t="str">
            <v>NA</v>
          </cell>
          <cell r="D292">
            <v>0</v>
          </cell>
          <cell r="E292">
            <v>0.2165</v>
          </cell>
          <cell r="F292">
            <v>2.5999999999999999E-2</v>
          </cell>
          <cell r="G292">
            <v>17.803274360679101</v>
          </cell>
          <cell r="H292">
            <v>12.773359791957301</v>
          </cell>
          <cell r="I292">
            <v>7.6684748074083497</v>
          </cell>
          <cell r="J292">
            <v>197089.85763691101</v>
          </cell>
          <cell r="K292">
            <v>117586.185742036</v>
          </cell>
          <cell r="L292">
            <v>1</v>
          </cell>
          <cell r="M292">
            <v>0</v>
          </cell>
        </row>
        <row r="293">
          <cell r="B293">
            <v>0</v>
          </cell>
          <cell r="C293" t="str">
            <v>NA</v>
          </cell>
          <cell r="D293">
            <v>0</v>
          </cell>
          <cell r="E293">
            <v>0.19259999999999999</v>
          </cell>
          <cell r="F293">
            <v>4.3299999999999998E-2</v>
          </cell>
          <cell r="G293">
            <v>17.7908552132441</v>
          </cell>
          <cell r="H293">
            <v>11.896399670609901</v>
          </cell>
          <cell r="I293">
            <v>7.1495584662354004</v>
          </cell>
          <cell r="J293">
            <v>203695.348092751</v>
          </cell>
          <cell r="K293">
            <v>121086.557607361</v>
          </cell>
          <cell r="L293">
            <v>1</v>
          </cell>
          <cell r="M293">
            <v>0</v>
          </cell>
        </row>
        <row r="294">
          <cell r="B294">
            <v>0</v>
          </cell>
          <cell r="C294" t="str">
            <v>NA</v>
          </cell>
          <cell r="D294">
            <v>0</v>
          </cell>
          <cell r="E294">
            <v>0.28010000000000002</v>
          </cell>
          <cell r="F294">
            <v>4.3200000000000002E-2</v>
          </cell>
          <cell r="G294">
            <v>16.381115202187001</v>
          </cell>
          <cell r="H294">
            <v>10.9396277655884</v>
          </cell>
          <cell r="I294">
            <v>6.5290266143293998</v>
          </cell>
          <cell r="J294">
            <v>140530.301353413</v>
          </cell>
          <cell r="K294">
            <v>84958.118897086606</v>
          </cell>
          <cell r="L294">
            <v>1</v>
          </cell>
          <cell r="M294">
            <v>0</v>
          </cell>
        </row>
        <row r="295">
          <cell r="B295">
            <v>0</v>
          </cell>
          <cell r="C295" t="str">
            <v>NA</v>
          </cell>
          <cell r="D295">
            <v>0</v>
          </cell>
          <cell r="E295">
            <v>0.188</v>
          </cell>
          <cell r="F295">
            <v>5.0099999999999999E-2</v>
          </cell>
          <cell r="G295">
            <v>17.882710194853299</v>
          </cell>
          <cell r="H295">
            <v>12.759082264876399</v>
          </cell>
          <cell r="I295">
            <v>7.6462211574248196</v>
          </cell>
          <cell r="J295">
            <v>197615.822052259</v>
          </cell>
          <cell r="K295">
            <v>117446.227253683</v>
          </cell>
          <cell r="L295">
            <v>1</v>
          </cell>
          <cell r="M295">
            <v>0</v>
          </cell>
        </row>
        <row r="296">
          <cell r="B296">
            <v>0</v>
          </cell>
          <cell r="C296" t="str">
            <v>NA</v>
          </cell>
          <cell r="D296">
            <v>0</v>
          </cell>
          <cell r="E296">
            <v>0.17219999999999999</v>
          </cell>
          <cell r="F296">
            <v>4.1000000000000002E-2</v>
          </cell>
          <cell r="G296">
            <v>17.6979072323489</v>
          </cell>
          <cell r="H296">
            <v>13.287181699684499</v>
          </cell>
          <cell r="I296">
            <v>8.0421416453951107</v>
          </cell>
          <cell r="J296">
            <v>244579.92549716801</v>
          </cell>
          <cell r="K296">
            <v>145564.34242102201</v>
          </cell>
          <cell r="L296">
            <v>1</v>
          </cell>
          <cell r="M296">
            <v>0</v>
          </cell>
        </row>
        <row r="297">
          <cell r="B297">
            <v>0</v>
          </cell>
          <cell r="C297" t="str">
            <v>NA</v>
          </cell>
          <cell r="D297">
            <v>0</v>
          </cell>
          <cell r="E297">
            <v>0.2505</v>
          </cell>
          <cell r="F297">
            <v>3.5499999999999997E-2</v>
          </cell>
          <cell r="G297">
            <v>17.2644347982718</v>
          </cell>
          <cell r="H297">
            <v>12.4022942837226</v>
          </cell>
          <cell r="I297">
            <v>7.3847428621821303</v>
          </cell>
          <cell r="J297">
            <v>175467.29447863999</v>
          </cell>
          <cell r="K297">
            <v>104102.347383655</v>
          </cell>
          <cell r="L297">
            <v>1</v>
          </cell>
          <cell r="M297">
            <v>0</v>
          </cell>
        </row>
        <row r="298">
          <cell r="B298">
            <v>0</v>
          </cell>
          <cell r="C298" t="str">
            <v>NA</v>
          </cell>
          <cell r="D298">
            <v>0</v>
          </cell>
          <cell r="E298">
            <v>0.18459999999999999</v>
          </cell>
          <cell r="F298">
            <v>4.0399999999999998E-2</v>
          </cell>
          <cell r="G298">
            <v>17.716043389626002</v>
          </cell>
          <cell r="H298">
            <v>13.678996780836</v>
          </cell>
          <cell r="I298">
            <v>8.2350639219541897</v>
          </cell>
          <cell r="J298">
            <v>159009.771007314</v>
          </cell>
          <cell r="K298">
            <v>96535.750612049305</v>
          </cell>
          <cell r="L298">
            <v>1</v>
          </cell>
          <cell r="M298">
            <v>0</v>
          </cell>
        </row>
        <row r="299">
          <cell r="B299">
            <v>0</v>
          </cell>
          <cell r="C299" t="str">
            <v>NA</v>
          </cell>
          <cell r="D299">
            <v>0</v>
          </cell>
          <cell r="E299">
            <v>0.1452</v>
          </cell>
          <cell r="F299">
            <v>4.2000000000000003E-2</v>
          </cell>
          <cell r="G299">
            <v>18.6408174000907</v>
          </cell>
          <cell r="H299">
            <v>15.6188288260223</v>
          </cell>
          <cell r="I299">
            <v>9.3837717175921505</v>
          </cell>
          <cell r="J299">
            <v>184964.563501575</v>
          </cell>
          <cell r="K299">
            <v>110936.472635717</v>
          </cell>
          <cell r="L299">
            <v>1</v>
          </cell>
          <cell r="M299">
            <v>0</v>
          </cell>
        </row>
        <row r="300">
          <cell r="B300">
            <v>0</v>
          </cell>
          <cell r="C300" t="str">
            <v>NA</v>
          </cell>
          <cell r="D300">
            <v>0</v>
          </cell>
          <cell r="E300">
            <v>0.17369999999999999</v>
          </cell>
          <cell r="F300">
            <v>3.9800000000000002E-2</v>
          </cell>
          <cell r="G300">
            <v>18.173184673402002</v>
          </cell>
          <cell r="H300">
            <v>11.1763227793049</v>
          </cell>
          <cell r="I300">
            <v>6.7121385975585701</v>
          </cell>
          <cell r="J300">
            <v>204835.11581996799</v>
          </cell>
          <cell r="K300">
            <v>121853.18056938</v>
          </cell>
          <cell r="L300">
            <v>1</v>
          </cell>
          <cell r="M300">
            <v>0</v>
          </cell>
        </row>
        <row r="301">
          <cell r="B301">
            <v>0</v>
          </cell>
          <cell r="C301" t="str">
            <v>NA</v>
          </cell>
          <cell r="D301">
            <v>0</v>
          </cell>
          <cell r="E301">
            <v>0.16189999999999999</v>
          </cell>
          <cell r="F301">
            <v>3.9199999999999999E-2</v>
          </cell>
          <cell r="G301">
            <v>17.084582864978401</v>
          </cell>
          <cell r="H301">
            <v>12.2715079373418</v>
          </cell>
          <cell r="I301">
            <v>7.5299279089316498</v>
          </cell>
          <cell r="J301">
            <v>206536.536762245</v>
          </cell>
          <cell r="K301">
            <v>126012.173072808</v>
          </cell>
          <cell r="L301">
            <v>1</v>
          </cell>
          <cell r="M301">
            <v>0</v>
          </cell>
        </row>
        <row r="302">
          <cell r="B302">
            <v>0</v>
          </cell>
          <cell r="C302" t="str">
            <v>NA</v>
          </cell>
          <cell r="D302">
            <v>0</v>
          </cell>
          <cell r="E302">
            <v>0.14610000000000001</v>
          </cell>
          <cell r="F302">
            <v>4.1000000000000002E-2</v>
          </cell>
          <cell r="G302">
            <v>20.147699488649099</v>
          </cell>
          <cell r="H302">
            <v>13.7644637885343</v>
          </cell>
          <cell r="I302">
            <v>8.0893217500168806</v>
          </cell>
          <cell r="J302">
            <v>234365.81679729</v>
          </cell>
          <cell r="K302">
            <v>134530.01270114499</v>
          </cell>
          <cell r="L302">
            <v>1</v>
          </cell>
          <cell r="M302">
            <v>0</v>
          </cell>
        </row>
        <row r="303">
          <cell r="B303">
            <v>0</v>
          </cell>
          <cell r="C303" t="str">
            <v>NA</v>
          </cell>
          <cell r="D303">
            <v>0</v>
          </cell>
          <cell r="E303">
            <v>0.217</v>
          </cell>
          <cell r="F303">
            <v>2.6700000000000002E-2</v>
          </cell>
          <cell r="G303">
            <v>18.410705029289801</v>
          </cell>
          <cell r="H303">
            <v>11.7076994825808</v>
          </cell>
          <cell r="I303">
            <v>6.9419174071647998</v>
          </cell>
          <cell r="J303">
            <v>174245.588367691</v>
          </cell>
          <cell r="K303">
            <v>103221.460930516</v>
          </cell>
          <cell r="L303">
            <v>1</v>
          </cell>
          <cell r="M303">
            <v>0</v>
          </cell>
        </row>
        <row r="304">
          <cell r="B304">
            <v>0</v>
          </cell>
          <cell r="C304" t="str">
            <v>NA</v>
          </cell>
          <cell r="D304">
            <v>0</v>
          </cell>
          <cell r="E304">
            <v>0.28539999999999999</v>
          </cell>
          <cell r="F304">
            <v>2.29E-2</v>
          </cell>
          <cell r="G304">
            <v>16.297005427962901</v>
          </cell>
          <cell r="H304">
            <v>10.899089771268301</v>
          </cell>
          <cell r="I304">
            <v>6.5567038217393403</v>
          </cell>
          <cell r="J304">
            <v>234654.663561091</v>
          </cell>
          <cell r="K304">
            <v>138446.33807023201</v>
          </cell>
          <cell r="L304">
            <v>1</v>
          </cell>
          <cell r="M304">
            <v>0</v>
          </cell>
        </row>
        <row r="305">
          <cell r="B305">
            <v>0</v>
          </cell>
          <cell r="C305" t="str">
            <v>NA</v>
          </cell>
          <cell r="D305">
            <v>0</v>
          </cell>
          <cell r="E305">
            <v>0.25419999999999998</v>
          </cell>
          <cell r="F305">
            <v>3.3700000000000001E-2</v>
          </cell>
          <cell r="G305">
            <v>15.925019459734999</v>
          </cell>
          <cell r="H305">
            <v>10.501070536926701</v>
          </cell>
          <cell r="I305">
            <v>6.40464439401324</v>
          </cell>
          <cell r="J305">
            <v>172101.71686122901</v>
          </cell>
          <cell r="K305">
            <v>105139.78980206</v>
          </cell>
          <cell r="L305">
            <v>1</v>
          </cell>
          <cell r="M305">
            <v>0</v>
          </cell>
        </row>
        <row r="306">
          <cell r="B306">
            <v>0</v>
          </cell>
          <cell r="C306" t="str">
            <v>NA</v>
          </cell>
          <cell r="D306">
            <v>0</v>
          </cell>
          <cell r="E306">
            <v>0.223</v>
          </cell>
          <cell r="F306">
            <v>3.7400000000000003E-2</v>
          </cell>
          <cell r="G306">
            <v>18.5527592848692</v>
          </cell>
          <cell r="H306">
            <v>12.454883832284899</v>
          </cell>
          <cell r="I306">
            <v>7.3458921961973802</v>
          </cell>
          <cell r="J306">
            <v>227351.98247136301</v>
          </cell>
          <cell r="K306">
            <v>131188.63433107999</v>
          </cell>
          <cell r="L306">
            <v>1</v>
          </cell>
          <cell r="M306">
            <v>0</v>
          </cell>
        </row>
        <row r="307">
          <cell r="B307">
            <v>0</v>
          </cell>
          <cell r="C307" t="str">
            <v>NA</v>
          </cell>
          <cell r="D307">
            <v>0</v>
          </cell>
          <cell r="E307">
            <v>0.16839999999999999</v>
          </cell>
          <cell r="F307">
            <v>3.1699999999999999E-2</v>
          </cell>
          <cell r="G307">
            <v>18.302832800637798</v>
          </cell>
          <cell r="H307">
            <v>11.8222064887259</v>
          </cell>
          <cell r="I307">
            <v>7.1255133897478498</v>
          </cell>
          <cell r="J307">
            <v>234308.17900731499</v>
          </cell>
          <cell r="K307">
            <v>138718.65193924899</v>
          </cell>
          <cell r="L307">
            <v>1</v>
          </cell>
          <cell r="M307">
            <v>0</v>
          </cell>
        </row>
        <row r="308">
          <cell r="B308">
            <v>0</v>
          </cell>
          <cell r="C308" t="str">
            <v>NA</v>
          </cell>
          <cell r="D308">
            <v>0</v>
          </cell>
          <cell r="E308">
            <v>0.15010000000000001</v>
          </cell>
          <cell r="F308">
            <v>3.9800000000000002E-2</v>
          </cell>
          <cell r="G308">
            <v>18.340618053797002</v>
          </cell>
          <cell r="H308">
            <v>13.856320129798799</v>
          </cell>
          <cell r="I308">
            <v>8.3461633265988002</v>
          </cell>
          <cell r="J308">
            <v>176262.50686634099</v>
          </cell>
          <cell r="K308">
            <v>106329.823658448</v>
          </cell>
          <cell r="L308">
            <v>1</v>
          </cell>
          <cell r="M308">
            <v>0</v>
          </cell>
        </row>
        <row r="309">
          <cell r="B309">
            <v>0</v>
          </cell>
          <cell r="C309" t="str">
            <v>NA</v>
          </cell>
          <cell r="D309">
            <v>0</v>
          </cell>
          <cell r="E309">
            <v>0.28210000000000002</v>
          </cell>
          <cell r="F309">
            <v>3.7699999999999997E-2</v>
          </cell>
          <cell r="G309">
            <v>15.465021111212501</v>
          </cell>
          <cell r="H309">
            <v>11.863110727036</v>
          </cell>
          <cell r="I309">
            <v>7.1861237154584598</v>
          </cell>
          <cell r="J309">
            <v>174972.45303130601</v>
          </cell>
          <cell r="K309">
            <v>105871.36768485</v>
          </cell>
          <cell r="L309">
            <v>1</v>
          </cell>
          <cell r="M309">
            <v>0</v>
          </cell>
        </row>
        <row r="310">
          <cell r="B310">
            <v>0</v>
          </cell>
          <cell r="C310" t="str">
            <v>NA</v>
          </cell>
          <cell r="D310">
            <v>0</v>
          </cell>
          <cell r="E310">
            <v>0.1474</v>
          </cell>
          <cell r="F310">
            <v>7.1800000000000003E-2</v>
          </cell>
          <cell r="G310">
            <v>19.303123395009798</v>
          </cell>
          <cell r="H310">
            <v>15.174539862240501</v>
          </cell>
          <cell r="I310">
            <v>8.9402323608062293</v>
          </cell>
          <cell r="J310">
            <v>242219.942526909</v>
          </cell>
          <cell r="K310">
            <v>139157.802434679</v>
          </cell>
          <cell r="L310">
            <v>1</v>
          </cell>
          <cell r="M310">
            <v>0</v>
          </cell>
        </row>
        <row r="311">
          <cell r="B311">
            <v>0</v>
          </cell>
          <cell r="C311" t="str">
            <v>NA</v>
          </cell>
          <cell r="D311">
            <v>0</v>
          </cell>
          <cell r="E311">
            <v>0.19450000000000001</v>
          </cell>
          <cell r="F311">
            <v>4.24E-2</v>
          </cell>
          <cell r="G311">
            <v>18.165339340151</v>
          </cell>
          <cell r="H311">
            <v>14.119982941675399</v>
          </cell>
          <cell r="I311">
            <v>8.4288863325106007</v>
          </cell>
          <cell r="J311">
            <v>255285.776028516</v>
          </cell>
          <cell r="K311">
            <v>148577.80204184999</v>
          </cell>
          <cell r="L311">
            <v>1</v>
          </cell>
          <cell r="M311">
            <v>0</v>
          </cell>
        </row>
        <row r="312">
          <cell r="B312">
            <v>0</v>
          </cell>
          <cell r="C312" t="str">
            <v>NA</v>
          </cell>
          <cell r="D312">
            <v>0</v>
          </cell>
          <cell r="E312">
            <v>0.19800000000000001</v>
          </cell>
          <cell r="F312">
            <v>3.9399999999999998E-2</v>
          </cell>
          <cell r="G312">
            <v>18.0512624101091</v>
          </cell>
          <cell r="H312">
            <v>12.948725359757301</v>
          </cell>
          <cell r="I312">
            <v>7.7272414849854698</v>
          </cell>
          <cell r="J312">
            <v>241518.10047573899</v>
          </cell>
          <cell r="K312">
            <v>140952.64321738901</v>
          </cell>
          <cell r="L312">
            <v>1</v>
          </cell>
          <cell r="M312">
            <v>0</v>
          </cell>
        </row>
        <row r="313">
          <cell r="B313">
            <v>0</v>
          </cell>
          <cell r="C313" t="str">
            <v>NA</v>
          </cell>
          <cell r="D313">
            <v>0</v>
          </cell>
          <cell r="E313">
            <v>0.214</v>
          </cell>
          <cell r="F313">
            <v>3.5499999999999997E-2</v>
          </cell>
          <cell r="G313">
            <v>17.193933776811502</v>
          </cell>
          <cell r="H313">
            <v>13.489122702242</v>
          </cell>
          <cell r="I313">
            <v>8.1346913222090098</v>
          </cell>
          <cell r="J313">
            <v>184921.065998448</v>
          </cell>
          <cell r="K313">
            <v>110876.159731483</v>
          </cell>
          <cell r="L313">
            <v>1</v>
          </cell>
          <cell r="M313">
            <v>0</v>
          </cell>
        </row>
        <row r="314">
          <cell r="B314">
            <v>0</v>
          </cell>
          <cell r="C314" t="str">
            <v>NA</v>
          </cell>
          <cell r="D314">
            <v>0</v>
          </cell>
          <cell r="E314">
            <v>0.17119999999999999</v>
          </cell>
          <cell r="F314">
            <v>5.2900000000000003E-2</v>
          </cell>
          <cell r="G314">
            <v>16.2564422970961</v>
          </cell>
          <cell r="H314">
            <v>11.8914455837955</v>
          </cell>
          <cell r="I314">
            <v>7.3486994314292602</v>
          </cell>
          <cell r="J314">
            <v>153313.61249971</v>
          </cell>
          <cell r="K314">
            <v>96170.027877289802</v>
          </cell>
          <cell r="L314">
            <v>1</v>
          </cell>
          <cell r="M314">
            <v>0</v>
          </cell>
        </row>
        <row r="315">
          <cell r="B315">
            <v>0</v>
          </cell>
          <cell r="C315" t="str">
            <v>NA</v>
          </cell>
          <cell r="D315">
            <v>0</v>
          </cell>
          <cell r="E315">
            <v>0.18110000000000001</v>
          </cell>
          <cell r="F315">
            <v>4.5900000000000003E-2</v>
          </cell>
          <cell r="G315">
            <v>19.256869417417001</v>
          </cell>
          <cell r="H315">
            <v>15.007232451096099</v>
          </cell>
          <cell r="I315">
            <v>8.8172294553934094</v>
          </cell>
          <cell r="J315">
            <v>181391.390764927</v>
          </cell>
          <cell r="K315">
            <v>105915.922003984</v>
          </cell>
          <cell r="L315">
            <v>1</v>
          </cell>
          <cell r="M315">
            <v>0</v>
          </cell>
        </row>
        <row r="316">
          <cell r="B316">
            <v>0</v>
          </cell>
          <cell r="C316" t="str">
            <v>NA</v>
          </cell>
          <cell r="D316">
            <v>0</v>
          </cell>
          <cell r="E316">
            <v>0.22520000000000001</v>
          </cell>
          <cell r="F316">
            <v>3.5000000000000003E-2</v>
          </cell>
          <cell r="G316">
            <v>16.295872565901799</v>
          </cell>
          <cell r="H316">
            <v>12.4178647632649</v>
          </cell>
          <cell r="I316">
            <v>7.6142115851070997</v>
          </cell>
          <cell r="J316">
            <v>138916.69916442901</v>
          </cell>
          <cell r="K316">
            <v>86985.842142641806</v>
          </cell>
          <cell r="L316">
            <v>1</v>
          </cell>
          <cell r="M316">
            <v>0</v>
          </cell>
        </row>
        <row r="317">
          <cell r="B317">
            <v>0</v>
          </cell>
          <cell r="C317" t="str">
            <v>NA</v>
          </cell>
          <cell r="D317">
            <v>0</v>
          </cell>
          <cell r="E317">
            <v>0.1404</v>
          </cell>
          <cell r="F317">
            <v>5.5599999999999997E-2</v>
          </cell>
          <cell r="G317">
            <v>19.381186064293999</v>
          </cell>
          <cell r="H317">
            <v>13.2470206670816</v>
          </cell>
          <cell r="I317">
            <v>7.8555753355788402</v>
          </cell>
          <cell r="J317">
            <v>227321.046057478</v>
          </cell>
          <cell r="K317">
            <v>132183.332052015</v>
          </cell>
          <cell r="L317">
            <v>1</v>
          </cell>
          <cell r="M317">
            <v>0</v>
          </cell>
        </row>
        <row r="318">
          <cell r="B318">
            <v>0</v>
          </cell>
          <cell r="C318" t="str">
            <v>NA</v>
          </cell>
          <cell r="D318">
            <v>0</v>
          </cell>
          <cell r="E318">
            <v>0.21679999999999999</v>
          </cell>
          <cell r="F318">
            <v>3.56E-2</v>
          </cell>
          <cell r="G318">
            <v>17.611275074738799</v>
          </cell>
          <cell r="H318">
            <v>11.867324325038901</v>
          </cell>
          <cell r="I318">
            <v>7.0988377857665901</v>
          </cell>
          <cell r="J318">
            <v>215433.897518618</v>
          </cell>
          <cell r="K318">
            <v>126980.162013273</v>
          </cell>
          <cell r="L318">
            <v>1</v>
          </cell>
          <cell r="M318">
            <v>0</v>
          </cell>
        </row>
        <row r="319">
          <cell r="B319">
            <v>0</v>
          </cell>
          <cell r="C319" t="str">
            <v>NA</v>
          </cell>
          <cell r="D319">
            <v>0</v>
          </cell>
          <cell r="E319">
            <v>0.21929999999999999</v>
          </cell>
          <cell r="F319">
            <v>2.69E-2</v>
          </cell>
          <cell r="G319">
            <v>19.265169538025798</v>
          </cell>
          <cell r="H319">
            <v>14.2719883655774</v>
          </cell>
          <cell r="I319">
            <v>8.3451709937313296</v>
          </cell>
          <cell r="J319">
            <v>202200.10535506901</v>
          </cell>
          <cell r="K319">
            <v>116488.71695333</v>
          </cell>
          <cell r="L319">
            <v>1</v>
          </cell>
          <cell r="M319">
            <v>0</v>
          </cell>
        </row>
        <row r="320">
          <cell r="B320">
            <v>0</v>
          </cell>
          <cell r="C320" t="str">
            <v>NA</v>
          </cell>
          <cell r="D320">
            <v>0</v>
          </cell>
          <cell r="E320">
            <v>0.22320000000000001</v>
          </cell>
          <cell r="F320">
            <v>5.8799999999999998E-2</v>
          </cell>
          <cell r="G320">
            <v>17.469888227441899</v>
          </cell>
          <cell r="H320">
            <v>13.1445391354571</v>
          </cell>
          <cell r="I320">
            <v>7.81855595559019</v>
          </cell>
          <cell r="J320">
            <v>152769.510700827</v>
          </cell>
          <cell r="K320">
            <v>91564.050110841505</v>
          </cell>
          <cell r="L320">
            <v>1</v>
          </cell>
          <cell r="M320">
            <v>0</v>
          </cell>
        </row>
        <row r="321">
          <cell r="B321">
            <v>0</v>
          </cell>
          <cell r="C321" t="str">
            <v>NA</v>
          </cell>
          <cell r="D321">
            <v>0</v>
          </cell>
          <cell r="E321">
            <v>0.30170000000000002</v>
          </cell>
          <cell r="F321">
            <v>1.7899999999999999E-2</v>
          </cell>
          <cell r="G321">
            <v>16.304209850634798</v>
          </cell>
          <cell r="H321">
            <v>12.5739638796808</v>
          </cell>
          <cell r="I321">
            <v>7.5388734312302201</v>
          </cell>
          <cell r="J321">
            <v>169730.915737779</v>
          </cell>
          <cell r="K321">
            <v>101582.973634437</v>
          </cell>
          <cell r="L321">
            <v>1</v>
          </cell>
          <cell r="M321">
            <v>0</v>
          </cell>
        </row>
        <row r="322">
          <cell r="B322">
            <v>0</v>
          </cell>
          <cell r="C322" t="str">
            <v>NA</v>
          </cell>
          <cell r="D322">
            <v>0</v>
          </cell>
          <cell r="E322">
            <v>0.27439999999999998</v>
          </cell>
          <cell r="F322">
            <v>3.27E-2</v>
          </cell>
          <cell r="G322">
            <v>16.019347251050601</v>
          </cell>
          <cell r="H322">
            <v>12.202257757988001</v>
          </cell>
          <cell r="I322">
            <v>7.3657769017692996</v>
          </cell>
          <cell r="J322">
            <v>196609.04010511699</v>
          </cell>
          <cell r="K322">
            <v>117755.854215531</v>
          </cell>
          <cell r="L322">
            <v>1</v>
          </cell>
          <cell r="M322">
            <v>0</v>
          </cell>
        </row>
        <row r="323">
          <cell r="B323">
            <v>0</v>
          </cell>
          <cell r="C323" t="str">
            <v>NA</v>
          </cell>
          <cell r="D323">
            <v>0</v>
          </cell>
          <cell r="E323">
            <v>0.18590000000000001</v>
          </cell>
          <cell r="F323">
            <v>5.0799999999999998E-2</v>
          </cell>
          <cell r="G323">
            <v>17.9867838670651</v>
          </cell>
          <cell r="H323">
            <v>13.187767563169899</v>
          </cell>
          <cell r="I323">
            <v>7.8892464221167504</v>
          </cell>
          <cell r="J323">
            <v>180961.32866263701</v>
          </cell>
          <cell r="K323">
            <v>108008.26664447</v>
          </cell>
          <cell r="L323">
            <v>1</v>
          </cell>
          <cell r="M323">
            <v>0</v>
          </cell>
        </row>
        <row r="324">
          <cell r="B324">
            <v>0</v>
          </cell>
          <cell r="C324" t="str">
            <v>NA</v>
          </cell>
          <cell r="D324">
            <v>0</v>
          </cell>
          <cell r="E324">
            <v>0.1454</v>
          </cell>
          <cell r="F324">
            <v>3.8199999999999998E-2</v>
          </cell>
          <cell r="G324">
            <v>18.251344807336999</v>
          </cell>
          <cell r="H324">
            <v>12.1376440349832</v>
          </cell>
          <cell r="I324">
            <v>7.3491863154735304</v>
          </cell>
          <cell r="J324">
            <v>197549.38866924599</v>
          </cell>
          <cell r="K324">
            <v>118959.829827614</v>
          </cell>
          <cell r="L324">
            <v>1</v>
          </cell>
          <cell r="M324">
            <v>0</v>
          </cell>
        </row>
        <row r="325">
          <cell r="B325">
            <v>0</v>
          </cell>
          <cell r="C325" t="str">
            <v>NA</v>
          </cell>
          <cell r="D325">
            <v>0</v>
          </cell>
          <cell r="E325">
            <v>0.16550000000000001</v>
          </cell>
          <cell r="F325">
            <v>3.32E-2</v>
          </cell>
          <cell r="G325">
            <v>17.251233742341402</v>
          </cell>
          <cell r="H325">
            <v>13.1247796609667</v>
          </cell>
          <cell r="I325">
            <v>8.0529475978339207</v>
          </cell>
          <cell r="J325">
            <v>245145.32710550801</v>
          </cell>
          <cell r="K325">
            <v>148214.77899294099</v>
          </cell>
          <cell r="L325">
            <v>1</v>
          </cell>
          <cell r="M325">
            <v>0</v>
          </cell>
        </row>
        <row r="326">
          <cell r="B326">
            <v>0</v>
          </cell>
          <cell r="C326" t="str">
            <v>NA</v>
          </cell>
          <cell r="D326">
            <v>0</v>
          </cell>
          <cell r="E326">
            <v>0.16270000000000001</v>
          </cell>
          <cell r="F326">
            <v>6.0400000000000002E-2</v>
          </cell>
          <cell r="G326">
            <v>19.382705255816202</v>
          </cell>
          <cell r="H326">
            <v>15.431749304251101</v>
          </cell>
          <cell r="I326">
            <v>9.0801425777247609</v>
          </cell>
          <cell r="J326">
            <v>255105.88731715601</v>
          </cell>
          <cell r="K326">
            <v>146030.41932011399</v>
          </cell>
          <cell r="L326">
            <v>1</v>
          </cell>
          <cell r="M326">
            <v>0</v>
          </cell>
        </row>
        <row r="327">
          <cell r="B327">
            <v>0</v>
          </cell>
          <cell r="C327" t="str">
            <v>NA</v>
          </cell>
          <cell r="D327">
            <v>0</v>
          </cell>
          <cell r="E327">
            <v>0.124</v>
          </cell>
          <cell r="F327">
            <v>3.6999999999999998E-2</v>
          </cell>
          <cell r="G327">
            <v>17.721312356713401</v>
          </cell>
          <cell r="H327">
            <v>11.9860167050977</v>
          </cell>
          <cell r="I327">
            <v>7.35147277976455</v>
          </cell>
          <cell r="J327">
            <v>154548.621623343</v>
          </cell>
          <cell r="K327">
            <v>96245.696961528898</v>
          </cell>
          <cell r="L327">
            <v>1</v>
          </cell>
          <cell r="M327">
            <v>0</v>
          </cell>
        </row>
        <row r="328">
          <cell r="B328">
            <v>0</v>
          </cell>
          <cell r="C328" t="str">
            <v>NA</v>
          </cell>
          <cell r="D328">
            <v>0</v>
          </cell>
          <cell r="E328">
            <v>0.20799999999999999</v>
          </cell>
          <cell r="F328">
            <v>2.8199999999999999E-2</v>
          </cell>
          <cell r="G328">
            <v>18.1193333193157</v>
          </cell>
          <cell r="H328">
            <v>11.226849680566399</v>
          </cell>
          <cell r="I328">
            <v>6.7045650097325202</v>
          </cell>
          <cell r="J328">
            <v>232202.417444883</v>
          </cell>
          <cell r="K328">
            <v>135676.02272642299</v>
          </cell>
          <cell r="L328">
            <v>1</v>
          </cell>
          <cell r="M328">
            <v>0</v>
          </cell>
        </row>
        <row r="329">
          <cell r="B329">
            <v>0</v>
          </cell>
          <cell r="C329" t="str">
            <v>NA</v>
          </cell>
          <cell r="D329">
            <v>0</v>
          </cell>
          <cell r="E329">
            <v>0.2059</v>
          </cell>
          <cell r="F329">
            <v>5.4100000000000002E-2</v>
          </cell>
          <cell r="G329">
            <v>16.852264845284498</v>
          </cell>
          <cell r="H329">
            <v>11.3099468178424</v>
          </cell>
          <cell r="I329">
            <v>6.8437033262881002</v>
          </cell>
          <cell r="J329">
            <v>173324.00587080201</v>
          </cell>
          <cell r="K329">
            <v>104929.602364315</v>
          </cell>
          <cell r="L329">
            <v>1</v>
          </cell>
          <cell r="M329">
            <v>0</v>
          </cell>
        </row>
        <row r="330">
          <cell r="B330">
            <v>0</v>
          </cell>
          <cell r="C330" t="str">
            <v>NA</v>
          </cell>
          <cell r="D330">
            <v>0</v>
          </cell>
          <cell r="E330">
            <v>0.20880000000000001</v>
          </cell>
          <cell r="F330">
            <v>3.9199999999999999E-2</v>
          </cell>
          <cell r="G330">
            <v>17.686624152161802</v>
          </cell>
          <cell r="H330">
            <v>13.9642941702492</v>
          </cell>
          <cell r="I330">
            <v>8.3884840436812098</v>
          </cell>
          <cell r="J330">
            <v>193714.056715371</v>
          </cell>
          <cell r="K330">
            <v>115495.542065499</v>
          </cell>
          <cell r="L330">
            <v>1</v>
          </cell>
          <cell r="M330">
            <v>0</v>
          </cell>
        </row>
        <row r="331">
          <cell r="B331">
            <v>0</v>
          </cell>
          <cell r="C331" t="str">
            <v>NA</v>
          </cell>
          <cell r="D331">
            <v>0</v>
          </cell>
          <cell r="E331">
            <v>0.23480000000000001</v>
          </cell>
          <cell r="F331">
            <v>3.8100000000000002E-2</v>
          </cell>
          <cell r="G331">
            <v>18.1651096413791</v>
          </cell>
          <cell r="H331">
            <v>13.4275961830851</v>
          </cell>
          <cell r="I331">
            <v>7.9194091979694603</v>
          </cell>
          <cell r="J331">
            <v>156100.43619820999</v>
          </cell>
          <cell r="K331">
            <v>92420.365829985007</v>
          </cell>
          <cell r="L331">
            <v>1</v>
          </cell>
          <cell r="M331">
            <v>0</v>
          </cell>
        </row>
        <row r="332">
          <cell r="B332">
            <v>0</v>
          </cell>
          <cell r="C332" t="str">
            <v>NA</v>
          </cell>
          <cell r="D332">
            <v>0</v>
          </cell>
          <cell r="E332">
            <v>0.18729999999999999</v>
          </cell>
          <cell r="F332">
            <v>5.6899999999999999E-2</v>
          </cell>
          <cell r="G332">
            <v>18.5738563920596</v>
          </cell>
          <cell r="H332">
            <v>12.1007993665605</v>
          </cell>
          <cell r="I332">
            <v>7.1644009653791896</v>
          </cell>
          <cell r="J332">
            <v>172912.41307863701</v>
          </cell>
          <cell r="K332">
            <v>102180.96608036599</v>
          </cell>
          <cell r="L332">
            <v>1</v>
          </cell>
          <cell r="M332">
            <v>0</v>
          </cell>
        </row>
        <row r="333">
          <cell r="B333">
            <v>0</v>
          </cell>
          <cell r="C333" t="str">
            <v>NA</v>
          </cell>
          <cell r="D333">
            <v>0</v>
          </cell>
          <cell r="E333">
            <v>0.191</v>
          </cell>
          <cell r="F333">
            <v>5.3100000000000001E-2</v>
          </cell>
          <cell r="G333">
            <v>18.599896280555701</v>
          </cell>
          <cell r="H333">
            <v>13.5015354642288</v>
          </cell>
          <cell r="I333">
            <v>7.9775987546323801</v>
          </cell>
          <cell r="J333">
            <v>213455.37840154301</v>
          </cell>
          <cell r="K333">
            <v>124265.51474986</v>
          </cell>
          <cell r="L333">
            <v>1</v>
          </cell>
          <cell r="M333">
            <v>0</v>
          </cell>
        </row>
        <row r="334">
          <cell r="B334">
            <v>0</v>
          </cell>
          <cell r="C334" t="str">
            <v>NA</v>
          </cell>
          <cell r="D334">
            <v>0</v>
          </cell>
          <cell r="E334">
            <v>0.12759999999999999</v>
          </cell>
          <cell r="F334">
            <v>3.3399999999999999E-2</v>
          </cell>
          <cell r="G334">
            <v>18.314135312112299</v>
          </cell>
          <cell r="H334">
            <v>12.987270794078301</v>
          </cell>
          <cell r="I334">
            <v>7.91448799036342</v>
          </cell>
          <cell r="J334">
            <v>158083.698710456</v>
          </cell>
          <cell r="K334">
            <v>97416.542370303301</v>
          </cell>
          <cell r="L334">
            <v>1</v>
          </cell>
          <cell r="M334">
            <v>0</v>
          </cell>
        </row>
        <row r="335">
          <cell r="B335">
            <v>0</v>
          </cell>
          <cell r="C335" t="str">
            <v>NA</v>
          </cell>
          <cell r="D335">
            <v>0</v>
          </cell>
          <cell r="E335">
            <v>0.1215</v>
          </cell>
          <cell r="F335">
            <v>4.9399999999999999E-2</v>
          </cell>
          <cell r="G335">
            <v>19.806017168327799</v>
          </cell>
          <cell r="H335">
            <v>14.5015792189952</v>
          </cell>
          <cell r="I335">
            <v>8.6250227365165504</v>
          </cell>
          <cell r="J335">
            <v>276399.93177519302</v>
          </cell>
          <cell r="K335">
            <v>160020.04871681301</v>
          </cell>
          <cell r="L335">
            <v>1</v>
          </cell>
          <cell r="M335">
            <v>0</v>
          </cell>
        </row>
        <row r="336">
          <cell r="B336">
            <v>0</v>
          </cell>
          <cell r="C336" t="str">
            <v>NA</v>
          </cell>
          <cell r="D336">
            <v>0</v>
          </cell>
          <cell r="E336">
            <v>0.17030000000000001</v>
          </cell>
          <cell r="F336">
            <v>4.2000000000000003E-2</v>
          </cell>
          <cell r="G336">
            <v>19.700261863762801</v>
          </cell>
          <cell r="H336">
            <v>15.533278753618101</v>
          </cell>
          <cell r="I336">
            <v>9.1169607324562705</v>
          </cell>
          <cell r="J336">
            <v>238563.99253141799</v>
          </cell>
          <cell r="K336">
            <v>136807.656355404</v>
          </cell>
          <cell r="L336">
            <v>1</v>
          </cell>
          <cell r="M336">
            <v>0</v>
          </cell>
        </row>
        <row r="337">
          <cell r="B337">
            <v>0</v>
          </cell>
          <cell r="C337" t="str">
            <v>NA</v>
          </cell>
          <cell r="D337">
            <v>0</v>
          </cell>
          <cell r="E337">
            <v>0.23769999999999999</v>
          </cell>
          <cell r="F337">
            <v>4.6899999999999997E-2</v>
          </cell>
          <cell r="G337">
            <v>15.875565649921301</v>
          </cell>
          <cell r="H337">
            <v>11.8057865029746</v>
          </cell>
          <cell r="I337">
            <v>7.2164680364279397</v>
          </cell>
          <cell r="J337">
            <v>144101.56892521199</v>
          </cell>
          <cell r="K337">
            <v>89579.875111504007</v>
          </cell>
          <cell r="L337">
            <v>1</v>
          </cell>
          <cell r="M337">
            <v>0</v>
          </cell>
        </row>
        <row r="338">
          <cell r="B338">
            <v>0</v>
          </cell>
          <cell r="C338" t="str">
            <v>NA</v>
          </cell>
          <cell r="D338">
            <v>0</v>
          </cell>
          <cell r="E338">
            <v>0.18149999999999999</v>
          </cell>
          <cell r="F338">
            <v>5.28E-2</v>
          </cell>
          <cell r="G338">
            <v>18.547290950257501</v>
          </cell>
          <cell r="H338">
            <v>11.978071105828301</v>
          </cell>
          <cell r="I338">
            <v>7.10905980556893</v>
          </cell>
          <cell r="J338">
            <v>190317.74527375199</v>
          </cell>
          <cell r="K338">
            <v>112085.199196817</v>
          </cell>
          <cell r="L338">
            <v>1</v>
          </cell>
          <cell r="M338">
            <v>0</v>
          </cell>
        </row>
        <row r="339">
          <cell r="B339">
            <v>0</v>
          </cell>
          <cell r="C339" t="str">
            <v>NA</v>
          </cell>
          <cell r="D339">
            <v>0</v>
          </cell>
          <cell r="E339">
            <v>0.22850000000000001</v>
          </cell>
          <cell r="F339">
            <v>3.4099999999999998E-2</v>
          </cell>
          <cell r="G339">
            <v>17.335051199870598</v>
          </cell>
          <cell r="H339">
            <v>13.2417831157313</v>
          </cell>
          <cell r="I339">
            <v>7.9487625567221798</v>
          </cell>
          <cell r="J339">
            <v>185827.153903734</v>
          </cell>
          <cell r="K339">
            <v>111100.46046135999</v>
          </cell>
          <cell r="L339">
            <v>1</v>
          </cell>
          <cell r="M339">
            <v>0</v>
          </cell>
        </row>
        <row r="340">
          <cell r="B340">
            <v>0</v>
          </cell>
          <cell r="C340" t="str">
            <v>NA</v>
          </cell>
          <cell r="D340">
            <v>0</v>
          </cell>
          <cell r="E340">
            <v>0.1731</v>
          </cell>
          <cell r="F340">
            <v>2.7799999999999998E-2</v>
          </cell>
          <cell r="G340">
            <v>18.038374318109</v>
          </cell>
          <cell r="H340">
            <v>12.9708343547534</v>
          </cell>
          <cell r="I340">
            <v>7.8442191608916403</v>
          </cell>
          <cell r="J340">
            <v>249073.471528088</v>
          </cell>
          <cell r="K340">
            <v>147802.573475143</v>
          </cell>
          <cell r="L340">
            <v>1</v>
          </cell>
          <cell r="M340">
            <v>0</v>
          </cell>
        </row>
        <row r="341">
          <cell r="B341">
            <v>0</v>
          </cell>
          <cell r="C341" t="str">
            <v>NA</v>
          </cell>
          <cell r="D341">
            <v>0</v>
          </cell>
          <cell r="E341">
            <v>0.15840000000000001</v>
          </cell>
          <cell r="F341">
            <v>4.7399999999999998E-2</v>
          </cell>
          <cell r="G341">
            <v>18.044792370031299</v>
          </cell>
          <cell r="H341">
            <v>13.5022252585226</v>
          </cell>
          <cell r="I341">
            <v>8.1451396174916102</v>
          </cell>
          <cell r="J341">
            <v>162348.252898946</v>
          </cell>
          <cell r="K341">
            <v>98442.752158530493</v>
          </cell>
          <cell r="L341">
            <v>1</v>
          </cell>
          <cell r="M341">
            <v>0</v>
          </cell>
        </row>
        <row r="342">
          <cell r="B342">
            <v>0</v>
          </cell>
          <cell r="C342" t="str">
            <v>NA</v>
          </cell>
          <cell r="D342">
            <v>0</v>
          </cell>
          <cell r="E342">
            <v>0.22700000000000001</v>
          </cell>
          <cell r="F342">
            <v>4.9200000000000001E-2</v>
          </cell>
          <cell r="G342">
            <v>17.5857497187645</v>
          </cell>
          <cell r="H342">
            <v>12.4902922583339</v>
          </cell>
          <cell r="I342">
            <v>7.4397354147885304</v>
          </cell>
          <cell r="J342">
            <v>182020.01627751501</v>
          </cell>
          <cell r="K342">
            <v>107696.237733085</v>
          </cell>
          <cell r="L342">
            <v>1</v>
          </cell>
          <cell r="M342">
            <v>0</v>
          </cell>
        </row>
        <row r="343">
          <cell r="B343">
            <v>0</v>
          </cell>
          <cell r="C343" t="str">
            <v>NA</v>
          </cell>
          <cell r="D343">
            <v>0</v>
          </cell>
          <cell r="E343">
            <v>0.14130000000000001</v>
          </cell>
          <cell r="F343">
            <v>4.1399999999999999E-2</v>
          </cell>
          <cell r="G343">
            <v>18.447107879216301</v>
          </cell>
          <cell r="H343">
            <v>12.865936921166201</v>
          </cell>
          <cell r="I343">
            <v>7.7563797932159497</v>
          </cell>
          <cell r="J343">
            <v>239637.69792343699</v>
          </cell>
          <cell r="K343">
            <v>141747.727391422</v>
          </cell>
          <cell r="L343">
            <v>1</v>
          </cell>
          <cell r="M343">
            <v>0</v>
          </cell>
        </row>
        <row r="344">
          <cell r="B344">
            <v>0</v>
          </cell>
          <cell r="C344" t="str">
            <v>NA</v>
          </cell>
          <cell r="D344">
            <v>0</v>
          </cell>
          <cell r="E344">
            <v>0.156</v>
          </cell>
          <cell r="F344">
            <v>5.0500000000000003E-2</v>
          </cell>
          <cell r="G344">
            <v>17.277030103295299</v>
          </cell>
          <cell r="H344">
            <v>11.2817783460277</v>
          </cell>
          <cell r="I344">
            <v>6.8601610025641904</v>
          </cell>
          <cell r="J344">
            <v>193501.33904818801</v>
          </cell>
          <cell r="K344">
            <v>117515.580140972</v>
          </cell>
          <cell r="L344">
            <v>1</v>
          </cell>
          <cell r="M344">
            <v>0</v>
          </cell>
        </row>
        <row r="345">
          <cell r="B345">
            <v>0</v>
          </cell>
          <cell r="C345" t="str">
            <v>NA</v>
          </cell>
          <cell r="D345">
            <v>0</v>
          </cell>
          <cell r="E345">
            <v>0.29270000000000002</v>
          </cell>
          <cell r="F345">
            <v>2.6100000000000002E-2</v>
          </cell>
          <cell r="G345">
            <v>16.057042227693</v>
          </cell>
          <cell r="H345">
            <v>11.659489993192899</v>
          </cell>
          <cell r="I345">
            <v>7.0044116644979404</v>
          </cell>
          <cell r="J345">
            <v>174191.71963754599</v>
          </cell>
          <cell r="K345">
            <v>104138.073441649</v>
          </cell>
          <cell r="L345">
            <v>1</v>
          </cell>
          <cell r="M345">
            <v>0</v>
          </cell>
        </row>
        <row r="346">
          <cell r="B346">
            <v>0</v>
          </cell>
          <cell r="C346" t="str">
            <v>NA</v>
          </cell>
          <cell r="D346">
            <v>0</v>
          </cell>
          <cell r="E346">
            <v>0.21149999999999999</v>
          </cell>
          <cell r="F346">
            <v>3.6900000000000002E-2</v>
          </cell>
          <cell r="G346">
            <v>18.187901280022</v>
          </cell>
          <cell r="H346">
            <v>11.4860844674691</v>
          </cell>
          <cell r="I346">
            <v>6.8457597125738703</v>
          </cell>
          <cell r="J346">
            <v>200415.74816428201</v>
          </cell>
          <cell r="K346">
            <v>118044.025346029</v>
          </cell>
          <cell r="L346">
            <v>1</v>
          </cell>
          <cell r="M346">
            <v>0</v>
          </cell>
        </row>
        <row r="347">
          <cell r="B347">
            <v>0</v>
          </cell>
          <cell r="C347" t="str">
            <v>NA</v>
          </cell>
          <cell r="D347">
            <v>0</v>
          </cell>
          <cell r="E347">
            <v>0.1983</v>
          </cell>
          <cell r="F347">
            <v>5.1499999999999997E-2</v>
          </cell>
          <cell r="G347">
            <v>17.343522097982301</v>
          </cell>
          <cell r="H347">
            <v>13.033276208791399</v>
          </cell>
          <cell r="I347">
            <v>7.8392885725624399</v>
          </cell>
          <cell r="J347">
            <v>199821.39125553801</v>
          </cell>
          <cell r="K347">
            <v>119184.065084715</v>
          </cell>
          <cell r="L347">
            <v>1</v>
          </cell>
          <cell r="M347">
            <v>0</v>
          </cell>
        </row>
        <row r="348">
          <cell r="B348">
            <v>0</v>
          </cell>
          <cell r="C348" t="str">
            <v>NA</v>
          </cell>
          <cell r="D348">
            <v>0</v>
          </cell>
          <cell r="E348">
            <v>0.14349999999999999</v>
          </cell>
          <cell r="F348">
            <v>5.5800000000000002E-2</v>
          </cell>
          <cell r="G348">
            <v>18.9858842236393</v>
          </cell>
          <cell r="H348">
            <v>13.8294806679024</v>
          </cell>
          <cell r="I348">
            <v>8.2418724689452407</v>
          </cell>
          <cell r="J348">
            <v>185790.27372661099</v>
          </cell>
          <cell r="K348">
            <v>110149.404221622</v>
          </cell>
          <cell r="L348">
            <v>1</v>
          </cell>
          <cell r="M348">
            <v>0</v>
          </cell>
        </row>
        <row r="349">
          <cell r="B349">
            <v>0</v>
          </cell>
          <cell r="C349" t="str">
            <v>NA</v>
          </cell>
          <cell r="D349">
            <v>0</v>
          </cell>
          <cell r="E349">
            <v>0.13969999999999999</v>
          </cell>
          <cell r="F349">
            <v>4.58E-2</v>
          </cell>
          <cell r="G349">
            <v>16.896320616298599</v>
          </cell>
          <cell r="H349">
            <v>11.4322370249401</v>
          </cell>
          <cell r="I349">
            <v>7.0800311286741699</v>
          </cell>
          <cell r="J349">
            <v>183251.97515440901</v>
          </cell>
          <cell r="K349">
            <v>113550.417695379</v>
          </cell>
          <cell r="L349">
            <v>1</v>
          </cell>
          <cell r="M349">
            <v>0</v>
          </cell>
        </row>
        <row r="350">
          <cell r="B350">
            <v>0</v>
          </cell>
          <cell r="C350" t="str">
            <v>NA</v>
          </cell>
          <cell r="D350">
            <v>0</v>
          </cell>
          <cell r="E350">
            <v>0.14050000000000001</v>
          </cell>
          <cell r="F350">
            <v>4.3099999999999999E-2</v>
          </cell>
          <cell r="G350">
            <v>18.0739692172526</v>
          </cell>
          <cell r="H350">
            <v>12.2326049985422</v>
          </cell>
          <cell r="I350">
            <v>7.4256696820686701</v>
          </cell>
          <cell r="J350">
            <v>212812.52695340599</v>
          </cell>
          <cell r="K350">
            <v>128382.052085776</v>
          </cell>
          <cell r="L350">
            <v>1</v>
          </cell>
          <cell r="M350">
            <v>0</v>
          </cell>
        </row>
        <row r="351">
          <cell r="B351">
            <v>0</v>
          </cell>
          <cell r="C351" t="str">
            <v>NA</v>
          </cell>
          <cell r="D351">
            <v>0</v>
          </cell>
          <cell r="E351">
            <v>0.18679999999999999</v>
          </cell>
          <cell r="F351">
            <v>2.52E-2</v>
          </cell>
          <cell r="G351">
            <v>17.276225550443101</v>
          </cell>
          <cell r="H351">
            <v>13.3203817011937</v>
          </cell>
          <cell r="I351">
            <v>8.1189432541362407</v>
          </cell>
          <cell r="J351">
            <v>169639.528122572</v>
          </cell>
          <cell r="K351">
            <v>103884.22676852399</v>
          </cell>
          <cell r="L351">
            <v>1</v>
          </cell>
          <cell r="M351">
            <v>0</v>
          </cell>
        </row>
        <row r="352">
          <cell r="B352">
            <v>0</v>
          </cell>
          <cell r="C352" t="str">
            <v>NA</v>
          </cell>
          <cell r="D352">
            <v>0</v>
          </cell>
          <cell r="E352">
            <v>0.1696</v>
          </cell>
          <cell r="F352">
            <v>4.1099999999999998E-2</v>
          </cell>
          <cell r="G352">
            <v>18.002284350923802</v>
          </cell>
          <cell r="H352">
            <v>11.1839311166783</v>
          </cell>
          <cell r="I352">
            <v>6.7499632117232196</v>
          </cell>
          <cell r="J352">
            <v>159488.04071869</v>
          </cell>
          <cell r="K352">
            <v>97104.211909422302</v>
          </cell>
          <cell r="L352">
            <v>1</v>
          </cell>
          <cell r="M352">
            <v>0</v>
          </cell>
        </row>
        <row r="353">
          <cell r="B353">
            <v>0</v>
          </cell>
          <cell r="C353" t="str">
            <v>NA</v>
          </cell>
          <cell r="D353">
            <v>0</v>
          </cell>
          <cell r="E353">
            <v>0.14119999999999999</v>
          </cell>
          <cell r="F353">
            <v>3.3700000000000001E-2</v>
          </cell>
          <cell r="G353">
            <v>17.6466992633632</v>
          </cell>
          <cell r="H353">
            <v>12.651038341178101</v>
          </cell>
          <cell r="I353">
            <v>7.7556316056092296</v>
          </cell>
          <cell r="J353">
            <v>182430.77207023001</v>
          </cell>
          <cell r="K353">
            <v>111866.300947166</v>
          </cell>
          <cell r="L353">
            <v>1</v>
          </cell>
          <cell r="M353">
            <v>0</v>
          </cell>
        </row>
        <row r="354">
          <cell r="B354">
            <v>0</v>
          </cell>
          <cell r="C354" t="str">
            <v>NA</v>
          </cell>
          <cell r="D354">
            <v>0</v>
          </cell>
          <cell r="E354">
            <v>0.16200000000000001</v>
          </cell>
          <cell r="F354">
            <v>3.5299999999999998E-2</v>
          </cell>
          <cell r="G354">
            <v>18.273476911820602</v>
          </cell>
          <cell r="H354">
            <v>13.1652475143621</v>
          </cell>
          <cell r="I354">
            <v>7.9600258893674702</v>
          </cell>
          <cell r="J354">
            <v>227733.84714466101</v>
          </cell>
          <cell r="K354">
            <v>135809.17640900699</v>
          </cell>
          <cell r="L354">
            <v>1</v>
          </cell>
          <cell r="M354">
            <v>0</v>
          </cell>
        </row>
        <row r="355">
          <cell r="B355">
            <v>0</v>
          </cell>
          <cell r="C355" t="str">
            <v>NA</v>
          </cell>
          <cell r="D355">
            <v>0</v>
          </cell>
          <cell r="E355">
            <v>0.1799</v>
          </cell>
          <cell r="F355">
            <v>3.1399999999999997E-2</v>
          </cell>
          <cell r="G355">
            <v>18.1476040079123</v>
          </cell>
          <cell r="H355">
            <v>12.3427553932677</v>
          </cell>
          <cell r="I355">
            <v>7.4439589203617498</v>
          </cell>
          <cell r="J355">
            <v>160208.86661962199</v>
          </cell>
          <cell r="K355">
            <v>97432.494266496695</v>
          </cell>
          <cell r="L355">
            <v>1</v>
          </cell>
          <cell r="M355">
            <v>0</v>
          </cell>
        </row>
        <row r="356">
          <cell r="B356">
            <v>0</v>
          </cell>
          <cell r="C356" t="str">
            <v>NA</v>
          </cell>
          <cell r="D356">
            <v>0</v>
          </cell>
          <cell r="E356">
            <v>0.2074</v>
          </cell>
          <cell r="F356">
            <v>4.3200000000000002E-2</v>
          </cell>
          <cell r="G356">
            <v>17.1626214397095</v>
          </cell>
          <cell r="H356">
            <v>11.7947727580404</v>
          </cell>
          <cell r="I356">
            <v>7.1213912306883396</v>
          </cell>
          <cell r="J356">
            <v>157609.12084905599</v>
          </cell>
          <cell r="K356">
            <v>95936.363749940298</v>
          </cell>
          <cell r="L356">
            <v>1</v>
          </cell>
          <cell r="M356">
            <v>0</v>
          </cell>
        </row>
        <row r="357">
          <cell r="B357">
            <v>0</v>
          </cell>
          <cell r="C357" t="str">
            <v>NA</v>
          </cell>
          <cell r="D357">
            <v>0</v>
          </cell>
          <cell r="E357">
            <v>0.1845</v>
          </cell>
          <cell r="F357">
            <v>4.1099999999999998E-2</v>
          </cell>
          <cell r="G357">
            <v>19.225628467611202</v>
          </cell>
          <cell r="H357">
            <v>14.7192583958821</v>
          </cell>
          <cell r="I357">
            <v>8.6635758051849407</v>
          </cell>
          <cell r="J357">
            <v>216601.471413527</v>
          </cell>
          <cell r="K357">
            <v>125206.592492354</v>
          </cell>
          <cell r="L357">
            <v>1</v>
          </cell>
          <cell r="M357">
            <v>0</v>
          </cell>
        </row>
        <row r="358">
          <cell r="B358">
            <v>0</v>
          </cell>
          <cell r="C358" t="str">
            <v>NA</v>
          </cell>
          <cell r="D358">
            <v>0</v>
          </cell>
          <cell r="E358">
            <v>0.18790000000000001</v>
          </cell>
          <cell r="F358">
            <v>3.7400000000000003E-2</v>
          </cell>
          <cell r="G358">
            <v>16.894379803752599</v>
          </cell>
          <cell r="H358">
            <v>10.502146470141</v>
          </cell>
          <cell r="I358">
            <v>6.4220774043387099</v>
          </cell>
          <cell r="J358">
            <v>142055.805510081</v>
          </cell>
          <cell r="K358">
            <v>88481.628245783199</v>
          </cell>
          <cell r="L358">
            <v>1</v>
          </cell>
          <cell r="M358">
            <v>0</v>
          </cell>
        </row>
        <row r="359">
          <cell r="B359">
            <v>0</v>
          </cell>
          <cell r="C359" t="str">
            <v>NA</v>
          </cell>
          <cell r="D359">
            <v>0</v>
          </cell>
          <cell r="E359">
            <v>0.18529999999999999</v>
          </cell>
          <cell r="F359">
            <v>3.4000000000000002E-2</v>
          </cell>
          <cell r="G359">
            <v>18.916377734557098</v>
          </cell>
          <cell r="H359">
            <v>12.5859987334137</v>
          </cell>
          <cell r="I359">
            <v>7.4660891309934003</v>
          </cell>
          <cell r="J359">
            <v>241872.49358446</v>
          </cell>
          <cell r="K359">
            <v>140523.40297759499</v>
          </cell>
          <cell r="L359">
            <v>1</v>
          </cell>
          <cell r="M359">
            <v>0</v>
          </cell>
        </row>
        <row r="360">
          <cell r="B360">
            <v>0</v>
          </cell>
          <cell r="C360" t="str">
            <v>NA</v>
          </cell>
          <cell r="D360">
            <v>0</v>
          </cell>
          <cell r="E360">
            <v>0.13689999999999999</v>
          </cell>
          <cell r="F360">
            <v>3.5000000000000003E-2</v>
          </cell>
          <cell r="G360">
            <v>19.358669126333101</v>
          </cell>
          <cell r="H360">
            <v>12.3193705981368</v>
          </cell>
          <cell r="I360">
            <v>7.36745254512401</v>
          </cell>
          <cell r="J360">
            <v>242979.30626398901</v>
          </cell>
          <cell r="K360">
            <v>142673.01466240201</v>
          </cell>
          <cell r="L360">
            <v>1</v>
          </cell>
          <cell r="M360">
            <v>0</v>
          </cell>
        </row>
        <row r="361">
          <cell r="B361">
            <v>0</v>
          </cell>
          <cell r="C361" t="str">
            <v>NA</v>
          </cell>
          <cell r="D361">
            <v>0</v>
          </cell>
          <cell r="E361">
            <v>0.21970000000000001</v>
          </cell>
          <cell r="F361">
            <v>3.5099999999999999E-2</v>
          </cell>
          <cell r="G361">
            <v>17.729542883154</v>
          </cell>
          <cell r="H361">
            <v>12.461590798399399</v>
          </cell>
          <cell r="I361">
            <v>7.4460816793136102</v>
          </cell>
          <cell r="J361">
            <v>186851.34356534301</v>
          </cell>
          <cell r="K361">
            <v>110645.342588511</v>
          </cell>
          <cell r="L361">
            <v>1</v>
          </cell>
          <cell r="M361">
            <v>0</v>
          </cell>
        </row>
        <row r="362">
          <cell r="B362">
            <v>0</v>
          </cell>
          <cell r="C362" t="str">
            <v>NA</v>
          </cell>
          <cell r="D362">
            <v>0</v>
          </cell>
          <cell r="E362">
            <v>0.1769</v>
          </cell>
          <cell r="F362">
            <v>4.0099999999999997E-2</v>
          </cell>
          <cell r="G362">
            <v>19.749379026739799</v>
          </cell>
          <cell r="H362">
            <v>13.244777266423901</v>
          </cell>
          <cell r="I362">
            <v>7.7629794329616599</v>
          </cell>
          <cell r="J362">
            <v>243864.252884199</v>
          </cell>
          <cell r="K362">
            <v>139019.42858372</v>
          </cell>
          <cell r="L362">
            <v>1</v>
          </cell>
          <cell r="M362">
            <v>0</v>
          </cell>
        </row>
        <row r="363">
          <cell r="B363">
            <v>0</v>
          </cell>
          <cell r="C363" t="str">
            <v>NA</v>
          </cell>
          <cell r="D363">
            <v>0</v>
          </cell>
          <cell r="E363">
            <v>0.16170000000000001</v>
          </cell>
          <cell r="F363">
            <v>3.4000000000000002E-2</v>
          </cell>
          <cell r="G363">
            <v>18.562896333270398</v>
          </cell>
          <cell r="H363">
            <v>13.827345924046799</v>
          </cell>
          <cell r="I363">
            <v>8.3214109988757397</v>
          </cell>
          <cell r="J363">
            <v>199807.94111654401</v>
          </cell>
          <cell r="K363">
            <v>119461.861119108</v>
          </cell>
          <cell r="L363">
            <v>1</v>
          </cell>
          <cell r="M363">
            <v>0</v>
          </cell>
        </row>
        <row r="364">
          <cell r="B364">
            <v>0</v>
          </cell>
          <cell r="C364" t="str">
            <v>NA</v>
          </cell>
          <cell r="D364">
            <v>0</v>
          </cell>
          <cell r="E364">
            <v>0.15579999999999999</v>
          </cell>
          <cell r="F364">
            <v>4.0399999999999998E-2</v>
          </cell>
          <cell r="G364">
            <v>18.3330875350314</v>
          </cell>
          <cell r="H364">
            <v>12.301717751525601</v>
          </cell>
          <cell r="I364">
            <v>7.4121055146725201</v>
          </cell>
          <cell r="J364">
            <v>225472.28043123701</v>
          </cell>
          <cell r="K364">
            <v>133907.567520501</v>
          </cell>
          <cell r="L364">
            <v>1</v>
          </cell>
          <cell r="M364">
            <v>0</v>
          </cell>
        </row>
        <row r="365">
          <cell r="B365">
            <v>0</v>
          </cell>
          <cell r="C365" t="str">
            <v>NA</v>
          </cell>
          <cell r="D365">
            <v>0</v>
          </cell>
          <cell r="E365">
            <v>0.2072</v>
          </cell>
          <cell r="F365">
            <v>3.8699999999999998E-2</v>
          </cell>
          <cell r="G365">
            <v>17.979773028583601</v>
          </cell>
          <cell r="H365">
            <v>12.671800313256201</v>
          </cell>
          <cell r="I365">
            <v>7.5738032297466704</v>
          </cell>
          <cell r="J365">
            <v>195967.42753080599</v>
          </cell>
          <cell r="K365">
            <v>116050.458460054</v>
          </cell>
          <cell r="L365">
            <v>1</v>
          </cell>
          <cell r="M365">
            <v>0</v>
          </cell>
        </row>
        <row r="366">
          <cell r="B366">
            <v>0</v>
          </cell>
          <cell r="C366" t="str">
            <v>NA</v>
          </cell>
          <cell r="D366">
            <v>0</v>
          </cell>
          <cell r="E366">
            <v>0.15759999999999999</v>
          </cell>
          <cell r="F366">
            <v>3.5200000000000002E-2</v>
          </cell>
          <cell r="G366">
            <v>17.889864351400501</v>
          </cell>
          <cell r="H366">
            <v>12.6987885311308</v>
          </cell>
          <cell r="I366">
            <v>7.7147840265761101</v>
          </cell>
          <cell r="J366">
            <v>179022.48531373701</v>
          </cell>
          <cell r="K366">
            <v>108835.89176431599</v>
          </cell>
          <cell r="L366">
            <v>1</v>
          </cell>
          <cell r="M366">
            <v>0</v>
          </cell>
        </row>
        <row r="367">
          <cell r="B367">
            <v>0</v>
          </cell>
          <cell r="C367" t="str">
            <v>NA</v>
          </cell>
          <cell r="D367">
            <v>0</v>
          </cell>
          <cell r="E367">
            <v>0.24210000000000001</v>
          </cell>
          <cell r="F367">
            <v>3.6200000000000003E-2</v>
          </cell>
          <cell r="G367">
            <v>16.887001189950599</v>
          </cell>
          <cell r="H367">
            <v>10.5513644931827</v>
          </cell>
          <cell r="I367">
            <v>6.3398757078875603</v>
          </cell>
          <cell r="J367">
            <v>182793.613688087</v>
          </cell>
          <cell r="K367">
            <v>109154.13263270901</v>
          </cell>
          <cell r="L367">
            <v>1</v>
          </cell>
          <cell r="M367">
            <v>0</v>
          </cell>
        </row>
        <row r="368">
          <cell r="B368">
            <v>0</v>
          </cell>
          <cell r="C368" t="str">
            <v>NA</v>
          </cell>
          <cell r="D368">
            <v>0</v>
          </cell>
          <cell r="E368">
            <v>0.1923</v>
          </cell>
          <cell r="F368">
            <v>4.2500000000000003E-2</v>
          </cell>
          <cell r="G368">
            <v>17.864311360353401</v>
          </cell>
          <cell r="H368">
            <v>11.6432283762356</v>
          </cell>
          <cell r="I368">
            <v>6.9615990556676497</v>
          </cell>
          <cell r="J368">
            <v>182193.4188867</v>
          </cell>
          <cell r="K368">
            <v>108484.33420763499</v>
          </cell>
          <cell r="L368">
            <v>1</v>
          </cell>
          <cell r="M368">
            <v>0</v>
          </cell>
        </row>
        <row r="369">
          <cell r="B369">
            <v>0</v>
          </cell>
          <cell r="C369" t="str">
            <v>NA</v>
          </cell>
          <cell r="D369">
            <v>0</v>
          </cell>
          <cell r="E369">
            <v>0.14810000000000001</v>
          </cell>
          <cell r="F369">
            <v>4.2799999999999998E-2</v>
          </cell>
          <cell r="G369">
            <v>18.533958767062298</v>
          </cell>
          <cell r="H369">
            <v>13.334271857360701</v>
          </cell>
          <cell r="I369">
            <v>8.0172634610689499</v>
          </cell>
          <cell r="J369">
            <v>217988.95172235201</v>
          </cell>
          <cell r="K369">
            <v>129486.80218302501</v>
          </cell>
          <cell r="L369">
            <v>1</v>
          </cell>
          <cell r="M369">
            <v>0</v>
          </cell>
        </row>
        <row r="370">
          <cell r="B370">
            <v>0</v>
          </cell>
          <cell r="C370" t="str">
            <v>NA</v>
          </cell>
          <cell r="D370">
            <v>0</v>
          </cell>
          <cell r="E370">
            <v>0.18579999999999999</v>
          </cell>
          <cell r="F370">
            <v>3.0200000000000001E-2</v>
          </cell>
          <cell r="G370">
            <v>19.629729436856401</v>
          </cell>
          <cell r="H370">
            <v>14.5177111328341</v>
          </cell>
          <cell r="I370">
            <v>8.5716896445525208</v>
          </cell>
          <cell r="J370">
            <v>245076.60086843799</v>
          </cell>
          <cell r="K370">
            <v>141245.828931731</v>
          </cell>
          <cell r="L370">
            <v>1</v>
          </cell>
          <cell r="M370">
            <v>0</v>
          </cell>
        </row>
        <row r="371">
          <cell r="B371">
            <v>0</v>
          </cell>
          <cell r="C371" t="str">
            <v>NA</v>
          </cell>
          <cell r="D371">
            <v>0</v>
          </cell>
          <cell r="E371">
            <v>0.23219999999999999</v>
          </cell>
          <cell r="F371">
            <v>5.4399999999999997E-2</v>
          </cell>
          <cell r="G371">
            <v>17.3035207331015</v>
          </cell>
          <cell r="H371">
            <v>14.3626242378357</v>
          </cell>
          <cell r="I371">
            <v>8.5612711628254896</v>
          </cell>
          <cell r="J371">
            <v>203572.80210942001</v>
          </cell>
          <cell r="K371">
            <v>119777.348227977</v>
          </cell>
          <cell r="L371">
            <v>1</v>
          </cell>
          <cell r="M371">
            <v>0</v>
          </cell>
        </row>
        <row r="372">
          <cell r="B372">
            <v>0</v>
          </cell>
          <cell r="C372" t="str">
            <v>NA</v>
          </cell>
          <cell r="D372">
            <v>0</v>
          </cell>
          <cell r="E372">
            <v>0.2041</v>
          </cell>
          <cell r="F372">
            <v>3.3300000000000003E-2</v>
          </cell>
          <cell r="G372">
            <v>16.915671416520301</v>
          </cell>
          <cell r="H372">
            <v>13.0359066539969</v>
          </cell>
          <cell r="I372">
            <v>7.9103912488245003</v>
          </cell>
          <cell r="J372">
            <v>172593.19606548201</v>
          </cell>
          <cell r="K372">
            <v>104993.780212784</v>
          </cell>
          <cell r="L372">
            <v>1</v>
          </cell>
          <cell r="M372">
            <v>0</v>
          </cell>
        </row>
        <row r="373">
          <cell r="B373">
            <v>0</v>
          </cell>
          <cell r="C373" t="str">
            <v>NA</v>
          </cell>
          <cell r="D373">
            <v>0</v>
          </cell>
          <cell r="E373">
            <v>0.18729999999999999</v>
          </cell>
          <cell r="F373">
            <v>4.0800000000000003E-2</v>
          </cell>
          <cell r="G373">
            <v>18.6572484653632</v>
          </cell>
          <cell r="H373">
            <v>12.835517109390199</v>
          </cell>
          <cell r="I373">
            <v>7.61116621004766</v>
          </cell>
          <cell r="J373">
            <v>216436.89412424201</v>
          </cell>
          <cell r="K373">
            <v>126236.752624898</v>
          </cell>
          <cell r="L373">
            <v>1</v>
          </cell>
          <cell r="M373">
            <v>0</v>
          </cell>
        </row>
        <row r="374">
          <cell r="B374">
            <v>0</v>
          </cell>
          <cell r="C374" t="str">
            <v>NA</v>
          </cell>
          <cell r="D374">
            <v>0</v>
          </cell>
          <cell r="E374">
            <v>0.1764</v>
          </cell>
          <cell r="F374">
            <v>4.2700000000000002E-2</v>
          </cell>
          <cell r="G374">
            <v>18.255477671678801</v>
          </cell>
          <cell r="H374">
            <v>13.050067391655</v>
          </cell>
          <cell r="I374">
            <v>7.8194224481338397</v>
          </cell>
          <cell r="J374">
            <v>195229.482153752</v>
          </cell>
          <cell r="K374">
            <v>115600.503214818</v>
          </cell>
          <cell r="L374">
            <v>1</v>
          </cell>
          <cell r="M374">
            <v>0</v>
          </cell>
        </row>
        <row r="375">
          <cell r="B375">
            <v>0</v>
          </cell>
          <cell r="C375" t="str">
            <v>NA</v>
          </cell>
          <cell r="D375">
            <v>0</v>
          </cell>
          <cell r="E375">
            <v>0.1656</v>
          </cell>
          <cell r="F375">
            <v>4.3900000000000002E-2</v>
          </cell>
          <cell r="G375">
            <v>17.468303349373201</v>
          </cell>
          <cell r="H375">
            <v>11.766142933022801</v>
          </cell>
          <cell r="I375">
            <v>7.1800916768155503</v>
          </cell>
          <cell r="J375">
            <v>205158.16733990301</v>
          </cell>
          <cell r="K375">
            <v>124171.855774846</v>
          </cell>
          <cell r="L375">
            <v>1</v>
          </cell>
          <cell r="M375">
            <v>0</v>
          </cell>
        </row>
        <row r="376">
          <cell r="B376">
            <v>0</v>
          </cell>
          <cell r="C376" t="str">
            <v>NA</v>
          </cell>
          <cell r="D376">
            <v>0</v>
          </cell>
          <cell r="E376">
            <v>0.23039999999999999</v>
          </cell>
          <cell r="F376">
            <v>4.3999999999999997E-2</v>
          </cell>
          <cell r="G376">
            <v>17.2499348652732</v>
          </cell>
          <cell r="H376">
            <v>9.5065644570497696</v>
          </cell>
          <cell r="I376">
            <v>5.6885271145811904</v>
          </cell>
          <cell r="J376">
            <v>159024.754612722</v>
          </cell>
          <cell r="K376">
            <v>95659.591374125404</v>
          </cell>
          <cell r="L376">
            <v>1</v>
          </cell>
          <cell r="M376">
            <v>0</v>
          </cell>
        </row>
        <row r="377">
          <cell r="B377">
            <v>0</v>
          </cell>
          <cell r="C377" t="str">
            <v>NA</v>
          </cell>
          <cell r="D377">
            <v>0</v>
          </cell>
          <cell r="E377">
            <v>0.1794</v>
          </cell>
          <cell r="F377">
            <v>4.3299999999999998E-2</v>
          </cell>
          <cell r="G377">
            <v>19.099174461670401</v>
          </cell>
          <cell r="H377">
            <v>12.9836537163188</v>
          </cell>
          <cell r="I377">
            <v>7.6541253021948403</v>
          </cell>
          <cell r="J377">
            <v>227535.935818503</v>
          </cell>
          <cell r="K377">
            <v>131429.29060830499</v>
          </cell>
          <cell r="L377">
            <v>1</v>
          </cell>
          <cell r="M377">
            <v>0</v>
          </cell>
        </row>
        <row r="378">
          <cell r="B378">
            <v>0</v>
          </cell>
          <cell r="C378" t="str">
            <v>NA</v>
          </cell>
          <cell r="D378">
            <v>0</v>
          </cell>
          <cell r="E378">
            <v>0.2898</v>
          </cell>
          <cell r="F378">
            <v>2.7300000000000001E-2</v>
          </cell>
          <cell r="G378">
            <v>17.102401513069001</v>
          </cell>
          <cell r="H378">
            <v>12.487227573642199</v>
          </cell>
          <cell r="I378">
            <v>7.3870323422726702</v>
          </cell>
          <cell r="J378">
            <v>202631.65279927099</v>
          </cell>
          <cell r="K378">
            <v>118052.31603919899</v>
          </cell>
          <cell r="L378">
            <v>1</v>
          </cell>
          <cell r="M378">
            <v>0</v>
          </cell>
        </row>
        <row r="379">
          <cell r="B379">
            <v>0</v>
          </cell>
          <cell r="C379" t="str">
            <v>NA</v>
          </cell>
          <cell r="D379">
            <v>0</v>
          </cell>
          <cell r="E379">
            <v>0.15409999999999999</v>
          </cell>
          <cell r="F379">
            <v>3.8899999999999997E-2</v>
          </cell>
          <cell r="G379">
            <v>19.196024696251602</v>
          </cell>
          <cell r="H379">
            <v>13.7126622627726</v>
          </cell>
          <cell r="I379">
            <v>8.17210958437194</v>
          </cell>
          <cell r="J379">
            <v>235809.021963031</v>
          </cell>
          <cell r="K379">
            <v>137909.64065515701</v>
          </cell>
          <cell r="L379">
            <v>1</v>
          </cell>
          <cell r="M379">
            <v>0</v>
          </cell>
        </row>
        <row r="380">
          <cell r="B380">
            <v>0</v>
          </cell>
          <cell r="C380" t="str">
            <v>NA</v>
          </cell>
          <cell r="D380">
            <v>0</v>
          </cell>
          <cell r="E380">
            <v>0.17069999999999999</v>
          </cell>
          <cell r="F380">
            <v>4.7199999999999999E-2</v>
          </cell>
          <cell r="G380">
            <v>16.6772330220486</v>
          </cell>
          <cell r="H380">
            <v>12.783815810167299</v>
          </cell>
          <cell r="I380">
            <v>7.8612063990737697</v>
          </cell>
          <cell r="J380">
            <v>223778.510944818</v>
          </cell>
          <cell r="K380">
            <v>136132.913805255</v>
          </cell>
          <cell r="L380">
            <v>1</v>
          </cell>
          <cell r="M380">
            <v>0</v>
          </cell>
        </row>
        <row r="381">
          <cell r="B381">
            <v>0</v>
          </cell>
          <cell r="C381" t="str">
            <v>NA</v>
          </cell>
          <cell r="D381">
            <v>0</v>
          </cell>
          <cell r="E381">
            <v>0.18970000000000001</v>
          </cell>
          <cell r="F381">
            <v>5.04E-2</v>
          </cell>
          <cell r="G381">
            <v>16.982297396761599</v>
          </cell>
          <cell r="H381">
            <v>12.293587629182399</v>
          </cell>
          <cell r="I381">
            <v>7.4762335117161101</v>
          </cell>
          <cell r="J381">
            <v>159278.36250471001</v>
          </cell>
          <cell r="K381">
            <v>97716.761493004393</v>
          </cell>
          <cell r="L381">
            <v>1</v>
          </cell>
          <cell r="M381">
            <v>0</v>
          </cell>
        </row>
        <row r="382">
          <cell r="B382">
            <v>0</v>
          </cell>
          <cell r="C382" t="str">
            <v>NA</v>
          </cell>
          <cell r="D382">
            <v>0</v>
          </cell>
          <cell r="E382">
            <v>0.22550000000000001</v>
          </cell>
          <cell r="F382">
            <v>4.7199999999999999E-2</v>
          </cell>
          <cell r="G382">
            <v>18.462768591345299</v>
          </cell>
          <cell r="H382">
            <v>12.895875611052899</v>
          </cell>
          <cell r="I382">
            <v>7.5688363685368998</v>
          </cell>
          <cell r="J382">
            <v>182358.17988484501</v>
          </cell>
          <cell r="K382">
            <v>106045.762047881</v>
          </cell>
          <cell r="L382">
            <v>1</v>
          </cell>
          <cell r="M382">
            <v>0</v>
          </cell>
        </row>
        <row r="383">
          <cell r="B383">
            <v>0</v>
          </cell>
          <cell r="C383" t="str">
            <v>NA</v>
          </cell>
          <cell r="D383">
            <v>0</v>
          </cell>
          <cell r="E383">
            <v>0.22750000000000001</v>
          </cell>
          <cell r="F383">
            <v>4.9599999999999998E-2</v>
          </cell>
          <cell r="G383">
            <v>16.933089294803999</v>
          </cell>
          <cell r="H383">
            <v>12.105252191226301</v>
          </cell>
          <cell r="I383">
            <v>7.2766455390007598</v>
          </cell>
          <cell r="J383">
            <v>198981.05801777699</v>
          </cell>
          <cell r="K383">
            <v>118444.785375454</v>
          </cell>
          <cell r="L383">
            <v>1</v>
          </cell>
          <cell r="M383">
            <v>0</v>
          </cell>
        </row>
        <row r="384">
          <cell r="B384">
            <v>0</v>
          </cell>
          <cell r="C384" t="str">
            <v>NA</v>
          </cell>
          <cell r="D384">
            <v>0</v>
          </cell>
          <cell r="E384">
            <v>0.1779</v>
          </cell>
          <cell r="F384">
            <v>6.13E-2</v>
          </cell>
          <cell r="G384">
            <v>17.314627371235201</v>
          </cell>
          <cell r="H384">
            <v>13.213111807588099</v>
          </cell>
          <cell r="I384">
            <v>7.96751679960063</v>
          </cell>
          <cell r="J384">
            <v>208041.71513575999</v>
          </cell>
          <cell r="K384">
            <v>124073.28792569099</v>
          </cell>
          <cell r="L384">
            <v>1</v>
          </cell>
          <cell r="M384">
            <v>0</v>
          </cell>
        </row>
        <row r="385">
          <cell r="B385">
            <v>0</v>
          </cell>
          <cell r="C385" t="str">
            <v>NA</v>
          </cell>
          <cell r="D385">
            <v>0</v>
          </cell>
          <cell r="E385">
            <v>0.1268</v>
          </cell>
          <cell r="F385">
            <v>6.1899999999999997E-2</v>
          </cell>
          <cell r="G385">
            <v>19.535062418902701</v>
          </cell>
          <cell r="H385">
            <v>14.9057546962567</v>
          </cell>
          <cell r="I385">
            <v>8.8098222800400094</v>
          </cell>
          <cell r="J385">
            <v>190210.97981226601</v>
          </cell>
          <cell r="K385">
            <v>111898.278579829</v>
          </cell>
          <cell r="L385">
            <v>1</v>
          </cell>
          <cell r="M385">
            <v>0</v>
          </cell>
        </row>
        <row r="386">
          <cell r="B386">
            <v>0</v>
          </cell>
          <cell r="C386" t="str">
            <v>NA</v>
          </cell>
          <cell r="D386">
            <v>0</v>
          </cell>
          <cell r="E386">
            <v>0.19400000000000001</v>
          </cell>
          <cell r="F386">
            <v>4.2799999999999998E-2</v>
          </cell>
          <cell r="G386">
            <v>18.3227130522076</v>
          </cell>
          <cell r="H386">
            <v>14.784050476975899</v>
          </cell>
          <cell r="I386">
            <v>8.7950306485011893</v>
          </cell>
          <cell r="J386">
            <v>152619.72585365799</v>
          </cell>
          <cell r="K386">
            <v>91650.082596246895</v>
          </cell>
          <cell r="L386">
            <v>1</v>
          </cell>
          <cell r="M386">
            <v>0</v>
          </cell>
        </row>
        <row r="387">
          <cell r="B387">
            <v>0</v>
          </cell>
          <cell r="C387" t="str">
            <v>NA</v>
          </cell>
          <cell r="D387">
            <v>0</v>
          </cell>
          <cell r="E387">
            <v>0.18190000000000001</v>
          </cell>
          <cell r="F387">
            <v>3.1800000000000002E-2</v>
          </cell>
          <cell r="G387">
            <v>16.896718732719901</v>
          </cell>
          <cell r="H387">
            <v>11.2829200098074</v>
          </cell>
          <cell r="I387">
            <v>6.9222296281658</v>
          </cell>
          <cell r="J387">
            <v>191690.89196325201</v>
          </cell>
          <cell r="K387">
            <v>117643.71567356501</v>
          </cell>
          <cell r="L387">
            <v>1</v>
          </cell>
          <cell r="M387">
            <v>0</v>
          </cell>
        </row>
        <row r="388">
          <cell r="B388">
            <v>0</v>
          </cell>
          <cell r="C388" t="str">
            <v>NA</v>
          </cell>
          <cell r="D388">
            <v>0</v>
          </cell>
          <cell r="E388">
            <v>0.1724</v>
          </cell>
          <cell r="F388">
            <v>5.8999999999999997E-2</v>
          </cell>
          <cell r="G388">
            <v>17.300431916178301</v>
          </cell>
          <cell r="H388">
            <v>13.1945652773574</v>
          </cell>
          <cell r="I388">
            <v>8.0278027984762605</v>
          </cell>
          <cell r="J388">
            <v>199472.01951647701</v>
          </cell>
          <cell r="K388">
            <v>120514.11860092</v>
          </cell>
          <cell r="L388">
            <v>1</v>
          </cell>
          <cell r="M388">
            <v>0</v>
          </cell>
        </row>
        <row r="389">
          <cell r="B389">
            <v>0</v>
          </cell>
          <cell r="C389" t="str">
            <v>NA</v>
          </cell>
          <cell r="D389">
            <v>0</v>
          </cell>
          <cell r="E389">
            <v>0.2072</v>
          </cell>
          <cell r="F389">
            <v>4.6300000000000001E-2</v>
          </cell>
          <cell r="G389">
            <v>15.613618532238201</v>
          </cell>
          <cell r="H389">
            <v>11.635486200514199</v>
          </cell>
          <cell r="I389">
            <v>7.2040530114619701</v>
          </cell>
          <cell r="J389">
            <v>173506.22920916</v>
          </cell>
          <cell r="K389">
            <v>107786.69475068399</v>
          </cell>
          <cell r="L389">
            <v>1</v>
          </cell>
          <cell r="M389">
            <v>0</v>
          </cell>
        </row>
        <row r="390">
          <cell r="B390">
            <v>0</v>
          </cell>
          <cell r="C390" t="str">
            <v>NA</v>
          </cell>
          <cell r="D390">
            <v>0</v>
          </cell>
          <cell r="E390">
            <v>0.1721</v>
          </cell>
          <cell r="F390">
            <v>3.6299999999999999E-2</v>
          </cell>
          <cell r="G390">
            <v>17.841420831863701</v>
          </cell>
          <cell r="H390">
            <v>13.6422914072722</v>
          </cell>
          <cell r="I390">
            <v>8.2421153012272299</v>
          </cell>
          <cell r="J390">
            <v>200035.95373180899</v>
          </cell>
          <cell r="K390">
            <v>120085.56836357601</v>
          </cell>
          <cell r="L390">
            <v>1</v>
          </cell>
          <cell r="M390">
            <v>0</v>
          </cell>
        </row>
        <row r="391">
          <cell r="B391">
            <v>0</v>
          </cell>
          <cell r="C391" t="str">
            <v>NA</v>
          </cell>
          <cell r="D391">
            <v>0</v>
          </cell>
          <cell r="E391">
            <v>0.18140000000000001</v>
          </cell>
          <cell r="F391">
            <v>4.3799999999999999E-2</v>
          </cell>
          <cell r="G391">
            <v>17.467711083541399</v>
          </cell>
          <cell r="H391">
            <v>12.873193061809699</v>
          </cell>
          <cell r="I391">
            <v>7.8004517981005597</v>
          </cell>
          <cell r="J391">
            <v>187829.54097485801</v>
          </cell>
          <cell r="K391">
            <v>113467.647374108</v>
          </cell>
          <cell r="L391">
            <v>1</v>
          </cell>
          <cell r="M391">
            <v>0</v>
          </cell>
        </row>
        <row r="392">
          <cell r="B392">
            <v>0</v>
          </cell>
          <cell r="C392" t="str">
            <v>NA</v>
          </cell>
          <cell r="D392">
            <v>0</v>
          </cell>
          <cell r="E392">
            <v>0.2417</v>
          </cell>
          <cell r="F392">
            <v>3.15E-2</v>
          </cell>
          <cell r="G392">
            <v>17.432229170622801</v>
          </cell>
          <cell r="H392">
            <v>11.878566697582601</v>
          </cell>
          <cell r="I392">
            <v>7.0721729362425299</v>
          </cell>
          <cell r="J392">
            <v>225763.641318223</v>
          </cell>
          <cell r="K392">
            <v>131880.600298568</v>
          </cell>
          <cell r="L392">
            <v>1</v>
          </cell>
          <cell r="M392">
            <v>0</v>
          </cell>
        </row>
        <row r="393">
          <cell r="B393">
            <v>0</v>
          </cell>
          <cell r="C393" t="str">
            <v>NA</v>
          </cell>
          <cell r="D393">
            <v>0</v>
          </cell>
          <cell r="E393">
            <v>0.25829999999999997</v>
          </cell>
          <cell r="F393">
            <v>4.6899999999999997E-2</v>
          </cell>
          <cell r="G393">
            <v>17.110502038901</v>
          </cell>
          <cell r="H393">
            <v>12.7511312037072</v>
          </cell>
          <cell r="I393">
            <v>7.5601146734808902</v>
          </cell>
          <cell r="J393">
            <v>191973.012188856</v>
          </cell>
          <cell r="K393">
            <v>112653.913547694</v>
          </cell>
          <cell r="L393">
            <v>1</v>
          </cell>
          <cell r="M393">
            <v>0</v>
          </cell>
        </row>
        <row r="394">
          <cell r="B394">
            <v>0</v>
          </cell>
          <cell r="C394" t="str">
            <v>NA</v>
          </cell>
          <cell r="D394">
            <v>0</v>
          </cell>
          <cell r="E394">
            <v>0.16980000000000001</v>
          </cell>
          <cell r="F394">
            <v>2.9700000000000001E-2</v>
          </cell>
          <cell r="G394">
            <v>18.960489277382901</v>
          </cell>
          <cell r="H394">
            <v>12.377708846640999</v>
          </cell>
          <cell r="I394">
            <v>7.4104245123848997</v>
          </cell>
          <cell r="J394">
            <v>176810.08301023601</v>
          </cell>
          <cell r="K394">
            <v>105696.92311677401</v>
          </cell>
          <cell r="L394">
            <v>1</v>
          </cell>
          <cell r="M394">
            <v>0</v>
          </cell>
        </row>
        <row r="395">
          <cell r="B395">
            <v>0</v>
          </cell>
          <cell r="C395" t="str">
            <v>NA</v>
          </cell>
          <cell r="D395">
            <v>0</v>
          </cell>
          <cell r="E395">
            <v>0.23400000000000001</v>
          </cell>
          <cell r="F395">
            <v>2.1700000000000001E-2</v>
          </cell>
          <cell r="G395">
            <v>16.979037842308198</v>
          </cell>
          <cell r="H395">
            <v>11.3959734575407</v>
          </cell>
          <cell r="I395">
            <v>6.9042703979748499</v>
          </cell>
          <cell r="J395">
            <v>248162.01150416001</v>
          </cell>
          <cell r="K395">
            <v>147242.50766203899</v>
          </cell>
          <cell r="L395">
            <v>1</v>
          </cell>
          <cell r="M395">
            <v>0</v>
          </cell>
        </row>
        <row r="396">
          <cell r="B396">
            <v>0</v>
          </cell>
          <cell r="C396" t="str">
            <v>NA</v>
          </cell>
          <cell r="D396">
            <v>0</v>
          </cell>
          <cell r="E396">
            <v>0.1699</v>
          </cell>
          <cell r="F396">
            <v>5.2699999999999997E-2</v>
          </cell>
          <cell r="G396">
            <v>16.874603652588299</v>
          </cell>
          <cell r="H396">
            <v>12.4980464070689</v>
          </cell>
          <cell r="I396">
            <v>7.6535306288433604</v>
          </cell>
          <cell r="J396">
            <v>160396.676623498</v>
          </cell>
          <cell r="K396">
            <v>99141.805926838293</v>
          </cell>
          <cell r="L396">
            <v>1</v>
          </cell>
          <cell r="M396">
            <v>0</v>
          </cell>
        </row>
        <row r="397">
          <cell r="B397">
            <v>0</v>
          </cell>
          <cell r="C397" t="str">
            <v>NA</v>
          </cell>
          <cell r="D397">
            <v>0</v>
          </cell>
          <cell r="E397">
            <v>0.1628</v>
          </cell>
          <cell r="F397">
            <v>5.0799999999999998E-2</v>
          </cell>
          <cell r="G397">
            <v>18.558077524797099</v>
          </cell>
          <cell r="H397">
            <v>12.7525500030026</v>
          </cell>
          <cell r="I397">
            <v>7.6098829971639503</v>
          </cell>
          <cell r="J397">
            <v>190512.24287595201</v>
          </cell>
          <cell r="K397">
            <v>113176.513597832</v>
          </cell>
          <cell r="L397">
            <v>1</v>
          </cell>
          <cell r="M397">
            <v>0</v>
          </cell>
        </row>
        <row r="398">
          <cell r="B398">
            <v>0</v>
          </cell>
          <cell r="C398" t="str">
            <v>NA</v>
          </cell>
          <cell r="D398">
            <v>0</v>
          </cell>
          <cell r="E398">
            <v>0.16020000000000001</v>
          </cell>
          <cell r="F398">
            <v>3.2800000000000003E-2</v>
          </cell>
          <cell r="G398">
            <v>19.536394504257501</v>
          </cell>
          <cell r="H398">
            <v>13.4218156792675</v>
          </cell>
          <cell r="I398">
            <v>7.9606103872021503</v>
          </cell>
          <cell r="J398">
            <v>201796.47061209299</v>
          </cell>
          <cell r="K398">
            <v>118498.957959134</v>
          </cell>
          <cell r="L398">
            <v>1</v>
          </cell>
          <cell r="M398">
            <v>0</v>
          </cell>
        </row>
        <row r="399">
          <cell r="B399">
            <v>0</v>
          </cell>
          <cell r="C399" t="str">
            <v>NA</v>
          </cell>
          <cell r="D399">
            <v>0</v>
          </cell>
          <cell r="E399">
            <v>0.1041</v>
          </cell>
          <cell r="F399">
            <v>2.9100000000000001E-2</v>
          </cell>
          <cell r="G399">
            <v>20.935063530807199</v>
          </cell>
          <cell r="H399">
            <v>13.918183392804</v>
          </cell>
          <cell r="I399">
            <v>8.2137448392159502</v>
          </cell>
          <cell r="J399">
            <v>179343.20345631</v>
          </cell>
          <cell r="K399">
            <v>105641.312026292</v>
          </cell>
          <cell r="L399">
            <v>1</v>
          </cell>
          <cell r="M399">
            <v>0</v>
          </cell>
        </row>
        <row r="400">
          <cell r="B400">
            <v>0</v>
          </cell>
          <cell r="C400" t="str">
            <v>NA</v>
          </cell>
          <cell r="D400">
            <v>0</v>
          </cell>
          <cell r="E400">
            <v>0.2041</v>
          </cell>
          <cell r="F400">
            <v>3.1199999999999999E-2</v>
          </cell>
          <cell r="G400">
            <v>16.924317432115</v>
          </cell>
          <cell r="H400">
            <v>13.245565260887901</v>
          </cell>
          <cell r="I400">
            <v>8.0687309567833907</v>
          </cell>
          <cell r="J400">
            <v>198761.78162956599</v>
          </cell>
          <cell r="K400">
            <v>120646.90780371</v>
          </cell>
          <cell r="L400">
            <v>1</v>
          </cell>
          <cell r="M400">
            <v>0</v>
          </cell>
        </row>
        <row r="401">
          <cell r="B401">
            <v>0</v>
          </cell>
          <cell r="C401" t="str">
            <v>NA</v>
          </cell>
          <cell r="D401">
            <v>0</v>
          </cell>
          <cell r="E401">
            <v>0.20169999999999999</v>
          </cell>
          <cell r="F401">
            <v>3.9699999999999999E-2</v>
          </cell>
          <cell r="G401">
            <v>17.140980636416799</v>
          </cell>
          <cell r="H401">
            <v>11.538304585043599</v>
          </cell>
          <cell r="I401">
            <v>6.9949224197987201</v>
          </cell>
          <cell r="J401">
            <v>150337.09812753301</v>
          </cell>
          <cell r="K401">
            <v>92159.086992170996</v>
          </cell>
          <cell r="L401">
            <v>1</v>
          </cell>
          <cell r="M401">
            <v>0</v>
          </cell>
        </row>
        <row r="402">
          <cell r="B402">
            <v>0</v>
          </cell>
          <cell r="C402" t="str">
            <v>NA</v>
          </cell>
          <cell r="D402">
            <v>0</v>
          </cell>
          <cell r="E402">
            <v>0.1961</v>
          </cell>
          <cell r="F402">
            <v>3.7400000000000003E-2</v>
          </cell>
          <cell r="G402">
            <v>18.000519994826501</v>
          </cell>
          <cell r="H402">
            <v>14.4798240756213</v>
          </cell>
          <cell r="I402">
            <v>8.6857957624036093</v>
          </cell>
          <cell r="J402">
            <v>213303.07432479499</v>
          </cell>
          <cell r="K402">
            <v>126446.929968925</v>
          </cell>
          <cell r="L402">
            <v>1</v>
          </cell>
          <cell r="M402">
            <v>0</v>
          </cell>
        </row>
        <row r="403">
          <cell r="B403">
            <v>0</v>
          </cell>
          <cell r="C403" t="str">
            <v>NA</v>
          </cell>
          <cell r="D403">
            <v>0</v>
          </cell>
          <cell r="E403">
            <v>0.21390000000000001</v>
          </cell>
          <cell r="F403">
            <v>3.5400000000000001E-2</v>
          </cell>
          <cell r="G403">
            <v>17.4199132594443</v>
          </cell>
          <cell r="H403">
            <v>13.0221300325559</v>
          </cell>
          <cell r="I403">
            <v>7.8383084953223996</v>
          </cell>
          <cell r="J403">
            <v>188765.930613092</v>
          </cell>
          <cell r="K403">
            <v>112638.937263819</v>
          </cell>
          <cell r="L403">
            <v>1</v>
          </cell>
          <cell r="M403">
            <v>0</v>
          </cell>
        </row>
        <row r="404">
          <cell r="B404">
            <v>0</v>
          </cell>
          <cell r="C404" t="str">
            <v>NA</v>
          </cell>
          <cell r="D404">
            <v>0</v>
          </cell>
          <cell r="E404">
            <v>0.2097</v>
          </cell>
          <cell r="F404">
            <v>4.0899999999999999E-2</v>
          </cell>
          <cell r="G404">
            <v>17.857143304711901</v>
          </cell>
          <cell r="H404">
            <v>11.6873438103138</v>
          </cell>
          <cell r="I404">
            <v>6.9885676050681598</v>
          </cell>
          <cell r="J404">
            <v>255493.999785177</v>
          </cell>
          <cell r="K404">
            <v>149081.50552218501</v>
          </cell>
          <cell r="L404">
            <v>1</v>
          </cell>
          <cell r="M404">
            <v>0</v>
          </cell>
        </row>
        <row r="405">
          <cell r="B405">
            <v>0</v>
          </cell>
          <cell r="C405" t="str">
            <v>NA</v>
          </cell>
          <cell r="D405">
            <v>0</v>
          </cell>
          <cell r="E405">
            <v>0.15060000000000001</v>
          </cell>
          <cell r="F405">
            <v>5.9499999999999997E-2</v>
          </cell>
          <cell r="G405">
            <v>17.8033107204811</v>
          </cell>
          <cell r="H405">
            <v>13.453213386910001</v>
          </cell>
          <cell r="I405">
            <v>8.1129139663861594</v>
          </cell>
          <cell r="J405">
            <v>206687.63894866101</v>
          </cell>
          <cell r="K405">
            <v>123563.85894184699</v>
          </cell>
          <cell r="L405">
            <v>1</v>
          </cell>
          <cell r="M405">
            <v>0</v>
          </cell>
        </row>
        <row r="406">
          <cell r="B406">
            <v>0</v>
          </cell>
          <cell r="C406" t="str">
            <v>NA</v>
          </cell>
          <cell r="D406">
            <v>0</v>
          </cell>
          <cell r="E406">
            <v>0.2185</v>
          </cell>
          <cell r="F406">
            <v>4.0599999999999997E-2</v>
          </cell>
          <cell r="G406">
            <v>18.877312046166601</v>
          </cell>
          <cell r="H406">
            <v>13.2702873434251</v>
          </cell>
          <cell r="I406">
            <v>7.79913315364767</v>
          </cell>
          <cell r="J406">
            <v>149466.838261697</v>
          </cell>
          <cell r="K406">
            <v>88371.705514452304</v>
          </cell>
          <cell r="L406">
            <v>1</v>
          </cell>
          <cell r="M406">
            <v>0</v>
          </cell>
        </row>
        <row r="407">
          <cell r="B407">
            <v>0</v>
          </cell>
          <cell r="C407" t="str">
            <v>NA</v>
          </cell>
          <cell r="D407">
            <v>0</v>
          </cell>
          <cell r="E407">
            <v>0.21729999999999999</v>
          </cell>
          <cell r="F407">
            <v>5.7200000000000001E-2</v>
          </cell>
          <cell r="G407">
            <v>15.643753810660201</v>
          </cell>
          <cell r="H407">
            <v>11.4340275245927</v>
          </cell>
          <cell r="I407">
            <v>7.0124665386124398</v>
          </cell>
          <cell r="J407">
            <v>190568.68632117499</v>
          </cell>
          <cell r="K407">
            <v>116521.00811086</v>
          </cell>
          <cell r="L407">
            <v>1</v>
          </cell>
          <cell r="M407">
            <v>0</v>
          </cell>
        </row>
        <row r="408">
          <cell r="B408">
            <v>0</v>
          </cell>
          <cell r="C408" t="str">
            <v>NA</v>
          </cell>
          <cell r="D408">
            <v>0</v>
          </cell>
          <cell r="E408">
            <v>0.1623</v>
          </cell>
          <cell r="F408">
            <v>3.27E-2</v>
          </cell>
          <cell r="G408">
            <v>18.433303463909599</v>
          </cell>
          <cell r="H408">
            <v>14.6519866566227</v>
          </cell>
          <cell r="I408">
            <v>8.8223093717610404</v>
          </cell>
          <cell r="J408">
            <v>206886.49818192399</v>
          </cell>
          <cell r="K408">
            <v>123466.675610454</v>
          </cell>
          <cell r="L408">
            <v>1</v>
          </cell>
          <cell r="M408">
            <v>0</v>
          </cell>
        </row>
        <row r="409">
          <cell r="B409">
            <v>0</v>
          </cell>
          <cell r="C409" t="str">
            <v>NA</v>
          </cell>
          <cell r="D409">
            <v>0</v>
          </cell>
          <cell r="E409">
            <v>0.17319999999999999</v>
          </cell>
          <cell r="F409">
            <v>2.8799999999999999E-2</v>
          </cell>
          <cell r="G409">
            <v>17.6650672863247</v>
          </cell>
          <cell r="H409">
            <v>14.4783120811471</v>
          </cell>
          <cell r="I409">
            <v>8.7997463130930598</v>
          </cell>
          <cell r="J409">
            <v>171114.412792736</v>
          </cell>
          <cell r="K409">
            <v>104440.820323893</v>
          </cell>
          <cell r="L409">
            <v>1</v>
          </cell>
          <cell r="M409">
            <v>0</v>
          </cell>
        </row>
        <row r="410">
          <cell r="B410">
            <v>0</v>
          </cell>
          <cell r="C410" t="str">
            <v>NA</v>
          </cell>
          <cell r="D410">
            <v>0</v>
          </cell>
          <cell r="E410">
            <v>0.1852</v>
          </cell>
          <cell r="F410">
            <v>6.5299999999999997E-2</v>
          </cell>
          <cell r="G410">
            <v>16.790186385985699</v>
          </cell>
          <cell r="H410">
            <v>12.0669903948209</v>
          </cell>
          <cell r="I410">
            <v>7.3322664222050404</v>
          </cell>
          <cell r="J410">
            <v>157579.192916384</v>
          </cell>
          <cell r="K410">
            <v>96519.332833548906</v>
          </cell>
          <cell r="L410">
            <v>1</v>
          </cell>
          <cell r="M410">
            <v>0</v>
          </cell>
        </row>
        <row r="411">
          <cell r="B411">
            <v>0</v>
          </cell>
          <cell r="C411" t="str">
            <v>NA</v>
          </cell>
          <cell r="D411">
            <v>0</v>
          </cell>
          <cell r="E411">
            <v>0.1406</v>
          </cell>
          <cell r="F411">
            <v>3.8899999999999997E-2</v>
          </cell>
          <cell r="G411">
            <v>18.275891548222798</v>
          </cell>
          <cell r="H411">
            <v>12.095585988382201</v>
          </cell>
          <cell r="I411">
            <v>7.31742849298828</v>
          </cell>
          <cell r="J411">
            <v>185044.29421836999</v>
          </cell>
          <cell r="K411">
            <v>111980.24533501299</v>
          </cell>
          <cell r="L411">
            <v>1</v>
          </cell>
          <cell r="M411">
            <v>0</v>
          </cell>
        </row>
        <row r="412">
          <cell r="B412">
            <v>0</v>
          </cell>
          <cell r="C412" t="str">
            <v>NA</v>
          </cell>
          <cell r="D412">
            <v>0</v>
          </cell>
          <cell r="E412">
            <v>0.15540000000000001</v>
          </cell>
          <cell r="F412">
            <v>4.4200000000000003E-2</v>
          </cell>
          <cell r="G412">
            <v>18.1182208360541</v>
          </cell>
          <cell r="H412">
            <v>12.5527327538171</v>
          </cell>
          <cell r="I412">
            <v>7.5883683777458399</v>
          </cell>
          <cell r="J412">
            <v>233014.59454605801</v>
          </cell>
          <cell r="K412">
            <v>138738.15727560499</v>
          </cell>
          <cell r="L412">
            <v>1</v>
          </cell>
          <cell r="M412">
            <v>0</v>
          </cell>
        </row>
        <row r="413">
          <cell r="B413">
            <v>0</v>
          </cell>
          <cell r="C413" t="str">
            <v>NA</v>
          </cell>
          <cell r="D413">
            <v>0</v>
          </cell>
          <cell r="E413">
            <v>0.28270000000000001</v>
          </cell>
          <cell r="F413">
            <v>2.6700000000000002E-2</v>
          </cell>
          <cell r="G413">
            <v>15.216216760217501</v>
          </cell>
          <cell r="H413">
            <v>11.164988849591399</v>
          </cell>
          <cell r="I413">
            <v>6.8526671821688598</v>
          </cell>
          <cell r="J413">
            <v>163816.23988077699</v>
          </cell>
          <cell r="K413">
            <v>100964.61136762099</v>
          </cell>
          <cell r="L413">
            <v>1</v>
          </cell>
          <cell r="M413">
            <v>0</v>
          </cell>
        </row>
        <row r="414">
          <cell r="B414">
            <v>0</v>
          </cell>
          <cell r="C414" t="str">
            <v>NA</v>
          </cell>
          <cell r="D414">
            <v>0</v>
          </cell>
          <cell r="E414">
            <v>0.16020000000000001</v>
          </cell>
          <cell r="F414">
            <v>2.9899999999999999E-2</v>
          </cell>
          <cell r="G414">
            <v>18.884273031958699</v>
          </cell>
          <cell r="H414">
            <v>12.5838623566652</v>
          </cell>
          <cell r="I414">
            <v>7.5424235148064902</v>
          </cell>
          <cell r="J414">
            <v>198855.23708333101</v>
          </cell>
          <cell r="K414">
            <v>118020.834146776</v>
          </cell>
          <cell r="L414">
            <v>1</v>
          </cell>
          <cell r="M414">
            <v>0</v>
          </cell>
        </row>
        <row r="415">
          <cell r="B415">
            <v>0</v>
          </cell>
          <cell r="C415" t="str">
            <v>NA</v>
          </cell>
          <cell r="D415">
            <v>0</v>
          </cell>
          <cell r="E415">
            <v>0.1396</v>
          </cell>
          <cell r="F415">
            <v>3.9100000000000003E-2</v>
          </cell>
          <cell r="G415">
            <v>18.139317020267502</v>
          </cell>
          <cell r="H415">
            <v>13.6445480092047</v>
          </cell>
          <cell r="I415">
            <v>8.3006112027634202</v>
          </cell>
          <cell r="J415">
            <v>133922.90937097699</v>
          </cell>
          <cell r="K415">
            <v>83382.928520421498</v>
          </cell>
          <cell r="L415">
            <v>1</v>
          </cell>
          <cell r="M415">
            <v>0</v>
          </cell>
        </row>
        <row r="416">
          <cell r="B416">
            <v>0</v>
          </cell>
          <cell r="C416" t="str">
            <v>NA</v>
          </cell>
          <cell r="D416">
            <v>0</v>
          </cell>
          <cell r="E416">
            <v>0.2082</v>
          </cell>
          <cell r="F416">
            <v>6.0499999999999998E-2</v>
          </cell>
          <cell r="G416">
            <v>15.685531993319101</v>
          </cell>
          <cell r="H416">
            <v>11.1350581665679</v>
          </cell>
          <cell r="I416">
            <v>6.8615662783635596</v>
          </cell>
          <cell r="J416">
            <v>155236.505787834</v>
          </cell>
          <cell r="K416">
            <v>96430.951820335104</v>
          </cell>
          <cell r="L416">
            <v>1</v>
          </cell>
          <cell r="M416">
            <v>0</v>
          </cell>
        </row>
        <row r="417">
          <cell r="B417">
            <v>0</v>
          </cell>
          <cell r="C417" t="str">
            <v>NA</v>
          </cell>
          <cell r="D417">
            <v>0</v>
          </cell>
          <cell r="E417">
            <v>0.1512</v>
          </cell>
          <cell r="F417">
            <v>3.61E-2</v>
          </cell>
          <cell r="G417">
            <v>19.0668094790345</v>
          </cell>
          <cell r="H417">
            <v>13.5199235403405</v>
          </cell>
          <cell r="I417">
            <v>8.0768549530972091</v>
          </cell>
          <cell r="J417">
            <v>200986.44810912799</v>
          </cell>
          <cell r="K417">
            <v>119100.101208491</v>
          </cell>
          <cell r="L417">
            <v>1</v>
          </cell>
          <cell r="M417">
            <v>0</v>
          </cell>
        </row>
        <row r="418">
          <cell r="B418">
            <v>0</v>
          </cell>
          <cell r="C418" t="str">
            <v>NA</v>
          </cell>
          <cell r="D418">
            <v>0</v>
          </cell>
          <cell r="E418">
            <v>0.1731</v>
          </cell>
          <cell r="F418">
            <v>3.8300000000000001E-2</v>
          </cell>
          <cell r="G418">
            <v>18.6603606814848</v>
          </cell>
          <cell r="H418">
            <v>13.3959278700043</v>
          </cell>
          <cell r="I418">
            <v>7.99647665639446</v>
          </cell>
          <cell r="J418">
            <v>221294.721772102</v>
          </cell>
          <cell r="K418">
            <v>130010.879389034</v>
          </cell>
          <cell r="L418">
            <v>1</v>
          </cell>
          <cell r="M418">
            <v>0</v>
          </cell>
        </row>
        <row r="419">
          <cell r="B419">
            <v>0</v>
          </cell>
          <cell r="C419" t="str">
            <v>NA</v>
          </cell>
          <cell r="D419">
            <v>0</v>
          </cell>
          <cell r="E419">
            <v>0.182</v>
          </cell>
          <cell r="F419">
            <v>4.3400000000000001E-2</v>
          </cell>
          <cell r="G419">
            <v>19.1824858503401</v>
          </cell>
          <cell r="H419">
            <v>14.072492404868401</v>
          </cell>
          <cell r="I419">
            <v>8.3119987667081503</v>
          </cell>
          <cell r="J419">
            <v>157850.43673766701</v>
          </cell>
          <cell r="K419">
            <v>93786.864391110896</v>
          </cell>
          <cell r="L419">
            <v>1</v>
          </cell>
          <cell r="M419">
            <v>0</v>
          </cell>
        </row>
        <row r="420">
          <cell r="B420">
            <v>0</v>
          </cell>
          <cell r="C420" t="str">
            <v>NA</v>
          </cell>
          <cell r="D420">
            <v>0</v>
          </cell>
          <cell r="E420">
            <v>0.1973</v>
          </cell>
          <cell r="F420">
            <v>5.4699999999999999E-2</v>
          </cell>
          <cell r="G420">
            <v>17.775390068872198</v>
          </cell>
          <cell r="H420">
            <v>13.9815934735452</v>
          </cell>
          <cell r="I420">
            <v>8.3228927074332102</v>
          </cell>
          <cell r="J420">
            <v>243863.02618159101</v>
          </cell>
          <cell r="K420">
            <v>142115.67354096301</v>
          </cell>
          <cell r="L420">
            <v>1</v>
          </cell>
          <cell r="M420">
            <v>0</v>
          </cell>
        </row>
        <row r="421">
          <cell r="B421">
            <v>0</v>
          </cell>
          <cell r="C421" t="str">
            <v>NA</v>
          </cell>
          <cell r="D421">
            <v>0</v>
          </cell>
          <cell r="E421">
            <v>0.17599999999999999</v>
          </cell>
          <cell r="F421">
            <v>4.2999999999999997E-2</v>
          </cell>
          <cell r="G421">
            <v>18.971083207534299</v>
          </cell>
          <cell r="H421">
            <v>13.2233019662925</v>
          </cell>
          <cell r="I421">
            <v>7.8168582993802298</v>
          </cell>
          <cell r="J421">
            <v>154295.782467843</v>
          </cell>
          <cell r="K421">
            <v>91703.813567475503</v>
          </cell>
          <cell r="L421">
            <v>1</v>
          </cell>
          <cell r="M421">
            <v>0</v>
          </cell>
        </row>
        <row r="422">
          <cell r="B422">
            <v>0</v>
          </cell>
          <cell r="C422" t="str">
            <v>NA</v>
          </cell>
          <cell r="D422">
            <v>0</v>
          </cell>
          <cell r="E422">
            <v>0.23380000000000001</v>
          </cell>
          <cell r="F422">
            <v>4.4900000000000002E-2</v>
          </cell>
          <cell r="G422">
            <v>17.9734773877436</v>
          </cell>
          <cell r="H422">
            <v>12.463282730405499</v>
          </cell>
          <cell r="I422">
            <v>7.3536208559020402</v>
          </cell>
          <cell r="J422">
            <v>176179.47549015601</v>
          </cell>
          <cell r="K422">
            <v>103451.04304985001</v>
          </cell>
          <cell r="L422">
            <v>1</v>
          </cell>
          <cell r="M422">
            <v>0</v>
          </cell>
        </row>
        <row r="423">
          <cell r="B423">
            <v>0</v>
          </cell>
          <cell r="C423" t="str">
            <v>NA</v>
          </cell>
          <cell r="D423">
            <v>0</v>
          </cell>
          <cell r="E423">
            <v>0.1323</v>
          </cell>
          <cell r="F423">
            <v>4.6399999999999997E-2</v>
          </cell>
          <cell r="G423">
            <v>19.719800364982301</v>
          </cell>
          <cell r="H423">
            <v>15.0888936094212</v>
          </cell>
          <cell r="I423">
            <v>8.9446557996895599</v>
          </cell>
          <cell r="J423">
            <v>245189.86559345099</v>
          </cell>
          <cell r="K423">
            <v>142150.46984190599</v>
          </cell>
          <cell r="L423">
            <v>1</v>
          </cell>
          <cell r="M423">
            <v>0</v>
          </cell>
        </row>
        <row r="424">
          <cell r="B424">
            <v>0</v>
          </cell>
          <cell r="C424" t="str">
            <v>NA</v>
          </cell>
          <cell r="D424">
            <v>0</v>
          </cell>
          <cell r="E424">
            <v>0.1618</v>
          </cell>
          <cell r="F424">
            <v>2.8400000000000002E-2</v>
          </cell>
          <cell r="G424">
            <v>18.075759788355601</v>
          </cell>
          <cell r="H424">
            <v>13.856156299035799</v>
          </cell>
          <cell r="I424">
            <v>8.4109652100562293</v>
          </cell>
          <cell r="J424">
            <v>268466.91975963901</v>
          </cell>
          <cell r="K424">
            <v>159439.96607509701</v>
          </cell>
          <cell r="L424">
            <v>1</v>
          </cell>
          <cell r="M424">
            <v>0</v>
          </cell>
        </row>
        <row r="425">
          <cell r="B425">
            <v>0</v>
          </cell>
          <cell r="C425" t="str">
            <v>NA</v>
          </cell>
          <cell r="D425">
            <v>0</v>
          </cell>
          <cell r="E425">
            <v>0.16830000000000001</v>
          </cell>
          <cell r="F425">
            <v>4.1000000000000002E-2</v>
          </cell>
          <cell r="G425">
            <v>17.4295512677493</v>
          </cell>
          <cell r="H425">
            <v>11.8732733366173</v>
          </cell>
          <cell r="I425">
            <v>7.2377928012832804</v>
          </cell>
          <cell r="J425">
            <v>181144.329437329</v>
          </cell>
          <cell r="K425">
            <v>110318.60740079801</v>
          </cell>
          <cell r="L425">
            <v>1</v>
          </cell>
          <cell r="M425">
            <v>0</v>
          </cell>
        </row>
        <row r="426">
          <cell r="B426">
            <v>0</v>
          </cell>
          <cell r="C426" t="str">
            <v>NA</v>
          </cell>
          <cell r="D426">
            <v>0</v>
          </cell>
          <cell r="E426">
            <v>0.16059999999999999</v>
          </cell>
          <cell r="F426">
            <v>6.4799999999999996E-2</v>
          </cell>
          <cell r="G426">
            <v>18.532341691674201</v>
          </cell>
          <cell r="H426">
            <v>12.4862583398015</v>
          </cell>
          <cell r="I426">
            <v>7.4608480840193803</v>
          </cell>
          <cell r="J426">
            <v>252408.74683248901</v>
          </cell>
          <cell r="K426">
            <v>147400.12542047401</v>
          </cell>
          <cell r="L426">
            <v>1</v>
          </cell>
          <cell r="M426">
            <v>0</v>
          </cell>
        </row>
        <row r="427">
          <cell r="B427">
            <v>0</v>
          </cell>
          <cell r="C427" t="str">
            <v>NA</v>
          </cell>
          <cell r="D427">
            <v>0</v>
          </cell>
          <cell r="E427">
            <v>0.26740000000000003</v>
          </cell>
          <cell r="F427">
            <v>3.7100000000000001E-2</v>
          </cell>
          <cell r="G427">
            <v>16.213645900271999</v>
          </cell>
          <cell r="H427">
            <v>12.185100106853501</v>
          </cell>
          <cell r="I427">
            <v>7.3479591214046698</v>
          </cell>
          <cell r="J427">
            <v>164747.34506308101</v>
          </cell>
          <cell r="K427">
            <v>99476.713062757903</v>
          </cell>
          <cell r="L427">
            <v>1</v>
          </cell>
          <cell r="M427">
            <v>0</v>
          </cell>
        </row>
        <row r="428">
          <cell r="B428">
            <v>0</v>
          </cell>
          <cell r="C428" t="str">
            <v>NA</v>
          </cell>
          <cell r="D428">
            <v>0</v>
          </cell>
          <cell r="E428">
            <v>0.1363</v>
          </cell>
          <cell r="F428">
            <v>5.4199999999999998E-2</v>
          </cell>
          <cell r="G428">
            <v>19.287906002828102</v>
          </cell>
          <cell r="H428">
            <v>12.983340299366301</v>
          </cell>
          <cell r="I428">
            <v>7.7365856510466999</v>
          </cell>
          <cell r="J428">
            <v>277438.51038405602</v>
          </cell>
          <cell r="K428">
            <v>160886.653966176</v>
          </cell>
          <cell r="L428">
            <v>1</v>
          </cell>
          <cell r="M428">
            <v>0</v>
          </cell>
        </row>
        <row r="429">
          <cell r="B429">
            <v>0</v>
          </cell>
          <cell r="C429" t="str">
            <v>NA</v>
          </cell>
          <cell r="D429">
            <v>0</v>
          </cell>
          <cell r="E429">
            <v>0.25929999999999997</v>
          </cell>
          <cell r="F429">
            <v>3.2399999999999998E-2</v>
          </cell>
          <cell r="G429">
            <v>16.560647536820898</v>
          </cell>
          <cell r="H429">
            <v>13.306084023286999</v>
          </cell>
          <cell r="I429">
            <v>8.0189275713593808</v>
          </cell>
          <cell r="J429">
            <v>195953.99827640399</v>
          </cell>
          <cell r="K429">
            <v>117122.53457805001</v>
          </cell>
          <cell r="L429">
            <v>1</v>
          </cell>
          <cell r="M429">
            <v>0</v>
          </cell>
        </row>
        <row r="430">
          <cell r="B430">
            <v>0</v>
          </cell>
          <cell r="C430" t="str">
            <v>NA</v>
          </cell>
          <cell r="D430">
            <v>0</v>
          </cell>
          <cell r="E430">
            <v>0.1462</v>
          </cell>
          <cell r="F430">
            <v>4.0599999999999997E-2</v>
          </cell>
          <cell r="G430">
            <v>17.004298177138001</v>
          </cell>
          <cell r="H430">
            <v>12.0222942275362</v>
          </cell>
          <cell r="I430">
            <v>7.4010633373109904</v>
          </cell>
          <cell r="J430">
            <v>239547.38215187201</v>
          </cell>
          <cell r="K430">
            <v>145365.662438056</v>
          </cell>
          <cell r="L430">
            <v>1</v>
          </cell>
          <cell r="M430">
            <v>0</v>
          </cell>
        </row>
        <row r="431">
          <cell r="B431">
            <v>0</v>
          </cell>
          <cell r="C431" t="str">
            <v>NA</v>
          </cell>
          <cell r="D431">
            <v>0</v>
          </cell>
          <cell r="E431">
            <v>0.13370000000000001</v>
          </cell>
          <cell r="F431">
            <v>2.7099999999999999E-2</v>
          </cell>
          <cell r="G431">
            <v>19.665696191921</v>
          </cell>
          <cell r="H431">
            <v>13.425867983404199</v>
          </cell>
          <cell r="I431">
            <v>8.0114953390456396</v>
          </cell>
          <cell r="J431">
            <v>175771.39118302701</v>
          </cell>
          <cell r="K431">
            <v>104957.67454182</v>
          </cell>
          <cell r="L431">
            <v>1</v>
          </cell>
          <cell r="M431">
            <v>0</v>
          </cell>
        </row>
        <row r="432">
          <cell r="B432">
            <v>0</v>
          </cell>
          <cell r="C432" t="str">
            <v>NA</v>
          </cell>
          <cell r="D432">
            <v>0</v>
          </cell>
          <cell r="E432">
            <v>0.1666</v>
          </cell>
          <cell r="F432">
            <v>5.5599999999999997E-2</v>
          </cell>
          <cell r="G432">
            <v>19.1029839271961</v>
          </cell>
          <cell r="H432">
            <v>14.189102547924</v>
          </cell>
          <cell r="I432">
            <v>8.3852548171624193</v>
          </cell>
          <cell r="J432">
            <v>255990.51289945599</v>
          </cell>
          <cell r="K432">
            <v>147307.84932470301</v>
          </cell>
          <cell r="L432">
            <v>1</v>
          </cell>
          <cell r="M432">
            <v>0</v>
          </cell>
        </row>
        <row r="433">
          <cell r="B433">
            <v>0</v>
          </cell>
          <cell r="C433" t="str">
            <v>NA</v>
          </cell>
          <cell r="D433">
            <v>0</v>
          </cell>
          <cell r="E433">
            <v>0.1648</v>
          </cell>
          <cell r="F433">
            <v>2.87E-2</v>
          </cell>
          <cell r="G433">
            <v>18.670951705133401</v>
          </cell>
          <cell r="H433">
            <v>12.6608134451754</v>
          </cell>
          <cell r="I433">
            <v>7.5864592524194503</v>
          </cell>
          <cell r="J433">
            <v>171690.40791965</v>
          </cell>
          <cell r="K433">
            <v>103064.788879696</v>
          </cell>
          <cell r="L433">
            <v>1</v>
          </cell>
          <cell r="M433">
            <v>0</v>
          </cell>
        </row>
        <row r="434">
          <cell r="B434">
            <v>0</v>
          </cell>
          <cell r="C434" t="str">
            <v>NA</v>
          </cell>
          <cell r="D434">
            <v>0</v>
          </cell>
          <cell r="E434">
            <v>0.1643</v>
          </cell>
          <cell r="F434">
            <v>5.5E-2</v>
          </cell>
          <cell r="G434">
            <v>17.212891239503499</v>
          </cell>
          <cell r="H434">
            <v>13.505688874631501</v>
          </cell>
          <cell r="I434">
            <v>8.2484118732530192</v>
          </cell>
          <cell r="J434">
            <v>164975.63858704999</v>
          </cell>
          <cell r="K434">
            <v>101477.97976827501</v>
          </cell>
          <cell r="L434">
            <v>1</v>
          </cell>
          <cell r="M434">
            <v>0</v>
          </cell>
        </row>
        <row r="435">
          <cell r="B435">
            <v>0</v>
          </cell>
          <cell r="C435" t="str">
            <v>NA</v>
          </cell>
          <cell r="D435">
            <v>0</v>
          </cell>
          <cell r="E435">
            <v>0.2268</v>
          </cell>
          <cell r="F435">
            <v>5.0799999999999998E-2</v>
          </cell>
          <cell r="G435">
            <v>16.506129142017599</v>
          </cell>
          <cell r="H435">
            <v>10.824752116404801</v>
          </cell>
          <cell r="I435">
            <v>6.5492659620254496</v>
          </cell>
          <cell r="J435">
            <v>163163.20917340799</v>
          </cell>
          <cell r="K435">
            <v>98913.836240461693</v>
          </cell>
          <cell r="L435">
            <v>1</v>
          </cell>
          <cell r="M435">
            <v>0</v>
          </cell>
        </row>
        <row r="436">
          <cell r="B436">
            <v>0</v>
          </cell>
          <cell r="C436" t="str">
            <v>NA</v>
          </cell>
          <cell r="D436">
            <v>0</v>
          </cell>
          <cell r="E436">
            <v>0.18290000000000001</v>
          </cell>
          <cell r="F436">
            <v>9.69E-2</v>
          </cell>
          <cell r="G436">
            <v>18.290967972274601</v>
          </cell>
          <cell r="H436">
            <v>12.7629560198622</v>
          </cell>
          <cell r="I436">
            <v>7.5097744691352304</v>
          </cell>
          <cell r="J436">
            <v>170657.59407380599</v>
          </cell>
          <cell r="K436">
            <v>99811.063857124696</v>
          </cell>
          <cell r="L436">
            <v>1</v>
          </cell>
          <cell r="M436">
            <v>0</v>
          </cell>
        </row>
        <row r="437">
          <cell r="B437">
            <v>0</v>
          </cell>
          <cell r="C437" t="str">
            <v>NA</v>
          </cell>
          <cell r="D437">
            <v>0</v>
          </cell>
          <cell r="E437">
            <v>0.1452</v>
          </cell>
          <cell r="F437">
            <v>5.3999999999999999E-2</v>
          </cell>
          <cell r="G437">
            <v>18.605211736081301</v>
          </cell>
          <cell r="H437">
            <v>14.094603513615301</v>
          </cell>
          <cell r="I437">
            <v>8.4651022037698294</v>
          </cell>
          <cell r="J437">
            <v>183059.351077128</v>
          </cell>
          <cell r="K437">
            <v>109802.469944645</v>
          </cell>
          <cell r="L437">
            <v>1</v>
          </cell>
          <cell r="M437">
            <v>0</v>
          </cell>
        </row>
        <row r="438">
          <cell r="B438">
            <v>0</v>
          </cell>
          <cell r="C438" t="str">
            <v>NA</v>
          </cell>
          <cell r="D438">
            <v>0</v>
          </cell>
          <cell r="E438">
            <v>0.1976</v>
          </cell>
          <cell r="F438">
            <v>4.4600000000000001E-2</v>
          </cell>
          <cell r="G438">
            <v>17.028649072671399</v>
          </cell>
          <cell r="H438">
            <v>11.234551846860199</v>
          </cell>
          <cell r="I438">
            <v>6.8112615242242098</v>
          </cell>
          <cell r="J438">
            <v>221542.310467156</v>
          </cell>
          <cell r="K438">
            <v>132650.68911317701</v>
          </cell>
          <cell r="L438">
            <v>1</v>
          </cell>
          <cell r="M438">
            <v>0</v>
          </cell>
        </row>
        <row r="439">
          <cell r="B439">
            <v>0</v>
          </cell>
          <cell r="C439" t="str">
            <v>NA</v>
          </cell>
          <cell r="D439">
            <v>0</v>
          </cell>
          <cell r="E439">
            <v>0.13750000000000001</v>
          </cell>
          <cell r="F439">
            <v>2.53E-2</v>
          </cell>
          <cell r="G439">
            <v>19.062806688440599</v>
          </cell>
          <cell r="H439">
            <v>13.1791538380538</v>
          </cell>
          <cell r="I439">
            <v>7.9379218269416301</v>
          </cell>
          <cell r="J439">
            <v>212316.684475021</v>
          </cell>
          <cell r="K439">
            <v>126676.792775472</v>
          </cell>
          <cell r="L439">
            <v>1</v>
          </cell>
          <cell r="M439">
            <v>0</v>
          </cell>
        </row>
        <row r="440">
          <cell r="B440">
            <v>0</v>
          </cell>
          <cell r="C440" t="str">
            <v>NA</v>
          </cell>
          <cell r="D440">
            <v>0</v>
          </cell>
          <cell r="E440">
            <v>0.16139999999999999</v>
          </cell>
          <cell r="F440">
            <v>3.8699999999999998E-2</v>
          </cell>
          <cell r="G440">
            <v>17.2967777869648</v>
          </cell>
          <cell r="H440">
            <v>13.555064653098899</v>
          </cell>
          <cell r="I440">
            <v>8.3093763857290206</v>
          </cell>
          <cell r="J440">
            <v>207227.681495072</v>
          </cell>
          <cell r="K440">
            <v>125978.083087204</v>
          </cell>
          <cell r="L440">
            <v>1</v>
          </cell>
          <cell r="M440">
            <v>0</v>
          </cell>
        </row>
        <row r="441">
          <cell r="B441">
            <v>0</v>
          </cell>
          <cell r="C441" t="str">
            <v>NA</v>
          </cell>
          <cell r="D441">
            <v>0</v>
          </cell>
          <cell r="E441">
            <v>0.16980000000000001</v>
          </cell>
          <cell r="F441">
            <v>3.5799999999999998E-2</v>
          </cell>
          <cell r="G441">
            <v>19.431172418463898</v>
          </cell>
          <cell r="H441">
            <v>12.769518933020599</v>
          </cell>
          <cell r="I441">
            <v>7.5468161837265004</v>
          </cell>
          <cell r="J441">
            <v>233097.60437131699</v>
          </cell>
          <cell r="K441">
            <v>135141.26873935701</v>
          </cell>
          <cell r="L441">
            <v>1</v>
          </cell>
          <cell r="M441">
            <v>0</v>
          </cell>
        </row>
        <row r="442">
          <cell r="B442">
            <v>0</v>
          </cell>
          <cell r="C442" t="str">
            <v>NA</v>
          </cell>
          <cell r="D442">
            <v>0</v>
          </cell>
          <cell r="E442">
            <v>0.20730000000000001</v>
          </cell>
          <cell r="F442">
            <v>5.9299999999999999E-2</v>
          </cell>
          <cell r="G442">
            <v>16.792101299650401</v>
          </cell>
          <cell r="H442">
            <v>11.6215177717709</v>
          </cell>
          <cell r="I442">
            <v>7.0066629518912302</v>
          </cell>
          <cell r="J442">
            <v>210801.815289605</v>
          </cell>
          <cell r="K442">
            <v>125555.033192908</v>
          </cell>
          <cell r="L442">
            <v>1</v>
          </cell>
          <cell r="M442">
            <v>0</v>
          </cell>
        </row>
        <row r="443">
          <cell r="B443">
            <v>0</v>
          </cell>
          <cell r="C443" t="str">
            <v>NA</v>
          </cell>
          <cell r="D443">
            <v>0</v>
          </cell>
          <cell r="E443">
            <v>0.17749999999999999</v>
          </cell>
          <cell r="F443">
            <v>3.2800000000000003E-2</v>
          </cell>
          <cell r="G443">
            <v>18.461816546364599</v>
          </cell>
          <cell r="H443">
            <v>13.329861563928899</v>
          </cell>
          <cell r="I443">
            <v>7.9757670696416003</v>
          </cell>
          <cell r="J443">
            <v>237492.18535915099</v>
          </cell>
          <cell r="K443">
            <v>139694.35957216501</v>
          </cell>
          <cell r="L443">
            <v>1</v>
          </cell>
          <cell r="M443">
            <v>0</v>
          </cell>
        </row>
        <row r="444">
          <cell r="B444">
            <v>0</v>
          </cell>
          <cell r="C444" t="str">
            <v>NA</v>
          </cell>
          <cell r="D444">
            <v>0</v>
          </cell>
          <cell r="E444">
            <v>0.19009999999999999</v>
          </cell>
          <cell r="F444">
            <v>2.8899999999999999E-2</v>
          </cell>
          <cell r="G444">
            <v>16.956623208857</v>
          </cell>
          <cell r="H444">
            <v>12.5897385847605</v>
          </cell>
          <cell r="I444">
            <v>7.7139706478118999</v>
          </cell>
          <cell r="J444">
            <v>203234.90553890099</v>
          </cell>
          <cell r="K444">
            <v>123933.45971931799</v>
          </cell>
          <cell r="L444">
            <v>1</v>
          </cell>
          <cell r="M444">
            <v>0</v>
          </cell>
        </row>
        <row r="445">
          <cell r="B445">
            <v>0</v>
          </cell>
          <cell r="C445" t="str">
            <v>NA</v>
          </cell>
          <cell r="D445">
            <v>0</v>
          </cell>
          <cell r="E445">
            <v>0.1464</v>
          </cell>
          <cell r="F445">
            <v>4.6199999999999998E-2</v>
          </cell>
          <cell r="G445">
            <v>17.948018119480501</v>
          </cell>
          <cell r="H445">
            <v>14.826954889155299</v>
          </cell>
          <cell r="I445">
            <v>8.98051010258777</v>
          </cell>
          <cell r="J445">
            <v>205767.66114215</v>
          </cell>
          <cell r="K445">
            <v>123526.669875194</v>
          </cell>
          <cell r="L445">
            <v>1</v>
          </cell>
          <cell r="M445">
            <v>0</v>
          </cell>
        </row>
        <row r="446">
          <cell r="B446">
            <v>0</v>
          </cell>
          <cell r="C446" t="str">
            <v>NA</v>
          </cell>
          <cell r="D446">
            <v>0</v>
          </cell>
          <cell r="E446">
            <v>0.1235</v>
          </cell>
          <cell r="F446">
            <v>6.0199999999999997E-2</v>
          </cell>
          <cell r="G446">
            <v>17.973217494562501</v>
          </cell>
          <cell r="H446">
            <v>11.387238149524199</v>
          </cell>
          <cell r="I446">
            <v>6.9250315512634497</v>
          </cell>
          <cell r="J446">
            <v>182115.250802508</v>
          </cell>
          <cell r="K446">
            <v>110469.45287404901</v>
          </cell>
          <cell r="L446">
            <v>1</v>
          </cell>
          <cell r="M446">
            <v>0</v>
          </cell>
        </row>
        <row r="447">
          <cell r="B447">
            <v>0</v>
          </cell>
          <cell r="C447" t="str">
            <v>NA</v>
          </cell>
          <cell r="D447">
            <v>0</v>
          </cell>
          <cell r="E447">
            <v>0.27210000000000001</v>
          </cell>
          <cell r="F447">
            <v>3.2099999999999997E-2</v>
          </cell>
          <cell r="G447">
            <v>17.164611690930499</v>
          </cell>
          <cell r="H447">
            <v>11.9218035333041</v>
          </cell>
          <cell r="I447">
            <v>7.0656845454661301</v>
          </cell>
          <cell r="J447">
            <v>197701.06962019601</v>
          </cell>
          <cell r="K447">
            <v>115693.192184493</v>
          </cell>
          <cell r="L447">
            <v>1</v>
          </cell>
          <cell r="M447">
            <v>0</v>
          </cell>
        </row>
        <row r="448">
          <cell r="B448">
            <v>0</v>
          </cell>
          <cell r="C448" t="str">
            <v>NA</v>
          </cell>
          <cell r="D448">
            <v>0</v>
          </cell>
          <cell r="E448">
            <v>0.16889999999999999</v>
          </cell>
          <cell r="F448">
            <v>3.95E-2</v>
          </cell>
          <cell r="G448">
            <v>18.430951841525999</v>
          </cell>
          <cell r="H448">
            <v>13.0938874330001</v>
          </cell>
          <cell r="I448">
            <v>7.8513751937962004</v>
          </cell>
          <cell r="J448">
            <v>152443.94757500399</v>
          </cell>
          <cell r="K448">
            <v>92449.4777676542</v>
          </cell>
          <cell r="L448">
            <v>1</v>
          </cell>
          <cell r="M448">
            <v>0</v>
          </cell>
        </row>
        <row r="449">
          <cell r="B449">
            <v>0</v>
          </cell>
          <cell r="C449" t="str">
            <v>NA</v>
          </cell>
          <cell r="D449">
            <v>0</v>
          </cell>
          <cell r="E449">
            <v>0.24410000000000001</v>
          </cell>
          <cell r="F449">
            <v>4.5400000000000003E-2</v>
          </cell>
          <cell r="G449">
            <v>17.020039106612</v>
          </cell>
          <cell r="H449">
            <v>12.7332044790385</v>
          </cell>
          <cell r="I449">
            <v>7.60181851366307</v>
          </cell>
          <cell r="J449">
            <v>145373.782241687</v>
          </cell>
          <cell r="K449">
            <v>87520.064315525102</v>
          </cell>
          <cell r="L449">
            <v>1</v>
          </cell>
          <cell r="M449">
            <v>0</v>
          </cell>
        </row>
        <row r="450">
          <cell r="B450">
            <v>0</v>
          </cell>
          <cell r="C450" t="str">
            <v>NA</v>
          </cell>
          <cell r="D450">
            <v>0</v>
          </cell>
          <cell r="E450">
            <v>0.1636</v>
          </cell>
          <cell r="F450">
            <v>3.5000000000000003E-2</v>
          </cell>
          <cell r="G450">
            <v>19.816469745975098</v>
          </cell>
          <cell r="H450">
            <v>14.4840523918414</v>
          </cell>
          <cell r="I450">
            <v>8.5301928331267796</v>
          </cell>
          <cell r="J450">
            <v>251419.28019731899</v>
          </cell>
          <cell r="K450">
            <v>144084.77589804301</v>
          </cell>
          <cell r="L450">
            <v>1</v>
          </cell>
          <cell r="M450">
            <v>0</v>
          </cell>
        </row>
        <row r="451">
          <cell r="B451">
            <v>0</v>
          </cell>
          <cell r="C451" t="str">
            <v>NA</v>
          </cell>
          <cell r="D451">
            <v>0</v>
          </cell>
          <cell r="E451">
            <v>0.23980000000000001</v>
          </cell>
          <cell r="F451">
            <v>5.2999999999999999E-2</v>
          </cell>
          <cell r="G451">
            <v>17.0393397022507</v>
          </cell>
          <cell r="H451">
            <v>13.5749382052035</v>
          </cell>
          <cell r="I451">
            <v>8.09302949705482</v>
          </cell>
          <cell r="J451">
            <v>228412.308954187</v>
          </cell>
          <cell r="K451">
            <v>133441.93352543999</v>
          </cell>
          <cell r="L451">
            <v>1</v>
          </cell>
          <cell r="M451">
            <v>0</v>
          </cell>
        </row>
        <row r="452">
          <cell r="B452">
            <v>0</v>
          </cell>
          <cell r="C452" t="str">
            <v>NA</v>
          </cell>
          <cell r="D452">
            <v>0</v>
          </cell>
          <cell r="E452">
            <v>0.15939999999999999</v>
          </cell>
          <cell r="F452">
            <v>3.6200000000000003E-2</v>
          </cell>
          <cell r="G452">
            <v>18.2583093343159</v>
          </cell>
          <cell r="H452">
            <v>14.1932004169606</v>
          </cell>
          <cell r="I452">
            <v>8.5530494101920507</v>
          </cell>
          <cell r="J452">
            <v>233010.166442007</v>
          </cell>
          <cell r="K452">
            <v>138059.58455592999</v>
          </cell>
          <cell r="L452">
            <v>1</v>
          </cell>
          <cell r="M452">
            <v>0</v>
          </cell>
        </row>
        <row r="453">
          <cell r="B453">
            <v>0</v>
          </cell>
          <cell r="C453" t="str">
            <v>NA</v>
          </cell>
          <cell r="D453">
            <v>0</v>
          </cell>
          <cell r="E453">
            <v>0.22570000000000001</v>
          </cell>
          <cell r="F453">
            <v>3.6900000000000002E-2</v>
          </cell>
          <cell r="G453">
            <v>19.798299979451699</v>
          </cell>
          <cell r="H453">
            <v>14.322081154579701</v>
          </cell>
          <cell r="I453">
            <v>8.2510493608931998</v>
          </cell>
          <cell r="J453">
            <v>275618.87816885201</v>
          </cell>
          <cell r="K453">
            <v>152749.26896736599</v>
          </cell>
          <cell r="L453">
            <v>1</v>
          </cell>
          <cell r="M453">
            <v>0</v>
          </cell>
        </row>
        <row r="454">
          <cell r="B454">
            <v>0</v>
          </cell>
          <cell r="C454" t="str">
            <v>NA</v>
          </cell>
          <cell r="D454">
            <v>0</v>
          </cell>
          <cell r="E454">
            <v>0.1918</v>
          </cell>
          <cell r="F454">
            <v>5.57E-2</v>
          </cell>
          <cell r="G454">
            <v>16.477979691657499</v>
          </cell>
          <cell r="H454">
            <v>12.3510887954408</v>
          </cell>
          <cell r="I454">
            <v>7.5414161814510896</v>
          </cell>
          <cell r="J454">
            <v>214859.48502242999</v>
          </cell>
          <cell r="K454">
            <v>129829.413556574</v>
          </cell>
          <cell r="L454">
            <v>1</v>
          </cell>
          <cell r="M454">
            <v>0</v>
          </cell>
        </row>
        <row r="455">
          <cell r="B455">
            <v>0</v>
          </cell>
          <cell r="C455" t="str">
            <v>NA</v>
          </cell>
          <cell r="D455">
            <v>0</v>
          </cell>
          <cell r="E455">
            <v>0.2346</v>
          </cell>
          <cell r="F455">
            <v>2.5499999999999998E-2</v>
          </cell>
          <cell r="G455">
            <v>18.129373136505102</v>
          </cell>
          <cell r="H455">
            <v>13.8620214088397</v>
          </cell>
          <cell r="I455">
            <v>8.2353519907413606</v>
          </cell>
          <cell r="J455">
            <v>179182.03658408899</v>
          </cell>
          <cell r="K455">
            <v>106072.607742338</v>
          </cell>
          <cell r="L455">
            <v>1</v>
          </cell>
          <cell r="M455">
            <v>0</v>
          </cell>
        </row>
        <row r="456">
          <cell r="B456">
            <v>0</v>
          </cell>
          <cell r="C456" t="str">
            <v>NA</v>
          </cell>
          <cell r="D456">
            <v>0</v>
          </cell>
          <cell r="E456">
            <v>0.14230000000000001</v>
          </cell>
          <cell r="F456">
            <v>4.6800000000000001E-2</v>
          </cell>
          <cell r="G456">
            <v>19.650303000440399</v>
          </cell>
          <cell r="H456">
            <v>14.636211997844599</v>
          </cell>
          <cell r="I456">
            <v>8.6733096092255497</v>
          </cell>
          <cell r="J456">
            <v>225907.182582751</v>
          </cell>
          <cell r="K456">
            <v>131716.03096965299</v>
          </cell>
          <cell r="L456">
            <v>1</v>
          </cell>
          <cell r="M456">
            <v>0</v>
          </cell>
        </row>
        <row r="457">
          <cell r="B457">
            <v>0</v>
          </cell>
          <cell r="C457" t="str">
            <v>NA</v>
          </cell>
          <cell r="D457">
            <v>0</v>
          </cell>
          <cell r="E457">
            <v>0.22589999999999999</v>
          </cell>
          <cell r="F457">
            <v>5.8500000000000003E-2</v>
          </cell>
          <cell r="G457">
            <v>16.894435939708</v>
          </cell>
          <cell r="H457">
            <v>13.330316337219701</v>
          </cell>
          <cell r="I457">
            <v>7.9768231125713598</v>
          </cell>
          <cell r="J457">
            <v>167513.05341075399</v>
          </cell>
          <cell r="K457">
            <v>100077.776714666</v>
          </cell>
          <cell r="L457">
            <v>1</v>
          </cell>
          <cell r="M457">
            <v>0</v>
          </cell>
        </row>
        <row r="458">
          <cell r="B458">
            <v>0</v>
          </cell>
          <cell r="C458" t="str">
            <v>NA</v>
          </cell>
          <cell r="D458">
            <v>0</v>
          </cell>
          <cell r="E458">
            <v>0.13450000000000001</v>
          </cell>
          <cell r="F458">
            <v>4.5699999999999998E-2</v>
          </cell>
          <cell r="G458">
            <v>19.917250285811701</v>
          </cell>
          <cell r="H458">
            <v>14.632288324334199</v>
          </cell>
          <cell r="I458">
            <v>8.6528570943900807</v>
          </cell>
          <cell r="J458">
            <v>257466.788940895</v>
          </cell>
          <cell r="K458">
            <v>148747.734313191</v>
          </cell>
          <cell r="L458">
            <v>1</v>
          </cell>
          <cell r="M458">
            <v>0</v>
          </cell>
        </row>
        <row r="459">
          <cell r="B459">
            <v>0</v>
          </cell>
          <cell r="C459" t="str">
            <v>NA</v>
          </cell>
          <cell r="D459">
            <v>0</v>
          </cell>
          <cell r="E459">
            <v>0.13469999999999999</v>
          </cell>
          <cell r="F459">
            <v>4.07E-2</v>
          </cell>
          <cell r="G459">
            <v>21.066454483584099</v>
          </cell>
          <cell r="H459">
            <v>13.5025735756383</v>
          </cell>
          <cell r="I459">
            <v>7.8685764080683303</v>
          </cell>
          <cell r="J459">
            <v>258581.43692033799</v>
          </cell>
          <cell r="K459">
            <v>146599.73482260399</v>
          </cell>
          <cell r="L459">
            <v>1</v>
          </cell>
          <cell r="M459">
            <v>0</v>
          </cell>
        </row>
        <row r="460">
          <cell r="B460">
            <v>0</v>
          </cell>
          <cell r="C460" t="str">
            <v>NA</v>
          </cell>
          <cell r="D460">
            <v>0</v>
          </cell>
          <cell r="E460">
            <v>0.13769999999999999</v>
          </cell>
          <cell r="F460">
            <v>2.3E-2</v>
          </cell>
          <cell r="G460">
            <v>19.7143367845065</v>
          </cell>
          <cell r="H460">
            <v>13.996783424612699</v>
          </cell>
          <cell r="I460">
            <v>8.359090709358</v>
          </cell>
          <cell r="J460">
            <v>281863.08314950601</v>
          </cell>
          <cell r="K460">
            <v>163849.55745855</v>
          </cell>
          <cell r="L460">
            <v>1</v>
          </cell>
          <cell r="M460">
            <v>0</v>
          </cell>
        </row>
        <row r="461">
          <cell r="B461">
            <v>0</v>
          </cell>
          <cell r="C461" t="str">
            <v>NA</v>
          </cell>
          <cell r="D461">
            <v>0</v>
          </cell>
          <cell r="E461">
            <v>0.1469</v>
          </cell>
          <cell r="F461">
            <v>5.2600000000000001E-2</v>
          </cell>
          <cell r="G461">
            <v>18.361076467711399</v>
          </cell>
          <cell r="H461">
            <v>13.545567289958299</v>
          </cell>
          <cell r="I461">
            <v>8.1486309991697308</v>
          </cell>
          <cell r="J461">
            <v>182962.96574019099</v>
          </cell>
          <cell r="K461">
            <v>110114.287295573</v>
          </cell>
          <cell r="L461">
            <v>1</v>
          </cell>
          <cell r="M461">
            <v>0</v>
          </cell>
        </row>
        <row r="462">
          <cell r="B462">
            <v>0</v>
          </cell>
          <cell r="C462" t="str">
            <v>NA</v>
          </cell>
          <cell r="D462">
            <v>0</v>
          </cell>
          <cell r="E462">
            <v>0.21210000000000001</v>
          </cell>
          <cell r="F462">
            <v>4.3799999999999999E-2</v>
          </cell>
          <cell r="G462">
            <v>16.189549105520499</v>
          </cell>
          <cell r="H462">
            <v>10.8315542143283</v>
          </cell>
          <cell r="I462">
            <v>6.6266603197630696</v>
          </cell>
          <cell r="J462">
            <v>176949.04198123701</v>
          </cell>
          <cell r="K462">
            <v>108228.971024178</v>
          </cell>
          <cell r="L462">
            <v>1</v>
          </cell>
          <cell r="M462">
            <v>0</v>
          </cell>
        </row>
        <row r="463">
          <cell r="B463">
            <v>0</v>
          </cell>
          <cell r="C463" t="str">
            <v>NA</v>
          </cell>
          <cell r="D463">
            <v>0</v>
          </cell>
          <cell r="E463">
            <v>0.23119999999999999</v>
          </cell>
          <cell r="F463">
            <v>4.5699999999999998E-2</v>
          </cell>
          <cell r="G463">
            <v>17.0125440596447</v>
          </cell>
          <cell r="H463">
            <v>12.5988367869338</v>
          </cell>
          <cell r="I463">
            <v>7.5854271302928904</v>
          </cell>
          <cell r="J463">
            <v>148055.972093255</v>
          </cell>
          <cell r="K463">
            <v>90115.784260385495</v>
          </cell>
          <cell r="L463">
            <v>1</v>
          </cell>
          <cell r="M463">
            <v>0</v>
          </cell>
        </row>
        <row r="464">
          <cell r="B464">
            <v>0</v>
          </cell>
          <cell r="C464" t="str">
            <v>NA</v>
          </cell>
          <cell r="D464">
            <v>0</v>
          </cell>
          <cell r="E464">
            <v>8.5199999999999998E-2</v>
          </cell>
          <cell r="F464">
            <v>3.8300000000000001E-2</v>
          </cell>
          <cell r="G464">
            <v>20.774546733437798</v>
          </cell>
          <cell r="H464">
            <v>16.403113187828701</v>
          </cell>
          <cell r="I464">
            <v>9.7373589536683003</v>
          </cell>
          <cell r="J464">
            <v>224721.64061693699</v>
          </cell>
          <cell r="K464">
            <v>131599.145830828</v>
          </cell>
          <cell r="L464">
            <v>1</v>
          </cell>
          <cell r="M464">
            <v>0</v>
          </cell>
        </row>
        <row r="465">
          <cell r="B465">
            <v>0</v>
          </cell>
          <cell r="C465" t="str">
            <v>NA</v>
          </cell>
          <cell r="D465">
            <v>0</v>
          </cell>
          <cell r="E465">
            <v>0.14000000000000001</v>
          </cell>
          <cell r="F465">
            <v>4.8500000000000001E-2</v>
          </cell>
          <cell r="G465">
            <v>18.711164425221</v>
          </cell>
          <cell r="H465">
            <v>13.6218613915338</v>
          </cell>
          <cell r="I465">
            <v>8.1652565424847907</v>
          </cell>
          <cell r="J465">
            <v>241650.375233959</v>
          </cell>
          <cell r="K465">
            <v>142073.29230602499</v>
          </cell>
          <cell r="L465">
            <v>1</v>
          </cell>
          <cell r="M465">
            <v>0</v>
          </cell>
        </row>
        <row r="466">
          <cell r="B466">
            <v>0</v>
          </cell>
          <cell r="C466" t="str">
            <v>NA</v>
          </cell>
          <cell r="D466">
            <v>0</v>
          </cell>
          <cell r="E466">
            <v>0.28520000000000001</v>
          </cell>
          <cell r="F466">
            <v>5.11E-2</v>
          </cell>
          <cell r="G466">
            <v>16.242327441400899</v>
          </cell>
          <cell r="H466">
            <v>12.762628728385</v>
          </cell>
          <cell r="I466">
            <v>7.6145932717884302</v>
          </cell>
          <cell r="J466">
            <v>161701.73890831199</v>
          </cell>
          <cell r="K466">
            <v>96411.487699236401</v>
          </cell>
          <cell r="L466">
            <v>1</v>
          </cell>
          <cell r="M466">
            <v>0</v>
          </cell>
        </row>
        <row r="467">
          <cell r="B467">
            <v>0</v>
          </cell>
          <cell r="C467" t="str">
            <v>NA</v>
          </cell>
          <cell r="D467">
            <v>0</v>
          </cell>
          <cell r="E467">
            <v>0.14349999999999999</v>
          </cell>
          <cell r="F467">
            <v>4.2000000000000003E-2</v>
          </cell>
          <cell r="G467">
            <v>18.285083601867601</v>
          </cell>
          <cell r="H467">
            <v>14.6719145226233</v>
          </cell>
          <cell r="I467">
            <v>8.8898910291190898</v>
          </cell>
          <cell r="J467">
            <v>151045.83158587199</v>
          </cell>
          <cell r="K467">
            <v>92751.474199444201</v>
          </cell>
          <cell r="L467">
            <v>1</v>
          </cell>
          <cell r="M467">
            <v>0</v>
          </cell>
        </row>
        <row r="468">
          <cell r="B468">
            <v>0</v>
          </cell>
          <cell r="C468" t="str">
            <v>NA</v>
          </cell>
          <cell r="D468">
            <v>0</v>
          </cell>
          <cell r="E468">
            <v>0.1245</v>
          </cell>
          <cell r="F468">
            <v>5.28E-2</v>
          </cell>
          <cell r="G468">
            <v>18.029920398257801</v>
          </cell>
          <cell r="H468">
            <v>13.7146009002987</v>
          </cell>
          <cell r="I468">
            <v>8.3569816072138696</v>
          </cell>
          <cell r="J468">
            <v>159182.36605030001</v>
          </cell>
          <cell r="K468">
            <v>97908.006696435303</v>
          </cell>
          <cell r="L468">
            <v>1</v>
          </cell>
          <cell r="M468">
            <v>0</v>
          </cell>
        </row>
        <row r="469">
          <cell r="B469">
            <v>0</v>
          </cell>
          <cell r="C469" t="str">
            <v>NA</v>
          </cell>
          <cell r="D469">
            <v>0</v>
          </cell>
          <cell r="E469">
            <v>0.23599999999999999</v>
          </cell>
          <cell r="F469">
            <v>3.9800000000000002E-2</v>
          </cell>
          <cell r="G469">
            <v>18.1361436588328</v>
          </cell>
          <cell r="H469">
            <v>11.8182060358172</v>
          </cell>
          <cell r="I469">
            <v>6.9651247593430696</v>
          </cell>
          <cell r="J469">
            <v>241686.28193976899</v>
          </cell>
          <cell r="K469">
            <v>138864.07635822301</v>
          </cell>
          <cell r="L469">
            <v>1</v>
          </cell>
          <cell r="M469">
            <v>0</v>
          </cell>
        </row>
        <row r="470">
          <cell r="B470">
            <v>0</v>
          </cell>
          <cell r="C470" t="str">
            <v>NA</v>
          </cell>
          <cell r="D470">
            <v>0</v>
          </cell>
          <cell r="E470">
            <v>0.1525</v>
          </cell>
          <cell r="F470">
            <v>4.4400000000000002E-2</v>
          </cell>
          <cell r="G470">
            <v>19.418415845520698</v>
          </cell>
          <cell r="H470">
            <v>14.100608355741301</v>
          </cell>
          <cell r="I470">
            <v>8.3544558521407204</v>
          </cell>
          <cell r="J470">
            <v>252938.57569268299</v>
          </cell>
          <cell r="K470">
            <v>146284.68950387</v>
          </cell>
          <cell r="L470">
            <v>1</v>
          </cell>
          <cell r="M470">
            <v>0</v>
          </cell>
        </row>
        <row r="471">
          <cell r="B471">
            <v>0</v>
          </cell>
          <cell r="C471" t="str">
            <v>NA</v>
          </cell>
          <cell r="D471">
            <v>0</v>
          </cell>
          <cell r="E471">
            <v>0.1285</v>
          </cell>
          <cell r="F471">
            <v>3.5200000000000002E-2</v>
          </cell>
          <cell r="G471">
            <v>18.805888034922699</v>
          </cell>
          <cell r="H471">
            <v>13.595686873796801</v>
          </cell>
          <cell r="I471">
            <v>8.2129938201874708</v>
          </cell>
          <cell r="J471">
            <v>169453.11208372001</v>
          </cell>
          <cell r="K471">
            <v>102981.82059800799</v>
          </cell>
          <cell r="L471">
            <v>1</v>
          </cell>
          <cell r="M471">
            <v>0</v>
          </cell>
        </row>
        <row r="472">
          <cell r="B472">
            <v>0</v>
          </cell>
          <cell r="C472" t="str">
            <v>NA</v>
          </cell>
          <cell r="D472">
            <v>0</v>
          </cell>
          <cell r="E472">
            <v>0.14829999999999999</v>
          </cell>
          <cell r="F472">
            <v>4.0599999999999997E-2</v>
          </cell>
          <cell r="G472">
            <v>18.990787095483601</v>
          </cell>
          <cell r="H472">
            <v>13.701108649077501</v>
          </cell>
          <cell r="I472">
            <v>8.1746418264793093</v>
          </cell>
          <cell r="J472">
            <v>264776.92133783601</v>
          </cell>
          <cell r="K472">
            <v>154192.04250793901</v>
          </cell>
          <cell r="L472">
            <v>1</v>
          </cell>
          <cell r="M472">
            <v>0</v>
          </cell>
        </row>
        <row r="473">
          <cell r="B473">
            <v>0</v>
          </cell>
          <cell r="C473" t="str">
            <v>NA</v>
          </cell>
          <cell r="D473">
            <v>0</v>
          </cell>
          <cell r="E473">
            <v>0.15809999999999999</v>
          </cell>
          <cell r="F473">
            <v>2.98E-2</v>
          </cell>
          <cell r="G473">
            <v>18.1455962567155</v>
          </cell>
          <cell r="H473">
            <v>13.582188383430299</v>
          </cell>
          <cell r="I473">
            <v>8.23295255143268</v>
          </cell>
          <cell r="J473">
            <v>185114.25634027101</v>
          </cell>
          <cell r="K473">
            <v>112123.85949050001</v>
          </cell>
          <cell r="L473">
            <v>1</v>
          </cell>
          <cell r="M473">
            <v>0</v>
          </cell>
        </row>
        <row r="474">
          <cell r="B474">
            <v>0</v>
          </cell>
          <cell r="C474" t="str">
            <v>NA</v>
          </cell>
          <cell r="D474">
            <v>0</v>
          </cell>
          <cell r="E474">
            <v>0.24560000000000001</v>
          </cell>
          <cell r="F474">
            <v>4.2700000000000002E-2</v>
          </cell>
          <cell r="G474">
            <v>17.362047487147201</v>
          </cell>
          <cell r="H474">
            <v>11.912046327308699</v>
          </cell>
          <cell r="I474">
            <v>7.0939520749572402</v>
          </cell>
          <cell r="J474">
            <v>205643.53514330901</v>
          </cell>
          <cell r="K474">
            <v>120839.62632132501</v>
          </cell>
          <cell r="L474">
            <v>1</v>
          </cell>
          <cell r="M474">
            <v>0</v>
          </cell>
        </row>
        <row r="475">
          <cell r="B475">
            <v>0</v>
          </cell>
          <cell r="C475" t="str">
            <v>NA</v>
          </cell>
          <cell r="D475">
            <v>0</v>
          </cell>
          <cell r="E475">
            <v>0.24160000000000001</v>
          </cell>
          <cell r="F475">
            <v>4.1099999999999998E-2</v>
          </cell>
          <cell r="G475">
            <v>18.176689745803898</v>
          </cell>
          <cell r="H475">
            <v>12.7973705962211</v>
          </cell>
          <cell r="I475">
            <v>7.5361115136542898</v>
          </cell>
          <cell r="J475">
            <v>218367.734443197</v>
          </cell>
          <cell r="K475">
            <v>125977.034614665</v>
          </cell>
          <cell r="L475">
            <v>1</v>
          </cell>
          <cell r="M475">
            <v>0</v>
          </cell>
        </row>
        <row r="476">
          <cell r="B476">
            <v>0</v>
          </cell>
          <cell r="C476" t="str">
            <v>NA</v>
          </cell>
          <cell r="D476">
            <v>0</v>
          </cell>
          <cell r="E476">
            <v>0.15540000000000001</v>
          </cell>
          <cell r="F476">
            <v>6.13E-2</v>
          </cell>
          <cell r="G476">
            <v>18.638362941112302</v>
          </cell>
          <cell r="H476">
            <v>12.671889513492401</v>
          </cell>
          <cell r="I476">
            <v>7.5320191291628804</v>
          </cell>
          <cell r="J476">
            <v>168213.84143460201</v>
          </cell>
          <cell r="K476">
            <v>100282.85562526</v>
          </cell>
          <cell r="L476">
            <v>1</v>
          </cell>
          <cell r="M476">
            <v>0</v>
          </cell>
        </row>
        <row r="477">
          <cell r="B477">
            <v>0</v>
          </cell>
          <cell r="C477" t="str">
            <v>NA</v>
          </cell>
          <cell r="D477">
            <v>0</v>
          </cell>
          <cell r="E477">
            <v>0.19220000000000001</v>
          </cell>
          <cell r="F477">
            <v>4.36E-2</v>
          </cell>
          <cell r="G477">
            <v>17.126966958293199</v>
          </cell>
          <cell r="H477">
            <v>13.7549764366736</v>
          </cell>
          <cell r="I477">
            <v>8.3427610843683802</v>
          </cell>
          <cell r="J477">
            <v>178739.14225523101</v>
          </cell>
          <cell r="K477">
            <v>108490.97963009799</v>
          </cell>
          <cell r="L477">
            <v>1</v>
          </cell>
          <cell r="M477">
            <v>0</v>
          </cell>
        </row>
        <row r="478">
          <cell r="B478">
            <v>0</v>
          </cell>
          <cell r="C478" t="str">
            <v>NA</v>
          </cell>
          <cell r="D478">
            <v>0</v>
          </cell>
          <cell r="E478">
            <v>0.17810000000000001</v>
          </cell>
          <cell r="F478">
            <v>3.1699999999999999E-2</v>
          </cell>
          <cell r="G478">
            <v>20.734135894985801</v>
          </cell>
          <cell r="H478">
            <v>13.7612163899762</v>
          </cell>
          <cell r="I478">
            <v>7.9677719269827403</v>
          </cell>
          <cell r="J478">
            <v>234965.41149813699</v>
          </cell>
          <cell r="K478">
            <v>132454.91582256599</v>
          </cell>
          <cell r="L478">
            <v>1</v>
          </cell>
          <cell r="M478">
            <v>0</v>
          </cell>
        </row>
        <row r="479">
          <cell r="B479">
            <v>0</v>
          </cell>
          <cell r="C479" t="str">
            <v>NA</v>
          </cell>
          <cell r="D479">
            <v>0</v>
          </cell>
          <cell r="E479">
            <v>0.20749999999999999</v>
          </cell>
          <cell r="F479">
            <v>5.1999999999999998E-2</v>
          </cell>
          <cell r="G479">
            <v>17.7703087070348</v>
          </cell>
          <cell r="H479">
            <v>13.604409552870299</v>
          </cell>
          <cell r="I479">
            <v>8.12966112371425</v>
          </cell>
          <cell r="J479">
            <v>238428.781249689</v>
          </cell>
          <cell r="K479">
            <v>139427.607226194</v>
          </cell>
          <cell r="L479">
            <v>1</v>
          </cell>
          <cell r="M479">
            <v>0</v>
          </cell>
        </row>
        <row r="480">
          <cell r="B480">
            <v>0</v>
          </cell>
          <cell r="C480" t="str">
            <v>NA</v>
          </cell>
          <cell r="D480">
            <v>0</v>
          </cell>
          <cell r="E480">
            <v>0.2427</v>
          </cell>
          <cell r="F480">
            <v>2.5899999999999999E-2</v>
          </cell>
          <cell r="G480">
            <v>17.538997727791301</v>
          </cell>
          <cell r="H480">
            <v>12.022617529066901</v>
          </cell>
          <cell r="I480">
            <v>7.1637733183398504</v>
          </cell>
          <cell r="J480">
            <v>244522.671589645</v>
          </cell>
          <cell r="K480">
            <v>142460.456057</v>
          </cell>
          <cell r="L480">
            <v>1</v>
          </cell>
          <cell r="M480">
            <v>0</v>
          </cell>
        </row>
        <row r="481">
          <cell r="B481">
            <v>0</v>
          </cell>
          <cell r="C481" t="str">
            <v>NA</v>
          </cell>
          <cell r="D481">
            <v>0</v>
          </cell>
          <cell r="E481">
            <v>0.23330000000000001</v>
          </cell>
          <cell r="F481">
            <v>3.49E-2</v>
          </cell>
          <cell r="G481">
            <v>16.542798483313899</v>
          </cell>
          <cell r="H481">
            <v>12.1296913987164</v>
          </cell>
          <cell r="I481">
            <v>7.3656031941437403</v>
          </cell>
          <cell r="J481">
            <v>190296.043071286</v>
          </cell>
          <cell r="K481">
            <v>114911.166281008</v>
          </cell>
          <cell r="L481">
            <v>1</v>
          </cell>
          <cell r="M481">
            <v>0</v>
          </cell>
        </row>
        <row r="482">
          <cell r="B482">
            <v>0</v>
          </cell>
          <cell r="C482" t="str">
            <v>NA</v>
          </cell>
          <cell r="D482">
            <v>0</v>
          </cell>
          <cell r="E482">
            <v>0.1668</v>
          </cell>
          <cell r="F482">
            <v>4.3099999999999999E-2</v>
          </cell>
          <cell r="G482">
            <v>18.8557379051813</v>
          </cell>
          <cell r="H482">
            <v>12.309331250123</v>
          </cell>
          <cell r="I482">
            <v>7.3203649586499404</v>
          </cell>
          <cell r="J482">
            <v>337547.184529113</v>
          </cell>
          <cell r="K482">
            <v>193285.614974486</v>
          </cell>
          <cell r="L482">
            <v>1</v>
          </cell>
          <cell r="M482">
            <v>0</v>
          </cell>
        </row>
        <row r="483">
          <cell r="B483">
            <v>0</v>
          </cell>
          <cell r="C483" t="str">
            <v>NA</v>
          </cell>
          <cell r="D483">
            <v>0</v>
          </cell>
          <cell r="E483">
            <v>0.17150000000000001</v>
          </cell>
          <cell r="F483">
            <v>4.2000000000000003E-2</v>
          </cell>
          <cell r="G483">
            <v>17.068049686407502</v>
          </cell>
          <cell r="H483">
            <v>11.635991895449401</v>
          </cell>
          <cell r="I483">
            <v>7.1148373469289501</v>
          </cell>
          <cell r="J483">
            <v>169614.844051286</v>
          </cell>
          <cell r="K483">
            <v>104406.147568746</v>
          </cell>
          <cell r="L483">
            <v>1</v>
          </cell>
          <cell r="M483">
            <v>0</v>
          </cell>
        </row>
        <row r="484">
          <cell r="B484">
            <v>0</v>
          </cell>
          <cell r="C484" t="str">
            <v>NA</v>
          </cell>
          <cell r="D484">
            <v>0</v>
          </cell>
          <cell r="E484">
            <v>0.19120000000000001</v>
          </cell>
          <cell r="F484">
            <v>4.3400000000000001E-2</v>
          </cell>
          <cell r="G484">
            <v>17.629313186444602</v>
          </cell>
          <cell r="H484">
            <v>12.2640904130515</v>
          </cell>
          <cell r="I484">
            <v>7.3968132419714596</v>
          </cell>
          <cell r="J484">
            <v>203980.59365901101</v>
          </cell>
          <cell r="K484">
            <v>121696.40607500399</v>
          </cell>
          <cell r="L484">
            <v>1</v>
          </cell>
          <cell r="M484">
            <v>0</v>
          </cell>
        </row>
        <row r="485">
          <cell r="B485">
            <v>0</v>
          </cell>
          <cell r="C485" t="str">
            <v>NA</v>
          </cell>
          <cell r="D485">
            <v>0</v>
          </cell>
          <cell r="E485">
            <v>0.2109</v>
          </cell>
          <cell r="F485">
            <v>3.5299999999999998E-2</v>
          </cell>
          <cell r="G485">
            <v>17.031000677921</v>
          </cell>
          <cell r="H485">
            <v>12.578477469399401</v>
          </cell>
          <cell r="I485">
            <v>7.6342638018204996</v>
          </cell>
          <cell r="J485">
            <v>196257.22681724199</v>
          </cell>
          <cell r="K485">
            <v>118393.328837031</v>
          </cell>
          <cell r="L485">
            <v>1</v>
          </cell>
          <cell r="M485">
            <v>0</v>
          </cell>
        </row>
        <row r="486">
          <cell r="B486">
            <v>0</v>
          </cell>
          <cell r="C486" t="str">
            <v>NA</v>
          </cell>
          <cell r="D486">
            <v>0</v>
          </cell>
          <cell r="E486">
            <v>0.28199999999999997</v>
          </cell>
          <cell r="F486">
            <v>3.78E-2</v>
          </cell>
          <cell r="G486">
            <v>14.9100331298844</v>
          </cell>
          <cell r="H486">
            <v>10.607550196139499</v>
          </cell>
          <cell r="I486">
            <v>6.4852820742199002</v>
          </cell>
          <cell r="J486">
            <v>188459.55948828699</v>
          </cell>
          <cell r="K486">
            <v>114321.94120193001</v>
          </cell>
          <cell r="L486">
            <v>1</v>
          </cell>
          <cell r="M486">
            <v>0</v>
          </cell>
        </row>
        <row r="487">
          <cell r="B487">
            <v>0</v>
          </cell>
          <cell r="C487" t="str">
            <v>NA</v>
          </cell>
          <cell r="D487">
            <v>0</v>
          </cell>
          <cell r="E487">
            <v>0.2281</v>
          </cell>
          <cell r="F487">
            <v>5.6300000000000003E-2</v>
          </cell>
          <cell r="G487">
            <v>17.534756870852</v>
          </cell>
          <cell r="H487">
            <v>12.132183216228601</v>
          </cell>
          <cell r="I487">
            <v>7.1890600933915501</v>
          </cell>
          <cell r="J487">
            <v>136217.50110161101</v>
          </cell>
          <cell r="K487">
            <v>82078.743085257403</v>
          </cell>
          <cell r="L487">
            <v>1</v>
          </cell>
          <cell r="M487">
            <v>0</v>
          </cell>
        </row>
        <row r="488">
          <cell r="B488">
            <v>0</v>
          </cell>
          <cell r="C488" t="str">
            <v>NA</v>
          </cell>
          <cell r="D488">
            <v>0</v>
          </cell>
          <cell r="E488">
            <v>0.1421</v>
          </cell>
          <cell r="F488">
            <v>3.9699999999999999E-2</v>
          </cell>
          <cell r="G488">
            <v>18.0681065938494</v>
          </cell>
          <cell r="H488">
            <v>12.9415071922463</v>
          </cell>
          <cell r="I488">
            <v>7.8766596611982704</v>
          </cell>
          <cell r="J488">
            <v>178699.945913162</v>
          </cell>
          <cell r="K488">
            <v>109060.09364798899</v>
          </cell>
          <cell r="L488">
            <v>1</v>
          </cell>
          <cell r="M488">
            <v>0</v>
          </cell>
        </row>
        <row r="489">
          <cell r="B489">
            <v>0</v>
          </cell>
          <cell r="C489" t="str">
            <v>NA</v>
          </cell>
          <cell r="D489">
            <v>0</v>
          </cell>
          <cell r="E489">
            <v>0.1719</v>
          </cell>
          <cell r="F489">
            <v>5.3999999999999999E-2</v>
          </cell>
          <cell r="G489">
            <v>17.690156986987699</v>
          </cell>
          <cell r="H489">
            <v>12.859496315037701</v>
          </cell>
          <cell r="I489">
            <v>7.7613881154878204</v>
          </cell>
          <cell r="J489">
            <v>164297.795515932</v>
          </cell>
          <cell r="K489">
            <v>99685.454807779097</v>
          </cell>
          <cell r="L489">
            <v>1</v>
          </cell>
          <cell r="M489">
            <v>0</v>
          </cell>
        </row>
        <row r="490">
          <cell r="B490">
            <v>0</v>
          </cell>
          <cell r="C490" t="str">
            <v>NA</v>
          </cell>
          <cell r="D490">
            <v>0</v>
          </cell>
          <cell r="E490">
            <v>0.17799999999999999</v>
          </cell>
          <cell r="F490">
            <v>3.3700000000000001E-2</v>
          </cell>
          <cell r="G490">
            <v>17.1407240572122</v>
          </cell>
          <cell r="H490">
            <v>12.054063847060799</v>
          </cell>
          <cell r="I490">
            <v>7.3797867565052897</v>
          </cell>
          <cell r="J490">
            <v>150476.398891919</v>
          </cell>
          <cell r="K490">
            <v>93199.486637284703</v>
          </cell>
          <cell r="L490">
            <v>1</v>
          </cell>
          <cell r="M490">
            <v>0</v>
          </cell>
        </row>
        <row r="491">
          <cell r="B491">
            <v>0</v>
          </cell>
          <cell r="C491" t="str">
            <v>NA</v>
          </cell>
          <cell r="D491">
            <v>0</v>
          </cell>
          <cell r="E491">
            <v>0.15190000000000001</v>
          </cell>
          <cell r="F491">
            <v>2.9000000000000001E-2</v>
          </cell>
          <cell r="G491">
            <v>17.546415118586999</v>
          </cell>
          <cell r="H491">
            <v>12.5361705072881</v>
          </cell>
          <cell r="I491">
            <v>7.6699414665444401</v>
          </cell>
          <cell r="J491">
            <v>150204.452744471</v>
          </cell>
          <cell r="K491">
            <v>93348.340495494995</v>
          </cell>
          <cell r="L491">
            <v>1</v>
          </cell>
          <cell r="M491">
            <v>0</v>
          </cell>
        </row>
        <row r="492">
          <cell r="B492">
            <v>0</v>
          </cell>
          <cell r="C492" t="str">
            <v>NA</v>
          </cell>
          <cell r="D492">
            <v>0</v>
          </cell>
          <cell r="E492">
            <v>0.3236</v>
          </cell>
          <cell r="F492">
            <v>3.8199999999999998E-2</v>
          </cell>
          <cell r="G492">
            <v>15.0097869749612</v>
          </cell>
          <cell r="H492">
            <v>10.731613489597599</v>
          </cell>
          <cell r="I492">
            <v>6.4401933982237303</v>
          </cell>
          <cell r="J492">
            <v>195782.03732222901</v>
          </cell>
          <cell r="K492">
            <v>116162.143110643</v>
          </cell>
          <cell r="L492">
            <v>1</v>
          </cell>
          <cell r="M492">
            <v>0</v>
          </cell>
        </row>
        <row r="493">
          <cell r="B493">
            <v>0</v>
          </cell>
          <cell r="C493" t="str">
            <v>NA</v>
          </cell>
          <cell r="D493">
            <v>0</v>
          </cell>
          <cell r="E493">
            <v>0.15479999999999999</v>
          </cell>
          <cell r="F493">
            <v>6.6400000000000001E-2</v>
          </cell>
          <cell r="G493">
            <v>18.2585481905767</v>
          </cell>
          <cell r="H493">
            <v>13.3575067813345</v>
          </cell>
          <cell r="I493">
            <v>7.9909374298245996</v>
          </cell>
          <cell r="J493">
            <v>262855.74738410302</v>
          </cell>
          <cell r="K493">
            <v>153341.489147908</v>
          </cell>
          <cell r="L493">
            <v>1</v>
          </cell>
          <cell r="M493">
            <v>0</v>
          </cell>
        </row>
        <row r="494">
          <cell r="B494">
            <v>0</v>
          </cell>
          <cell r="C494" t="str">
            <v>NA</v>
          </cell>
          <cell r="D494">
            <v>0</v>
          </cell>
          <cell r="E494">
            <v>0.16439999999999999</v>
          </cell>
          <cell r="F494">
            <v>4.53E-2</v>
          </cell>
          <cell r="G494">
            <v>17.429265288535401</v>
          </cell>
          <cell r="H494">
            <v>11.062656037851999</v>
          </cell>
          <cell r="I494">
            <v>6.7264020648082603</v>
          </cell>
          <cell r="J494">
            <v>188680.18978575099</v>
          </cell>
          <cell r="K494">
            <v>114547.9714372</v>
          </cell>
          <cell r="L494">
            <v>1</v>
          </cell>
          <cell r="M494">
            <v>0</v>
          </cell>
        </row>
        <row r="495">
          <cell r="B495">
            <v>0</v>
          </cell>
          <cell r="C495" t="str">
            <v>NA</v>
          </cell>
          <cell r="D495">
            <v>0</v>
          </cell>
          <cell r="E495">
            <v>0.1037</v>
          </cell>
          <cell r="F495">
            <v>3.7199999999999997E-2</v>
          </cell>
          <cell r="G495">
            <v>19.951916614354399</v>
          </cell>
          <cell r="H495">
            <v>12.8999921740254</v>
          </cell>
          <cell r="I495">
            <v>7.7093504538876196</v>
          </cell>
          <cell r="J495">
            <v>210637.22256869299</v>
          </cell>
          <cell r="K495">
            <v>124584.12327127</v>
          </cell>
          <cell r="L495">
            <v>1</v>
          </cell>
          <cell r="M495">
            <v>0</v>
          </cell>
        </row>
        <row r="496">
          <cell r="B496">
            <v>0</v>
          </cell>
          <cell r="C496" t="str">
            <v>NA</v>
          </cell>
          <cell r="D496">
            <v>0</v>
          </cell>
          <cell r="E496">
            <v>0.153</v>
          </cell>
          <cell r="F496">
            <v>3.9600000000000003E-2</v>
          </cell>
          <cell r="G496">
            <v>19.268771902126002</v>
          </cell>
          <cell r="H496">
            <v>14.096229489082001</v>
          </cell>
          <cell r="I496">
            <v>8.4058176857590503</v>
          </cell>
          <cell r="J496">
            <v>226386.245191986</v>
          </cell>
          <cell r="K496">
            <v>132745.44800375501</v>
          </cell>
          <cell r="L496">
            <v>1</v>
          </cell>
          <cell r="M496">
            <v>0</v>
          </cell>
        </row>
        <row r="497">
          <cell r="B497">
            <v>0</v>
          </cell>
          <cell r="C497" t="str">
            <v>NA</v>
          </cell>
          <cell r="D497">
            <v>0</v>
          </cell>
          <cell r="E497">
            <v>0.129</v>
          </cell>
          <cell r="F497">
            <v>5.0599999999999999E-2</v>
          </cell>
          <cell r="G497">
            <v>18.516511575310901</v>
          </cell>
          <cell r="H497">
            <v>13.5084282135746</v>
          </cell>
          <cell r="I497">
            <v>8.1539434229235699</v>
          </cell>
          <cell r="J497">
            <v>269157.32671418902</v>
          </cell>
          <cell r="K497">
            <v>158854.347477826</v>
          </cell>
          <cell r="L497">
            <v>1</v>
          </cell>
          <cell r="M497">
            <v>0</v>
          </cell>
        </row>
        <row r="498">
          <cell r="B498">
            <v>0</v>
          </cell>
          <cell r="C498" t="str">
            <v>NA</v>
          </cell>
          <cell r="D498">
            <v>0</v>
          </cell>
          <cell r="E498">
            <v>0.2349</v>
          </cell>
          <cell r="F498">
            <v>2.6499999999999999E-2</v>
          </cell>
          <cell r="G498">
            <v>15.6487339748808</v>
          </cell>
          <cell r="H498">
            <v>10.9692367877165</v>
          </cell>
          <cell r="I498">
            <v>6.7717209091353299</v>
          </cell>
          <cell r="J498">
            <v>161023.97049550901</v>
          </cell>
          <cell r="K498">
            <v>100319.215018908</v>
          </cell>
          <cell r="L498">
            <v>1</v>
          </cell>
          <cell r="M498">
            <v>0</v>
          </cell>
        </row>
        <row r="499">
          <cell r="B499">
            <v>0</v>
          </cell>
          <cell r="C499" t="str">
            <v>NA</v>
          </cell>
          <cell r="D499">
            <v>0</v>
          </cell>
          <cell r="E499">
            <v>0.20180000000000001</v>
          </cell>
          <cell r="F499">
            <v>3.73E-2</v>
          </cell>
          <cell r="G499">
            <v>17.197615539613501</v>
          </cell>
          <cell r="H499">
            <v>11.110791609920399</v>
          </cell>
          <cell r="I499">
            <v>6.7490686491384002</v>
          </cell>
          <cell r="J499">
            <v>246214.76399643201</v>
          </cell>
          <cell r="K499">
            <v>146665.09064767501</v>
          </cell>
          <cell r="L499">
            <v>1</v>
          </cell>
          <cell r="M499">
            <v>0</v>
          </cell>
        </row>
        <row r="500">
          <cell r="B500">
            <v>0</v>
          </cell>
          <cell r="C500" t="str">
            <v>NA</v>
          </cell>
          <cell r="D500">
            <v>0</v>
          </cell>
          <cell r="E500">
            <v>0.22339999999999999</v>
          </cell>
          <cell r="F500">
            <v>4.1599999999999998E-2</v>
          </cell>
          <cell r="G500">
            <v>16.778199661237799</v>
          </cell>
          <cell r="H500">
            <v>13.1316668359218</v>
          </cell>
          <cell r="I500">
            <v>7.9720538799980201</v>
          </cell>
          <cell r="J500">
            <v>243065.793914904</v>
          </cell>
          <cell r="K500">
            <v>144768.103152822</v>
          </cell>
          <cell r="L500">
            <v>1</v>
          </cell>
          <cell r="M500">
            <v>0</v>
          </cell>
        </row>
        <row r="501">
          <cell r="B501">
            <v>0</v>
          </cell>
          <cell r="C501" t="str">
            <v>NA</v>
          </cell>
          <cell r="D501">
            <v>0</v>
          </cell>
          <cell r="E501">
            <v>0.17460000000000001</v>
          </cell>
          <cell r="F501">
            <v>4.07E-2</v>
          </cell>
          <cell r="G501">
            <v>18.954576360490801</v>
          </cell>
          <cell r="H501">
            <v>12.9090671407151</v>
          </cell>
          <cell r="I501">
            <v>7.68018402179489</v>
          </cell>
          <cell r="J501">
            <v>259594.03419753001</v>
          </cell>
          <cell r="K501">
            <v>150734.31827831699</v>
          </cell>
          <cell r="L501">
            <v>1</v>
          </cell>
          <cell r="M50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_100_spec_10_PSA"/>
    </sheetNames>
    <sheetDataSet>
      <sheetData sheetId="0">
        <row r="1">
          <cell r="B1" t="str">
            <v>Sens_DR</v>
          </cell>
          <cell r="C1" t="str">
            <v>Spec_DR</v>
          </cell>
          <cell r="D1" t="str">
            <v>Number_recieving_MTC_care</v>
          </cell>
          <cell r="E1" t="str">
            <v>proportion_died_before_discharge</v>
          </cell>
          <cell r="F1" t="str">
            <v>proportion_died_between_discharge_and_1_year</v>
          </cell>
          <cell r="G1" t="str">
            <v>Years_lived</v>
          </cell>
          <cell r="H1" t="str">
            <v>undiscounted_QALYs</v>
          </cell>
          <cell r="I1" t="str">
            <v>discounted_QALYs</v>
          </cell>
          <cell r="J1" t="str">
            <v>undiscounted_Costs</v>
          </cell>
          <cell r="K1" t="str">
            <v>discounted_Costs</v>
          </cell>
          <cell r="L1" t="str">
            <v>proportion_ISS_over_16</v>
          </cell>
          <cell r="M1" t="str">
            <v>proportion_ISS_over_8_under_16</v>
          </cell>
        </row>
        <row r="2">
          <cell r="A2">
            <v>1</v>
          </cell>
          <cell r="B2">
            <v>1</v>
          </cell>
          <cell r="C2" t="str">
            <v>NA</v>
          </cell>
          <cell r="D2">
            <v>1</v>
          </cell>
          <cell r="E2">
            <v>0.17630000000000001</v>
          </cell>
          <cell r="F2">
            <v>2.2100000000000002E-2</v>
          </cell>
          <cell r="G2">
            <v>18.8453513991448</v>
          </cell>
          <cell r="H2">
            <v>13.4379651043898</v>
          </cell>
          <cell r="I2">
            <v>8.0214473083461098</v>
          </cell>
          <cell r="J2">
            <v>194726.156353967</v>
          </cell>
          <cell r="K2">
            <v>115274.601516942</v>
          </cell>
          <cell r="L2">
            <v>1</v>
          </cell>
          <cell r="M2">
            <v>0</v>
          </cell>
        </row>
        <row r="3">
          <cell r="A3">
            <v>2</v>
          </cell>
          <cell r="B3">
            <v>1</v>
          </cell>
          <cell r="C3" t="str">
            <v>NA</v>
          </cell>
          <cell r="D3">
            <v>1</v>
          </cell>
          <cell r="E3">
            <v>0.15939999999999999</v>
          </cell>
          <cell r="F3">
            <v>2.3099999999999999E-2</v>
          </cell>
          <cell r="G3">
            <v>17.714223291111502</v>
          </cell>
          <cell r="H3">
            <v>13.946244632269099</v>
          </cell>
          <cell r="I3">
            <v>8.5030756028219603</v>
          </cell>
          <cell r="J3">
            <v>172314.506860683</v>
          </cell>
          <cell r="K3">
            <v>105797.95558785299</v>
          </cell>
          <cell r="L3">
            <v>1</v>
          </cell>
          <cell r="M3">
            <v>0</v>
          </cell>
        </row>
        <row r="4">
          <cell r="A4">
            <v>3</v>
          </cell>
          <cell r="B4">
            <v>1</v>
          </cell>
          <cell r="C4" t="str">
            <v>NA</v>
          </cell>
          <cell r="D4">
            <v>1</v>
          </cell>
          <cell r="E4">
            <v>0.1598</v>
          </cell>
          <cell r="F4">
            <v>2.64E-2</v>
          </cell>
          <cell r="G4">
            <v>17.287081897803802</v>
          </cell>
          <cell r="H4">
            <v>12.512979739982701</v>
          </cell>
          <cell r="I4">
            <v>7.7133534104733403</v>
          </cell>
          <cell r="J4">
            <v>185359.29863363801</v>
          </cell>
          <cell r="K4">
            <v>114447.85611545001</v>
          </cell>
          <cell r="L4">
            <v>1</v>
          </cell>
          <cell r="M4">
            <v>0</v>
          </cell>
        </row>
        <row r="5">
          <cell r="A5">
            <v>4</v>
          </cell>
          <cell r="B5">
            <v>1</v>
          </cell>
          <cell r="C5" t="str">
            <v>NA</v>
          </cell>
          <cell r="D5">
            <v>1</v>
          </cell>
          <cell r="E5">
            <v>0.12529999999999999</v>
          </cell>
          <cell r="F5">
            <v>2.7300000000000001E-2</v>
          </cell>
          <cell r="G5">
            <v>19.4351823644297</v>
          </cell>
          <cell r="H5">
            <v>14.241338973063501</v>
          </cell>
          <cell r="I5">
            <v>8.5441762712485207</v>
          </cell>
          <cell r="J5">
            <v>293019.86683398101</v>
          </cell>
          <cell r="K5">
            <v>170984.91512819499</v>
          </cell>
          <cell r="L5">
            <v>1</v>
          </cell>
          <cell r="M5">
            <v>0</v>
          </cell>
        </row>
        <row r="6">
          <cell r="A6">
            <v>5</v>
          </cell>
          <cell r="B6">
            <v>1</v>
          </cell>
          <cell r="C6" t="str">
            <v>NA</v>
          </cell>
          <cell r="D6">
            <v>1</v>
          </cell>
          <cell r="E6">
            <v>0.13739999999999999</v>
          </cell>
          <cell r="F6">
            <v>2.5399999999999999E-2</v>
          </cell>
          <cell r="G6">
            <v>19.414505441188101</v>
          </cell>
          <cell r="H6">
            <v>14.620078926156401</v>
          </cell>
          <cell r="I6">
            <v>8.7533952799996797</v>
          </cell>
          <cell r="J6">
            <v>264855.49972529302</v>
          </cell>
          <cell r="K6">
            <v>154798.17643044199</v>
          </cell>
          <cell r="L6">
            <v>1</v>
          </cell>
          <cell r="M6">
            <v>0</v>
          </cell>
        </row>
        <row r="7">
          <cell r="A7">
            <v>6</v>
          </cell>
          <cell r="B7">
            <v>1</v>
          </cell>
          <cell r="C7" t="str">
            <v>NA</v>
          </cell>
          <cell r="D7">
            <v>1</v>
          </cell>
          <cell r="E7">
            <v>0.17069999999999999</v>
          </cell>
          <cell r="F7">
            <v>2.6800000000000001E-2</v>
          </cell>
          <cell r="G7">
            <v>18.453988358204299</v>
          </cell>
          <cell r="H7">
            <v>14.5421430357629</v>
          </cell>
          <cell r="I7">
            <v>8.7510868390971197</v>
          </cell>
          <cell r="J7">
            <v>184209.171871406</v>
          </cell>
          <cell r="K7">
            <v>110561.062907046</v>
          </cell>
          <cell r="L7">
            <v>1</v>
          </cell>
          <cell r="M7">
            <v>0</v>
          </cell>
        </row>
        <row r="8">
          <cell r="A8">
            <v>7</v>
          </cell>
          <cell r="B8">
            <v>1</v>
          </cell>
          <cell r="C8" t="str">
            <v>NA</v>
          </cell>
          <cell r="D8">
            <v>1</v>
          </cell>
          <cell r="E8">
            <v>0.1285</v>
          </cell>
          <cell r="F8">
            <v>2.93E-2</v>
          </cell>
          <cell r="G8">
            <v>19.311179442390198</v>
          </cell>
          <cell r="H8">
            <v>14.384857343756</v>
          </cell>
          <cell r="I8">
            <v>8.6409349851977293</v>
          </cell>
          <cell r="J8">
            <v>192003.33719432901</v>
          </cell>
          <cell r="K8">
            <v>114914.67152156599</v>
          </cell>
          <cell r="L8">
            <v>1</v>
          </cell>
          <cell r="M8">
            <v>0</v>
          </cell>
        </row>
        <row r="9">
          <cell r="A9">
            <v>8</v>
          </cell>
          <cell r="B9">
            <v>1</v>
          </cell>
          <cell r="C9" t="str">
            <v>NA</v>
          </cell>
          <cell r="D9">
            <v>1</v>
          </cell>
          <cell r="E9">
            <v>0.21479999999999999</v>
          </cell>
          <cell r="F9">
            <v>1.9E-2</v>
          </cell>
          <cell r="G9">
            <v>17.733043164457001</v>
          </cell>
          <cell r="H9">
            <v>12.132289312988901</v>
          </cell>
          <cell r="I9">
            <v>7.2892824047515896</v>
          </cell>
          <cell r="J9">
            <v>184609.05936979601</v>
          </cell>
          <cell r="K9">
            <v>110645.110823095</v>
          </cell>
          <cell r="L9">
            <v>1</v>
          </cell>
          <cell r="M9">
            <v>0</v>
          </cell>
        </row>
        <row r="10">
          <cell r="A10">
            <v>9</v>
          </cell>
          <cell r="B10">
            <v>1</v>
          </cell>
          <cell r="C10" t="str">
            <v>NA</v>
          </cell>
          <cell r="D10">
            <v>1</v>
          </cell>
          <cell r="E10">
            <v>9.7299999999999998E-2</v>
          </cell>
          <cell r="F10">
            <v>2.29E-2</v>
          </cell>
          <cell r="G10">
            <v>21.207297404138799</v>
          </cell>
          <cell r="H10">
            <v>15.014058432077499</v>
          </cell>
          <cell r="I10">
            <v>8.8752581297113196</v>
          </cell>
          <cell r="J10">
            <v>252110.97093687399</v>
          </cell>
          <cell r="K10">
            <v>145581.90791006599</v>
          </cell>
          <cell r="L10">
            <v>1</v>
          </cell>
          <cell r="M10">
            <v>0</v>
          </cell>
        </row>
        <row r="11">
          <cell r="A11">
            <v>10</v>
          </cell>
          <cell r="B11">
            <v>1</v>
          </cell>
          <cell r="C11" t="str">
            <v>NA</v>
          </cell>
          <cell r="D11">
            <v>1</v>
          </cell>
          <cell r="E11">
            <v>0.24249999999999999</v>
          </cell>
          <cell r="F11">
            <v>2.58E-2</v>
          </cell>
          <cell r="G11">
            <v>17.2955357274768</v>
          </cell>
          <cell r="H11">
            <v>11.572496356319</v>
          </cell>
          <cell r="I11">
            <v>6.9409630898077301</v>
          </cell>
          <cell r="J11">
            <v>163962.59436040599</v>
          </cell>
          <cell r="K11">
            <v>98839.637707992006</v>
          </cell>
          <cell r="L11">
            <v>1</v>
          </cell>
          <cell r="M11">
            <v>0</v>
          </cell>
        </row>
        <row r="12">
          <cell r="A12">
            <v>11</v>
          </cell>
          <cell r="B12">
            <v>1</v>
          </cell>
          <cell r="C12" t="str">
            <v>NA</v>
          </cell>
          <cell r="D12">
            <v>1</v>
          </cell>
          <cell r="E12">
            <v>0.1007</v>
          </cell>
          <cell r="F12">
            <v>3.1300000000000001E-2</v>
          </cell>
          <cell r="G12">
            <v>19.7347345200847</v>
          </cell>
          <cell r="H12">
            <v>14.7796754754629</v>
          </cell>
          <cell r="I12">
            <v>8.8701496186625803</v>
          </cell>
          <cell r="J12">
            <v>226989.70116986599</v>
          </cell>
          <cell r="K12">
            <v>134352.16552770199</v>
          </cell>
          <cell r="L12">
            <v>1</v>
          </cell>
          <cell r="M12">
            <v>0</v>
          </cell>
        </row>
        <row r="13">
          <cell r="A13">
            <v>12</v>
          </cell>
          <cell r="B13">
            <v>1</v>
          </cell>
          <cell r="C13" t="str">
            <v>NA</v>
          </cell>
          <cell r="D13">
            <v>1</v>
          </cell>
          <cell r="E13">
            <v>0.19020000000000001</v>
          </cell>
          <cell r="F13">
            <v>2.2599999999999999E-2</v>
          </cell>
          <cell r="G13">
            <v>17.554819629938201</v>
          </cell>
          <cell r="H13">
            <v>11.0052989163609</v>
          </cell>
          <cell r="I13">
            <v>6.6762719317161601</v>
          </cell>
          <cell r="J13">
            <v>194378.59355805599</v>
          </cell>
          <cell r="K13">
            <v>117412.253555594</v>
          </cell>
          <cell r="L13">
            <v>1</v>
          </cell>
          <cell r="M13">
            <v>0</v>
          </cell>
        </row>
        <row r="14">
          <cell r="A14">
            <v>13</v>
          </cell>
          <cell r="B14">
            <v>1</v>
          </cell>
          <cell r="C14" t="str">
            <v>NA</v>
          </cell>
          <cell r="D14">
            <v>1</v>
          </cell>
          <cell r="E14">
            <v>0.1308</v>
          </cell>
          <cell r="F14">
            <v>2.7400000000000001E-2</v>
          </cell>
          <cell r="G14">
            <v>20.653309717495699</v>
          </cell>
          <cell r="H14">
            <v>14.7784176823289</v>
          </cell>
          <cell r="I14">
            <v>8.7127921036539302</v>
          </cell>
          <cell r="J14">
            <v>217210.05917514599</v>
          </cell>
          <cell r="K14">
            <v>125963.140969389</v>
          </cell>
          <cell r="L14">
            <v>1</v>
          </cell>
          <cell r="M14">
            <v>0</v>
          </cell>
        </row>
        <row r="15">
          <cell r="A15">
            <v>14</v>
          </cell>
          <cell r="B15">
            <v>1</v>
          </cell>
          <cell r="C15" t="str">
            <v>NA</v>
          </cell>
          <cell r="D15">
            <v>1</v>
          </cell>
          <cell r="E15">
            <v>0.2757</v>
          </cell>
          <cell r="F15">
            <v>2.4500000000000001E-2</v>
          </cell>
          <cell r="G15">
            <v>15.311270134780999</v>
          </cell>
          <cell r="H15">
            <v>10.853727155791301</v>
          </cell>
          <cell r="I15">
            <v>6.6930528930683204</v>
          </cell>
          <cell r="J15">
            <v>137994.33542632399</v>
          </cell>
          <cell r="K15">
            <v>86652.835241822206</v>
          </cell>
          <cell r="L15">
            <v>1</v>
          </cell>
          <cell r="M15">
            <v>0</v>
          </cell>
        </row>
        <row r="16">
          <cell r="A16">
            <v>15</v>
          </cell>
          <cell r="B16">
            <v>1</v>
          </cell>
          <cell r="C16" t="str">
            <v>NA</v>
          </cell>
          <cell r="D16">
            <v>1</v>
          </cell>
          <cell r="E16">
            <v>0.10780000000000001</v>
          </cell>
          <cell r="F16">
            <v>2.81E-2</v>
          </cell>
          <cell r="G16">
            <v>19.098441216646201</v>
          </cell>
          <cell r="H16">
            <v>12.931552829232601</v>
          </cell>
          <cell r="I16">
            <v>7.8330813744268601</v>
          </cell>
          <cell r="J16">
            <v>201186.31811588499</v>
          </cell>
          <cell r="K16">
            <v>121369.996045967</v>
          </cell>
          <cell r="L16">
            <v>1</v>
          </cell>
          <cell r="M16">
            <v>0</v>
          </cell>
        </row>
        <row r="17">
          <cell r="A17">
            <v>16</v>
          </cell>
          <cell r="B17">
            <v>1</v>
          </cell>
          <cell r="C17" t="str">
            <v>NA</v>
          </cell>
          <cell r="D17">
            <v>1</v>
          </cell>
          <cell r="E17">
            <v>0.1086</v>
          </cell>
          <cell r="F17">
            <v>2.7799999999999998E-2</v>
          </cell>
          <cell r="G17">
            <v>19.6535019200291</v>
          </cell>
          <cell r="H17">
            <v>14.561350445682899</v>
          </cell>
          <cell r="I17">
            <v>8.7584538521275093</v>
          </cell>
          <cell r="J17">
            <v>193142.54449116101</v>
          </cell>
          <cell r="K17">
            <v>115832.26142874701</v>
          </cell>
          <cell r="L17">
            <v>1</v>
          </cell>
          <cell r="M17">
            <v>0</v>
          </cell>
        </row>
        <row r="18">
          <cell r="A18">
            <v>17</v>
          </cell>
          <cell r="B18">
            <v>1</v>
          </cell>
          <cell r="C18" t="str">
            <v>NA</v>
          </cell>
          <cell r="D18">
            <v>1</v>
          </cell>
          <cell r="E18">
            <v>0.1628</v>
          </cell>
          <cell r="F18">
            <v>2.4500000000000001E-2</v>
          </cell>
          <cell r="G18">
            <v>19.457926038306599</v>
          </cell>
          <cell r="H18">
            <v>12.794225829515799</v>
          </cell>
          <cell r="I18">
            <v>7.5854791424451697</v>
          </cell>
          <cell r="J18">
            <v>188399.34731925401</v>
          </cell>
          <cell r="K18">
            <v>111278.669105062</v>
          </cell>
          <cell r="L18">
            <v>1</v>
          </cell>
          <cell r="M18">
            <v>0</v>
          </cell>
        </row>
        <row r="19">
          <cell r="A19">
            <v>18</v>
          </cell>
          <cell r="B19">
            <v>1</v>
          </cell>
          <cell r="C19" t="str">
            <v>NA</v>
          </cell>
          <cell r="D19">
            <v>1</v>
          </cell>
          <cell r="E19">
            <v>0.13769999999999999</v>
          </cell>
          <cell r="F19">
            <v>2.9499999999999998E-2</v>
          </cell>
          <cell r="G19">
            <v>18.388964355810199</v>
          </cell>
          <cell r="H19">
            <v>13.5306380700488</v>
          </cell>
          <cell r="I19">
            <v>8.1983679551063293</v>
          </cell>
          <cell r="J19">
            <v>182569.94218698301</v>
          </cell>
          <cell r="K19">
            <v>110852.18413244899</v>
          </cell>
          <cell r="L19">
            <v>1</v>
          </cell>
          <cell r="M19">
            <v>0</v>
          </cell>
        </row>
        <row r="20">
          <cell r="A20">
            <v>19</v>
          </cell>
          <cell r="B20">
            <v>1</v>
          </cell>
          <cell r="C20" t="str">
            <v>NA</v>
          </cell>
          <cell r="D20">
            <v>1</v>
          </cell>
          <cell r="E20">
            <v>0.13550000000000001</v>
          </cell>
          <cell r="F20">
            <v>2.5600000000000001E-2</v>
          </cell>
          <cell r="G20">
            <v>19.162604770372901</v>
          </cell>
          <cell r="H20">
            <v>14.697973588983301</v>
          </cell>
          <cell r="I20">
            <v>8.8292343251725107</v>
          </cell>
          <cell r="J20">
            <v>197528.38040465699</v>
          </cell>
          <cell r="K20">
            <v>118219.601616418</v>
          </cell>
          <cell r="L20">
            <v>1</v>
          </cell>
          <cell r="M20">
            <v>0</v>
          </cell>
        </row>
        <row r="21">
          <cell r="A21">
            <v>20</v>
          </cell>
          <cell r="B21">
            <v>1</v>
          </cell>
          <cell r="C21" t="str">
            <v>NA</v>
          </cell>
          <cell r="D21">
            <v>1</v>
          </cell>
          <cell r="E21">
            <v>0.2031</v>
          </cell>
          <cell r="F21">
            <v>2.92E-2</v>
          </cell>
          <cell r="G21">
            <v>18.070901310557801</v>
          </cell>
          <cell r="H21">
            <v>12.102720793775401</v>
          </cell>
          <cell r="I21">
            <v>7.2576047067592198</v>
          </cell>
          <cell r="J21">
            <v>171815.38340480201</v>
          </cell>
          <cell r="K21">
            <v>103232.105953166</v>
          </cell>
          <cell r="L21">
            <v>1</v>
          </cell>
          <cell r="M21">
            <v>0</v>
          </cell>
        </row>
        <row r="22">
          <cell r="A22">
            <v>21</v>
          </cell>
          <cell r="B22">
            <v>1</v>
          </cell>
          <cell r="C22" t="str">
            <v>NA</v>
          </cell>
          <cell r="D22">
            <v>1</v>
          </cell>
          <cell r="E22">
            <v>0.18709999999999999</v>
          </cell>
          <cell r="F22">
            <v>2.46E-2</v>
          </cell>
          <cell r="G22">
            <v>17.345560848786899</v>
          </cell>
          <cell r="H22">
            <v>12.6283255954341</v>
          </cell>
          <cell r="I22">
            <v>7.6582573849514297</v>
          </cell>
          <cell r="J22">
            <v>206076.265407753</v>
          </cell>
          <cell r="K22">
            <v>123897.513490927</v>
          </cell>
          <cell r="L22">
            <v>1</v>
          </cell>
          <cell r="M22">
            <v>0</v>
          </cell>
        </row>
        <row r="23">
          <cell r="A23">
            <v>22</v>
          </cell>
          <cell r="B23">
            <v>1</v>
          </cell>
          <cell r="C23" t="str">
            <v>NA</v>
          </cell>
          <cell r="D23">
            <v>1</v>
          </cell>
          <cell r="E23">
            <v>0.23849999999999999</v>
          </cell>
          <cell r="F23">
            <v>1.9400000000000001E-2</v>
          </cell>
          <cell r="G23">
            <v>16.640132874146701</v>
          </cell>
          <cell r="H23">
            <v>12.830019808772899</v>
          </cell>
          <cell r="I23">
            <v>7.7823406327587499</v>
          </cell>
          <cell r="J23">
            <v>212708.93963383799</v>
          </cell>
          <cell r="K23">
            <v>127767.640543919</v>
          </cell>
          <cell r="L23">
            <v>1</v>
          </cell>
          <cell r="M23">
            <v>0</v>
          </cell>
        </row>
        <row r="24">
          <cell r="A24">
            <v>23</v>
          </cell>
          <cell r="B24">
            <v>1</v>
          </cell>
          <cell r="C24" t="str">
            <v>NA</v>
          </cell>
          <cell r="D24">
            <v>1</v>
          </cell>
          <cell r="E24">
            <v>0.20019999999999999</v>
          </cell>
          <cell r="F24">
            <v>2.1499999999999998E-2</v>
          </cell>
          <cell r="G24">
            <v>17.438724825375001</v>
          </cell>
          <cell r="H24">
            <v>12.375133814770001</v>
          </cell>
          <cell r="I24">
            <v>7.4769533926870304</v>
          </cell>
          <cell r="J24">
            <v>191798.20968897399</v>
          </cell>
          <cell r="K24">
            <v>115295.699653068</v>
          </cell>
          <cell r="L24">
            <v>1</v>
          </cell>
          <cell r="M24">
            <v>0</v>
          </cell>
        </row>
        <row r="25">
          <cell r="A25">
            <v>24</v>
          </cell>
          <cell r="B25">
            <v>1</v>
          </cell>
          <cell r="C25" t="str">
            <v>NA</v>
          </cell>
          <cell r="D25">
            <v>1</v>
          </cell>
          <cell r="E25">
            <v>0.16789999999999999</v>
          </cell>
          <cell r="F25">
            <v>2.3400000000000001E-2</v>
          </cell>
          <cell r="G25">
            <v>17.9964943695961</v>
          </cell>
          <cell r="H25">
            <v>12.154892364121901</v>
          </cell>
          <cell r="I25">
            <v>7.3763508409798098</v>
          </cell>
          <cell r="J25">
            <v>255799.93936851999</v>
          </cell>
          <cell r="K25">
            <v>152290.59120916901</v>
          </cell>
          <cell r="L25">
            <v>1</v>
          </cell>
          <cell r="M25">
            <v>0</v>
          </cell>
        </row>
        <row r="26">
          <cell r="A26">
            <v>25</v>
          </cell>
          <cell r="B26">
            <v>1</v>
          </cell>
          <cell r="C26" t="str">
            <v>NA</v>
          </cell>
          <cell r="D26">
            <v>1</v>
          </cell>
          <cell r="E26">
            <v>0.1318</v>
          </cell>
          <cell r="F26">
            <v>2.2599999999999999E-2</v>
          </cell>
          <cell r="G26">
            <v>19.681395380177701</v>
          </cell>
          <cell r="H26">
            <v>15.7705835321701</v>
          </cell>
          <cell r="I26">
            <v>9.4351166363800498</v>
          </cell>
          <cell r="J26">
            <v>235004.81352252301</v>
          </cell>
          <cell r="K26">
            <v>138436.25904889801</v>
          </cell>
          <cell r="L26">
            <v>1</v>
          </cell>
          <cell r="M26">
            <v>0</v>
          </cell>
        </row>
        <row r="27">
          <cell r="A27">
            <v>26</v>
          </cell>
          <cell r="B27">
            <v>1</v>
          </cell>
          <cell r="C27" t="str">
            <v>NA</v>
          </cell>
          <cell r="D27">
            <v>1</v>
          </cell>
          <cell r="E27">
            <v>9.2499999999999999E-2</v>
          </cell>
          <cell r="F27">
            <v>3.1E-2</v>
          </cell>
          <cell r="G27">
            <v>20.274864292459601</v>
          </cell>
          <cell r="H27">
            <v>14.5791040864683</v>
          </cell>
          <cell r="I27">
            <v>8.7190333809987894</v>
          </cell>
          <cell r="J27">
            <v>256530.00870248201</v>
          </cell>
          <cell r="K27">
            <v>150167.388001769</v>
          </cell>
          <cell r="L27">
            <v>1</v>
          </cell>
          <cell r="M27">
            <v>0</v>
          </cell>
        </row>
        <row r="28">
          <cell r="A28">
            <v>27</v>
          </cell>
          <cell r="B28">
            <v>1</v>
          </cell>
          <cell r="C28" t="str">
            <v>NA</v>
          </cell>
          <cell r="D28">
            <v>1</v>
          </cell>
          <cell r="E28">
            <v>0.13109999999999999</v>
          </cell>
          <cell r="F28">
            <v>0.03</v>
          </cell>
          <cell r="G28">
            <v>18.717449916788102</v>
          </cell>
          <cell r="H28">
            <v>14.773915804297401</v>
          </cell>
          <cell r="I28">
            <v>8.9545027088740206</v>
          </cell>
          <cell r="J28">
            <v>141709.732784436</v>
          </cell>
          <cell r="K28">
            <v>87484.977713879096</v>
          </cell>
          <cell r="L28">
            <v>1</v>
          </cell>
          <cell r="M28">
            <v>0</v>
          </cell>
        </row>
        <row r="29">
          <cell r="A29">
            <v>28</v>
          </cell>
          <cell r="B29">
            <v>1</v>
          </cell>
          <cell r="C29" t="str">
            <v>NA</v>
          </cell>
          <cell r="D29">
            <v>1</v>
          </cell>
          <cell r="E29">
            <v>0.1196</v>
          </cell>
          <cell r="F29">
            <v>2.5100000000000001E-2</v>
          </cell>
          <cell r="G29">
            <v>19.569197193472998</v>
          </cell>
          <cell r="H29">
            <v>13.5819774897278</v>
          </cell>
          <cell r="I29">
            <v>8.1496124262087299</v>
          </cell>
          <cell r="J29">
            <v>199702.60942039499</v>
          </cell>
          <cell r="K29">
            <v>119060.252759788</v>
          </cell>
          <cell r="L29">
            <v>1</v>
          </cell>
          <cell r="M29">
            <v>0</v>
          </cell>
        </row>
        <row r="30">
          <cell r="A30">
            <v>29</v>
          </cell>
          <cell r="B30">
            <v>1</v>
          </cell>
          <cell r="C30" t="str">
            <v>NA</v>
          </cell>
          <cell r="D30">
            <v>1</v>
          </cell>
          <cell r="E30">
            <v>0.19600000000000001</v>
          </cell>
          <cell r="F30">
            <v>2.4500000000000001E-2</v>
          </cell>
          <cell r="G30">
            <v>18.587056728148301</v>
          </cell>
          <cell r="H30">
            <v>10.966066667846301</v>
          </cell>
          <cell r="I30">
            <v>6.5239554862304301</v>
          </cell>
          <cell r="J30">
            <v>172976.53680842801</v>
          </cell>
          <cell r="K30">
            <v>102909.429320152</v>
          </cell>
          <cell r="L30">
            <v>1</v>
          </cell>
          <cell r="M30">
            <v>0</v>
          </cell>
        </row>
        <row r="31">
          <cell r="A31">
            <v>30</v>
          </cell>
          <cell r="B31">
            <v>1</v>
          </cell>
          <cell r="C31" t="str">
            <v>NA</v>
          </cell>
          <cell r="D31">
            <v>1</v>
          </cell>
          <cell r="E31">
            <v>0.14910000000000001</v>
          </cell>
          <cell r="F31">
            <v>2.2700000000000001E-2</v>
          </cell>
          <cell r="G31">
            <v>18.481398007894299</v>
          </cell>
          <cell r="H31">
            <v>13.3949583909264</v>
          </cell>
          <cell r="I31">
            <v>8.0957788210166601</v>
          </cell>
          <cell r="J31">
            <v>188413.53743660601</v>
          </cell>
          <cell r="K31">
            <v>113758.489887813</v>
          </cell>
          <cell r="L31">
            <v>1</v>
          </cell>
          <cell r="M31">
            <v>0</v>
          </cell>
        </row>
        <row r="32">
          <cell r="A32">
            <v>31</v>
          </cell>
          <cell r="B32">
            <v>1</v>
          </cell>
          <cell r="C32" t="str">
            <v>NA</v>
          </cell>
          <cell r="D32">
            <v>1</v>
          </cell>
          <cell r="E32">
            <v>0.1076</v>
          </cell>
          <cell r="F32">
            <v>2.4899999999999999E-2</v>
          </cell>
          <cell r="G32">
            <v>19.1920464209161</v>
          </cell>
          <cell r="H32">
            <v>14.7645254209045</v>
          </cell>
          <cell r="I32">
            <v>8.9432119237354701</v>
          </cell>
          <cell r="J32">
            <v>238320.93917981</v>
          </cell>
          <cell r="K32">
            <v>142310.81726932101</v>
          </cell>
          <cell r="L32">
            <v>1</v>
          </cell>
          <cell r="M32">
            <v>0</v>
          </cell>
        </row>
        <row r="33">
          <cell r="A33">
            <v>32</v>
          </cell>
          <cell r="B33">
            <v>1</v>
          </cell>
          <cell r="C33" t="str">
            <v>NA</v>
          </cell>
          <cell r="D33">
            <v>1</v>
          </cell>
          <cell r="E33">
            <v>0.20760000000000001</v>
          </cell>
          <cell r="F33">
            <v>2.4299999999999999E-2</v>
          </cell>
          <cell r="G33">
            <v>18.990001840609601</v>
          </cell>
          <cell r="H33">
            <v>11.476073950702601</v>
          </cell>
          <cell r="I33">
            <v>6.7738380115680101</v>
          </cell>
          <cell r="J33">
            <v>180046.528556901</v>
          </cell>
          <cell r="K33">
            <v>105825.394316843</v>
          </cell>
          <cell r="L33">
            <v>1</v>
          </cell>
          <cell r="M33">
            <v>0</v>
          </cell>
        </row>
        <row r="34">
          <cell r="A34">
            <v>33</v>
          </cell>
          <cell r="B34">
            <v>1</v>
          </cell>
          <cell r="C34" t="str">
            <v>NA</v>
          </cell>
          <cell r="D34">
            <v>1</v>
          </cell>
          <cell r="E34">
            <v>0.1628</v>
          </cell>
          <cell r="F34">
            <v>2.2200000000000001E-2</v>
          </cell>
          <cell r="G34">
            <v>20.705904675347199</v>
          </cell>
          <cell r="H34">
            <v>15.333677384944</v>
          </cell>
          <cell r="I34">
            <v>8.9617455051268209</v>
          </cell>
          <cell r="J34">
            <v>187769.73230494099</v>
          </cell>
          <cell r="K34">
            <v>108991.677372506</v>
          </cell>
          <cell r="L34">
            <v>1</v>
          </cell>
          <cell r="M34">
            <v>0</v>
          </cell>
        </row>
        <row r="35">
          <cell r="A35">
            <v>34</v>
          </cell>
          <cell r="B35">
            <v>1</v>
          </cell>
          <cell r="C35" t="str">
            <v>NA</v>
          </cell>
          <cell r="D35">
            <v>1</v>
          </cell>
          <cell r="E35">
            <v>0.11940000000000001</v>
          </cell>
          <cell r="F35">
            <v>2.75E-2</v>
          </cell>
          <cell r="G35">
            <v>19.7379718052599</v>
          </cell>
          <cell r="H35">
            <v>15.247484815113101</v>
          </cell>
          <cell r="I35">
            <v>9.1365077177090495</v>
          </cell>
          <cell r="J35">
            <v>272443.75207394001</v>
          </cell>
          <cell r="K35">
            <v>159627.59610242199</v>
          </cell>
          <cell r="L35">
            <v>1</v>
          </cell>
          <cell r="M35">
            <v>0</v>
          </cell>
        </row>
        <row r="36">
          <cell r="A36">
            <v>35</v>
          </cell>
          <cell r="B36">
            <v>1</v>
          </cell>
          <cell r="C36" t="str">
            <v>NA</v>
          </cell>
          <cell r="D36">
            <v>1</v>
          </cell>
          <cell r="E36">
            <v>0.1515</v>
          </cell>
          <cell r="F36">
            <v>2.4199999999999999E-2</v>
          </cell>
          <cell r="G36">
            <v>20.960137479073499</v>
          </cell>
          <cell r="H36">
            <v>15.778246302314001</v>
          </cell>
          <cell r="I36">
            <v>9.2060079188694992</v>
          </cell>
          <cell r="J36">
            <v>181345.03314237201</v>
          </cell>
          <cell r="K36">
            <v>105153.200933562</v>
          </cell>
          <cell r="L36">
            <v>1</v>
          </cell>
          <cell r="M36">
            <v>0</v>
          </cell>
        </row>
        <row r="37">
          <cell r="A37">
            <v>36</v>
          </cell>
          <cell r="B37">
            <v>1</v>
          </cell>
          <cell r="C37" t="str">
            <v>NA</v>
          </cell>
          <cell r="D37">
            <v>1</v>
          </cell>
          <cell r="E37">
            <v>0.12529999999999999</v>
          </cell>
          <cell r="F37">
            <v>2.6599999999999999E-2</v>
          </cell>
          <cell r="G37">
            <v>20.5681420093686</v>
          </cell>
          <cell r="H37">
            <v>14.786739685439001</v>
          </cell>
          <cell r="I37">
            <v>8.7442393846439099</v>
          </cell>
          <cell r="J37">
            <v>236944.40811600501</v>
          </cell>
          <cell r="K37">
            <v>137529.73375165899</v>
          </cell>
          <cell r="L37">
            <v>1</v>
          </cell>
          <cell r="M37">
            <v>0</v>
          </cell>
        </row>
        <row r="38">
          <cell r="A38">
            <v>37</v>
          </cell>
          <cell r="B38">
            <v>1</v>
          </cell>
          <cell r="C38" t="str">
            <v>NA</v>
          </cell>
          <cell r="D38">
            <v>1</v>
          </cell>
          <cell r="E38">
            <v>0.13020000000000001</v>
          </cell>
          <cell r="F38">
            <v>2.1100000000000001E-2</v>
          </cell>
          <cell r="G38">
            <v>21.3164863189625</v>
          </cell>
          <cell r="H38">
            <v>16.549829848613602</v>
          </cell>
          <cell r="I38">
            <v>9.68334033147298</v>
          </cell>
          <cell r="J38">
            <v>237811.494629692</v>
          </cell>
          <cell r="K38">
            <v>136043.60720037401</v>
          </cell>
          <cell r="L38">
            <v>1</v>
          </cell>
          <cell r="M38">
            <v>0</v>
          </cell>
        </row>
        <row r="39">
          <cell r="A39">
            <v>38</v>
          </cell>
          <cell r="B39">
            <v>1</v>
          </cell>
          <cell r="C39" t="str">
            <v>NA</v>
          </cell>
          <cell r="D39">
            <v>1</v>
          </cell>
          <cell r="E39">
            <v>0.1231</v>
          </cell>
          <cell r="F39">
            <v>2.6200000000000001E-2</v>
          </cell>
          <cell r="G39">
            <v>19.3268448332567</v>
          </cell>
          <cell r="H39">
            <v>13.778689344093801</v>
          </cell>
          <cell r="I39">
            <v>8.2979360553007595</v>
          </cell>
          <cell r="J39">
            <v>237995.414522993</v>
          </cell>
          <cell r="K39">
            <v>141136.180941642</v>
          </cell>
          <cell r="L39">
            <v>1</v>
          </cell>
          <cell r="M39">
            <v>0</v>
          </cell>
        </row>
        <row r="40">
          <cell r="A40">
            <v>39</v>
          </cell>
          <cell r="B40">
            <v>1</v>
          </cell>
          <cell r="C40" t="str">
            <v>NA</v>
          </cell>
          <cell r="D40">
            <v>1</v>
          </cell>
          <cell r="E40">
            <v>0.11609999999999999</v>
          </cell>
          <cell r="F40">
            <v>2.18E-2</v>
          </cell>
          <cell r="G40">
            <v>18.155064881270398</v>
          </cell>
          <cell r="H40">
            <v>11.3529861539467</v>
          </cell>
          <cell r="I40">
            <v>6.9745972356947803</v>
          </cell>
          <cell r="J40">
            <v>174197.200805081</v>
          </cell>
          <cell r="K40">
            <v>107820.21306251999</v>
          </cell>
          <cell r="L40">
            <v>1</v>
          </cell>
          <cell r="M40">
            <v>0</v>
          </cell>
        </row>
        <row r="41">
          <cell r="A41">
            <v>40</v>
          </cell>
          <cell r="B41">
            <v>1</v>
          </cell>
          <cell r="C41" t="str">
            <v>NA</v>
          </cell>
          <cell r="D41">
            <v>1</v>
          </cell>
          <cell r="E41">
            <v>0.16719999999999999</v>
          </cell>
          <cell r="F41">
            <v>2.18E-2</v>
          </cell>
          <cell r="G41">
            <v>19.575659538365599</v>
          </cell>
          <cell r="H41">
            <v>14.4287975676116</v>
          </cell>
          <cell r="I41">
            <v>8.54193415926078</v>
          </cell>
          <cell r="J41">
            <v>324223.67585454002</v>
          </cell>
          <cell r="K41">
            <v>185494.75916565201</v>
          </cell>
          <cell r="L41">
            <v>1</v>
          </cell>
          <cell r="M41">
            <v>0</v>
          </cell>
        </row>
        <row r="42">
          <cell r="A42">
            <v>41</v>
          </cell>
          <cell r="B42">
            <v>1</v>
          </cell>
          <cell r="C42" t="str">
            <v>NA</v>
          </cell>
          <cell r="D42">
            <v>1</v>
          </cell>
          <cell r="E42">
            <v>0.13109999999999999</v>
          </cell>
          <cell r="F42">
            <v>2.5499999999999998E-2</v>
          </cell>
          <cell r="G42">
            <v>19.836680290461899</v>
          </cell>
          <cell r="H42">
            <v>13.216041523832899</v>
          </cell>
          <cell r="I42">
            <v>7.89681404982188</v>
          </cell>
          <cell r="J42">
            <v>155323.38216864201</v>
          </cell>
          <cell r="K42">
            <v>93992.942893219195</v>
          </cell>
          <cell r="L42">
            <v>1</v>
          </cell>
          <cell r="M42">
            <v>0</v>
          </cell>
        </row>
        <row r="43">
          <cell r="A43">
            <v>42</v>
          </cell>
          <cell r="B43">
            <v>1</v>
          </cell>
          <cell r="C43" t="str">
            <v>NA</v>
          </cell>
          <cell r="D43">
            <v>1</v>
          </cell>
          <cell r="E43">
            <v>0.1832</v>
          </cell>
          <cell r="F43">
            <v>2.0899999999999998E-2</v>
          </cell>
          <cell r="G43">
            <v>18.7874685795523</v>
          </cell>
          <cell r="H43">
            <v>13.3595206440487</v>
          </cell>
          <cell r="I43">
            <v>7.9806961467578201</v>
          </cell>
          <cell r="J43">
            <v>160101.79175797201</v>
          </cell>
          <cell r="K43">
            <v>96089.108303046902</v>
          </cell>
          <cell r="L43">
            <v>1</v>
          </cell>
          <cell r="M43">
            <v>0</v>
          </cell>
        </row>
        <row r="44">
          <cell r="A44">
            <v>43</v>
          </cell>
          <cell r="B44">
            <v>1</v>
          </cell>
          <cell r="C44" t="str">
            <v>NA</v>
          </cell>
          <cell r="D44">
            <v>1</v>
          </cell>
          <cell r="E44">
            <v>0.1066</v>
          </cell>
          <cell r="F44">
            <v>2.7799999999999998E-2</v>
          </cell>
          <cell r="G44">
            <v>20.3059811667421</v>
          </cell>
          <cell r="H44">
            <v>14.0718968190333</v>
          </cell>
          <cell r="I44">
            <v>8.3755578331902107</v>
          </cell>
          <cell r="J44">
            <v>262420.94445351302</v>
          </cell>
          <cell r="K44">
            <v>152693.90301164601</v>
          </cell>
          <cell r="L44">
            <v>1</v>
          </cell>
          <cell r="M44">
            <v>0</v>
          </cell>
        </row>
        <row r="45">
          <cell r="A45">
            <v>44</v>
          </cell>
          <cell r="B45">
            <v>1</v>
          </cell>
          <cell r="C45" t="str">
            <v>NA</v>
          </cell>
          <cell r="D45">
            <v>1</v>
          </cell>
          <cell r="E45">
            <v>0.155</v>
          </cell>
          <cell r="F45">
            <v>2.24E-2</v>
          </cell>
          <cell r="G45">
            <v>19.3341906914461</v>
          </cell>
          <cell r="H45">
            <v>14.037598759246601</v>
          </cell>
          <cell r="I45">
            <v>8.3839124238170406</v>
          </cell>
          <cell r="J45">
            <v>164908.48084969699</v>
          </cell>
          <cell r="K45">
            <v>98932.850087106606</v>
          </cell>
          <cell r="L45">
            <v>1</v>
          </cell>
          <cell r="M45">
            <v>0</v>
          </cell>
        </row>
        <row r="46">
          <cell r="A46">
            <v>45</v>
          </cell>
          <cell r="B46">
            <v>1</v>
          </cell>
          <cell r="C46" t="str">
            <v>NA</v>
          </cell>
          <cell r="D46">
            <v>1</v>
          </cell>
          <cell r="E46">
            <v>9.9400000000000002E-2</v>
          </cell>
          <cell r="F46">
            <v>2.8799999999999999E-2</v>
          </cell>
          <cell r="G46">
            <v>19.834051295541201</v>
          </cell>
          <cell r="H46">
            <v>14.022824968128701</v>
          </cell>
          <cell r="I46">
            <v>8.4209899854998493</v>
          </cell>
          <cell r="J46">
            <v>197093.386023928</v>
          </cell>
          <cell r="K46">
            <v>117968.488127965</v>
          </cell>
          <cell r="L46">
            <v>1</v>
          </cell>
          <cell r="M46">
            <v>0</v>
          </cell>
        </row>
        <row r="47">
          <cell r="A47">
            <v>46</v>
          </cell>
          <cell r="B47">
            <v>1</v>
          </cell>
          <cell r="C47" t="str">
            <v>NA</v>
          </cell>
          <cell r="D47">
            <v>1</v>
          </cell>
          <cell r="E47">
            <v>0.1234</v>
          </cell>
          <cell r="F47">
            <v>2.7099999999999999E-2</v>
          </cell>
          <cell r="G47">
            <v>17.809277888924601</v>
          </cell>
          <cell r="H47">
            <v>13.9474436821517</v>
          </cell>
          <cell r="I47">
            <v>8.5566822891697498</v>
          </cell>
          <cell r="J47">
            <v>187223.94518541099</v>
          </cell>
          <cell r="K47">
            <v>114977.601054623</v>
          </cell>
          <cell r="L47">
            <v>1</v>
          </cell>
          <cell r="M47">
            <v>0</v>
          </cell>
        </row>
        <row r="48">
          <cell r="A48">
            <v>47</v>
          </cell>
          <cell r="B48">
            <v>1</v>
          </cell>
          <cell r="C48" t="str">
            <v>NA</v>
          </cell>
          <cell r="D48">
            <v>1</v>
          </cell>
          <cell r="E48">
            <v>0.1535</v>
          </cell>
          <cell r="F48">
            <v>2.6800000000000001E-2</v>
          </cell>
          <cell r="G48">
            <v>19.3138899264762</v>
          </cell>
          <cell r="H48">
            <v>14.701344556963299</v>
          </cell>
          <cell r="I48">
            <v>8.7673056578645294</v>
          </cell>
          <cell r="J48">
            <v>228212.867036023</v>
          </cell>
          <cell r="K48">
            <v>133822.78231513099</v>
          </cell>
          <cell r="L48">
            <v>1</v>
          </cell>
          <cell r="M48">
            <v>0</v>
          </cell>
        </row>
        <row r="49">
          <cell r="A49">
            <v>48</v>
          </cell>
          <cell r="B49">
            <v>1</v>
          </cell>
          <cell r="C49" t="str">
            <v>NA</v>
          </cell>
          <cell r="D49">
            <v>1</v>
          </cell>
          <cell r="E49">
            <v>0.11</v>
          </cell>
          <cell r="F49">
            <v>2.8500000000000001E-2</v>
          </cell>
          <cell r="G49">
            <v>19.942786411345399</v>
          </cell>
          <cell r="H49">
            <v>16.4855902906205</v>
          </cell>
          <cell r="I49">
            <v>9.8545545766416094</v>
          </cell>
          <cell r="J49">
            <v>217958.5020721</v>
          </cell>
          <cell r="K49">
            <v>128996.860437608</v>
          </cell>
          <cell r="L49">
            <v>1</v>
          </cell>
          <cell r="M49">
            <v>0</v>
          </cell>
        </row>
        <row r="50">
          <cell r="A50">
            <v>49</v>
          </cell>
          <cell r="B50">
            <v>1</v>
          </cell>
          <cell r="C50" t="str">
            <v>NA</v>
          </cell>
          <cell r="D50">
            <v>1</v>
          </cell>
          <cell r="E50">
            <v>0.15770000000000001</v>
          </cell>
          <cell r="F50">
            <v>2.7300000000000001E-2</v>
          </cell>
          <cell r="G50">
            <v>17.457577351680801</v>
          </cell>
          <cell r="H50">
            <v>12.6921842473079</v>
          </cell>
          <cell r="I50">
            <v>7.7643601115549297</v>
          </cell>
          <cell r="J50">
            <v>146899.67689785</v>
          </cell>
          <cell r="K50">
            <v>91444.837881444793</v>
          </cell>
          <cell r="L50">
            <v>1</v>
          </cell>
          <cell r="M50">
            <v>0</v>
          </cell>
        </row>
        <row r="51">
          <cell r="A51">
            <v>50</v>
          </cell>
          <cell r="B51">
            <v>1</v>
          </cell>
          <cell r="C51" t="str">
            <v>NA</v>
          </cell>
          <cell r="D51">
            <v>1</v>
          </cell>
          <cell r="E51">
            <v>8.9300000000000004E-2</v>
          </cell>
          <cell r="F51">
            <v>2.8299999999999999E-2</v>
          </cell>
          <cell r="G51">
            <v>20.342894368048299</v>
          </cell>
          <cell r="H51">
            <v>14.966722888608899</v>
          </cell>
          <cell r="I51">
            <v>8.9297618737587996</v>
          </cell>
          <cell r="J51">
            <v>193501.489055479</v>
          </cell>
          <cell r="K51">
            <v>114850.10560626601</v>
          </cell>
          <cell r="L51">
            <v>1</v>
          </cell>
          <cell r="M51">
            <v>0</v>
          </cell>
        </row>
        <row r="52">
          <cell r="A52">
            <v>51</v>
          </cell>
          <cell r="B52">
            <v>1</v>
          </cell>
          <cell r="C52" t="str">
            <v>NA</v>
          </cell>
          <cell r="D52">
            <v>1</v>
          </cell>
          <cell r="E52">
            <v>0.1447</v>
          </cell>
          <cell r="F52">
            <v>2.5999999999999999E-2</v>
          </cell>
          <cell r="G52">
            <v>19.863149595001399</v>
          </cell>
          <cell r="H52">
            <v>13.395727124342599</v>
          </cell>
          <cell r="I52">
            <v>7.9361925737931598</v>
          </cell>
          <cell r="J52">
            <v>185726.79683301601</v>
          </cell>
          <cell r="K52">
            <v>109581.60977471199</v>
          </cell>
          <cell r="L52">
            <v>1</v>
          </cell>
          <cell r="M52">
            <v>0</v>
          </cell>
        </row>
        <row r="53">
          <cell r="A53">
            <v>52</v>
          </cell>
          <cell r="B53">
            <v>1</v>
          </cell>
          <cell r="C53" t="str">
            <v>NA</v>
          </cell>
          <cell r="D53">
            <v>1</v>
          </cell>
          <cell r="E53">
            <v>9.11E-2</v>
          </cell>
          <cell r="F53">
            <v>2.76E-2</v>
          </cell>
          <cell r="G53">
            <v>18.044597252496001</v>
          </cell>
          <cell r="H53">
            <v>12.9997589673488</v>
          </cell>
          <cell r="I53">
            <v>8.0208394272369503</v>
          </cell>
          <cell r="J53">
            <v>198423.00746613901</v>
          </cell>
          <cell r="K53">
            <v>122401.76465669301</v>
          </cell>
          <cell r="L53">
            <v>1</v>
          </cell>
          <cell r="M53">
            <v>0</v>
          </cell>
        </row>
        <row r="54">
          <cell r="A54">
            <v>53</v>
          </cell>
          <cell r="B54">
            <v>1</v>
          </cell>
          <cell r="C54" t="str">
            <v>NA</v>
          </cell>
          <cell r="D54">
            <v>1</v>
          </cell>
          <cell r="E54">
            <v>0.14410000000000001</v>
          </cell>
          <cell r="F54">
            <v>3.1300000000000001E-2</v>
          </cell>
          <cell r="G54">
            <v>19.887821339314399</v>
          </cell>
          <cell r="H54">
            <v>15.693297867925301</v>
          </cell>
          <cell r="I54">
            <v>9.3004894799434208</v>
          </cell>
          <cell r="J54">
            <v>231789.986117814</v>
          </cell>
          <cell r="K54">
            <v>134814.61696128501</v>
          </cell>
          <cell r="L54">
            <v>1</v>
          </cell>
          <cell r="M54">
            <v>0</v>
          </cell>
        </row>
        <row r="55">
          <cell r="A55">
            <v>54</v>
          </cell>
          <cell r="B55">
            <v>1</v>
          </cell>
          <cell r="C55" t="str">
            <v>NA</v>
          </cell>
          <cell r="D55">
            <v>1</v>
          </cell>
          <cell r="E55">
            <v>0.188</v>
          </cell>
          <cell r="F55">
            <v>2.41E-2</v>
          </cell>
          <cell r="G55">
            <v>18.2749312598873</v>
          </cell>
          <cell r="H55">
            <v>12.2515248892259</v>
          </cell>
          <cell r="I55">
            <v>7.3560679183164801</v>
          </cell>
          <cell r="J55">
            <v>150482.53778497101</v>
          </cell>
          <cell r="K55">
            <v>91438.807178416202</v>
          </cell>
          <cell r="L55">
            <v>1</v>
          </cell>
          <cell r="M55">
            <v>0</v>
          </cell>
        </row>
        <row r="56">
          <cell r="A56">
            <v>55</v>
          </cell>
          <cell r="B56">
            <v>1</v>
          </cell>
          <cell r="C56" t="str">
            <v>NA</v>
          </cell>
          <cell r="D56">
            <v>1</v>
          </cell>
          <cell r="E56">
            <v>9.4600000000000004E-2</v>
          </cell>
          <cell r="F56">
            <v>2.6599999999999999E-2</v>
          </cell>
          <cell r="G56">
            <v>18.8577904401259</v>
          </cell>
          <cell r="H56">
            <v>14.008113949184899</v>
          </cell>
          <cell r="I56">
            <v>8.5544768270666207</v>
          </cell>
          <cell r="J56">
            <v>274556.05697510502</v>
          </cell>
          <cell r="K56">
            <v>164328.42604852101</v>
          </cell>
          <cell r="L56">
            <v>1</v>
          </cell>
          <cell r="M56">
            <v>0</v>
          </cell>
        </row>
        <row r="57">
          <cell r="A57">
            <v>56</v>
          </cell>
          <cell r="B57">
            <v>1</v>
          </cell>
          <cell r="C57" t="str">
            <v>NA</v>
          </cell>
          <cell r="D57">
            <v>1</v>
          </cell>
          <cell r="E57">
            <v>9.2799999999999994E-2</v>
          </cell>
          <cell r="F57">
            <v>2.8000000000000001E-2</v>
          </cell>
          <cell r="G57">
            <v>17.5236211943988</v>
          </cell>
          <cell r="H57">
            <v>12.5601161901516</v>
          </cell>
          <cell r="I57">
            <v>7.7944105324350703</v>
          </cell>
          <cell r="J57">
            <v>173942.880341743</v>
          </cell>
          <cell r="K57">
            <v>108526.184160415</v>
          </cell>
          <cell r="L57">
            <v>1</v>
          </cell>
          <cell r="M57">
            <v>0</v>
          </cell>
        </row>
        <row r="58">
          <cell r="A58">
            <v>57</v>
          </cell>
          <cell r="B58">
            <v>1</v>
          </cell>
          <cell r="C58" t="str">
            <v>NA</v>
          </cell>
          <cell r="D58">
            <v>1</v>
          </cell>
          <cell r="E58">
            <v>0.1681</v>
          </cell>
          <cell r="F58">
            <v>2.5700000000000001E-2</v>
          </cell>
          <cell r="G58">
            <v>18.668041618337501</v>
          </cell>
          <cell r="H58">
            <v>12.9702095176767</v>
          </cell>
          <cell r="I58">
            <v>7.7759285217584901</v>
          </cell>
          <cell r="J58">
            <v>186584.37881942201</v>
          </cell>
          <cell r="K58">
            <v>111384.80967674901</v>
          </cell>
          <cell r="L58">
            <v>1</v>
          </cell>
          <cell r="M58">
            <v>0</v>
          </cell>
        </row>
        <row r="59">
          <cell r="A59">
            <v>58</v>
          </cell>
          <cell r="B59">
            <v>1</v>
          </cell>
          <cell r="C59" t="str">
            <v>NA</v>
          </cell>
          <cell r="D59">
            <v>1</v>
          </cell>
          <cell r="E59">
            <v>0.13300000000000001</v>
          </cell>
          <cell r="F59">
            <v>2.3099999999999999E-2</v>
          </cell>
          <cell r="G59">
            <v>18.717323478540301</v>
          </cell>
          <cell r="H59">
            <v>12.6378736821049</v>
          </cell>
          <cell r="I59">
            <v>7.6428586703914503</v>
          </cell>
          <cell r="J59">
            <v>165780.28041255099</v>
          </cell>
          <cell r="K59">
            <v>101118.58205086501</v>
          </cell>
          <cell r="L59">
            <v>1</v>
          </cell>
          <cell r="M59">
            <v>0</v>
          </cell>
        </row>
        <row r="60">
          <cell r="A60">
            <v>59</v>
          </cell>
          <cell r="B60">
            <v>1</v>
          </cell>
          <cell r="C60" t="str">
            <v>NA</v>
          </cell>
          <cell r="D60">
            <v>1</v>
          </cell>
          <cell r="E60">
            <v>0.14080000000000001</v>
          </cell>
          <cell r="F60">
            <v>2.47E-2</v>
          </cell>
          <cell r="G60">
            <v>17.919865720583399</v>
          </cell>
          <cell r="H60">
            <v>14.671343608985801</v>
          </cell>
          <cell r="I60">
            <v>8.9826976394199605</v>
          </cell>
          <cell r="J60">
            <v>164162.36078399699</v>
          </cell>
          <cell r="K60">
            <v>101472.073747756</v>
          </cell>
          <cell r="L60">
            <v>1</v>
          </cell>
          <cell r="M60">
            <v>0</v>
          </cell>
        </row>
        <row r="61">
          <cell r="A61">
            <v>60</v>
          </cell>
          <cell r="B61">
            <v>1</v>
          </cell>
          <cell r="C61" t="str">
            <v>NA</v>
          </cell>
          <cell r="D61">
            <v>1</v>
          </cell>
          <cell r="E61">
            <v>0.15229999999999999</v>
          </cell>
          <cell r="F61">
            <v>2.47E-2</v>
          </cell>
          <cell r="G61">
            <v>18.505948903367401</v>
          </cell>
          <cell r="H61">
            <v>14.010816115895601</v>
          </cell>
          <cell r="I61">
            <v>8.4801844124634105</v>
          </cell>
          <cell r="J61">
            <v>200783.322086264</v>
          </cell>
          <cell r="K61">
            <v>120719.926276187</v>
          </cell>
          <cell r="L61">
            <v>1</v>
          </cell>
          <cell r="M61">
            <v>0</v>
          </cell>
        </row>
        <row r="62">
          <cell r="A62">
            <v>61</v>
          </cell>
          <cell r="B62">
            <v>1</v>
          </cell>
          <cell r="C62" t="str">
            <v>NA</v>
          </cell>
          <cell r="D62">
            <v>1</v>
          </cell>
          <cell r="E62">
            <v>0.15759999999999999</v>
          </cell>
          <cell r="F62">
            <v>2.8000000000000001E-2</v>
          </cell>
          <cell r="G62">
            <v>18.5222138871213</v>
          </cell>
          <cell r="H62">
            <v>13.7309370097634</v>
          </cell>
          <cell r="I62">
            <v>8.29992388510456</v>
          </cell>
          <cell r="J62">
            <v>221105.47428021699</v>
          </cell>
          <cell r="K62">
            <v>132051.12860153199</v>
          </cell>
          <cell r="L62">
            <v>1</v>
          </cell>
          <cell r="M62">
            <v>0</v>
          </cell>
        </row>
        <row r="63">
          <cell r="A63">
            <v>62</v>
          </cell>
          <cell r="B63">
            <v>1</v>
          </cell>
          <cell r="C63" t="str">
            <v>NA</v>
          </cell>
          <cell r="D63">
            <v>1</v>
          </cell>
          <cell r="E63">
            <v>0.23230000000000001</v>
          </cell>
          <cell r="F63">
            <v>2.2200000000000001E-2</v>
          </cell>
          <cell r="G63">
            <v>17.269362318869799</v>
          </cell>
          <cell r="H63">
            <v>12.646977288594201</v>
          </cell>
          <cell r="I63">
            <v>7.5920458215604496</v>
          </cell>
          <cell r="J63">
            <v>230602.20677721099</v>
          </cell>
          <cell r="K63">
            <v>136164.84728652099</v>
          </cell>
          <cell r="L63">
            <v>1</v>
          </cell>
          <cell r="M63">
            <v>0</v>
          </cell>
        </row>
        <row r="64">
          <cell r="A64">
            <v>63</v>
          </cell>
          <cell r="B64">
            <v>1</v>
          </cell>
          <cell r="C64" t="str">
            <v>NA</v>
          </cell>
          <cell r="D64">
            <v>1</v>
          </cell>
          <cell r="E64">
            <v>0.15840000000000001</v>
          </cell>
          <cell r="F64">
            <v>2.5899999999999999E-2</v>
          </cell>
          <cell r="G64">
            <v>17.464980631590901</v>
          </cell>
          <cell r="H64">
            <v>12.1048923718862</v>
          </cell>
          <cell r="I64">
            <v>7.4237207274116201</v>
          </cell>
          <cell r="J64">
            <v>167435.643806373</v>
          </cell>
          <cell r="K64">
            <v>103555.128259982</v>
          </cell>
          <cell r="L64">
            <v>1</v>
          </cell>
          <cell r="M64">
            <v>0</v>
          </cell>
        </row>
        <row r="65">
          <cell r="A65">
            <v>64</v>
          </cell>
          <cell r="B65">
            <v>1</v>
          </cell>
          <cell r="C65" t="str">
            <v>NA</v>
          </cell>
          <cell r="D65">
            <v>1</v>
          </cell>
          <cell r="E65">
            <v>0.20660000000000001</v>
          </cell>
          <cell r="F65">
            <v>2.3199999999999998E-2</v>
          </cell>
          <cell r="G65">
            <v>18.747696419095799</v>
          </cell>
          <cell r="H65">
            <v>12.641340787294901</v>
          </cell>
          <cell r="I65">
            <v>7.4871637875051897</v>
          </cell>
          <cell r="J65">
            <v>273897.35566184699</v>
          </cell>
          <cell r="K65">
            <v>157484.04138569799</v>
          </cell>
          <cell r="L65">
            <v>1</v>
          </cell>
          <cell r="M65">
            <v>0</v>
          </cell>
        </row>
        <row r="66">
          <cell r="A66">
            <v>65</v>
          </cell>
          <cell r="B66">
            <v>1</v>
          </cell>
          <cell r="C66" t="str">
            <v>NA</v>
          </cell>
          <cell r="D66">
            <v>1</v>
          </cell>
          <cell r="E66">
            <v>0.12989999999999999</v>
          </cell>
          <cell r="F66">
            <v>2.12E-2</v>
          </cell>
          <cell r="G66">
            <v>21.298324736003199</v>
          </cell>
          <cell r="H66">
            <v>16.789621497978501</v>
          </cell>
          <cell r="I66">
            <v>9.8023792363202507</v>
          </cell>
          <cell r="J66">
            <v>264128.01117937698</v>
          </cell>
          <cell r="K66">
            <v>150111.47479855301</v>
          </cell>
          <cell r="L66">
            <v>1</v>
          </cell>
          <cell r="M66">
            <v>0</v>
          </cell>
        </row>
        <row r="67">
          <cell r="A67">
            <v>66</v>
          </cell>
          <cell r="B67">
            <v>1</v>
          </cell>
          <cell r="C67" t="str">
            <v>NA</v>
          </cell>
          <cell r="D67">
            <v>1</v>
          </cell>
          <cell r="E67">
            <v>0.12939999999999999</v>
          </cell>
          <cell r="F67">
            <v>2.1899999999999999E-2</v>
          </cell>
          <cell r="G67">
            <v>18.9021110960757</v>
          </cell>
          <cell r="H67">
            <v>11.9878656062702</v>
          </cell>
          <cell r="I67">
            <v>7.2649286079406501</v>
          </cell>
          <cell r="J67">
            <v>270561.38937451399</v>
          </cell>
          <cell r="K67">
            <v>160432.62720479001</v>
          </cell>
          <cell r="L67">
            <v>1</v>
          </cell>
          <cell r="M67">
            <v>0</v>
          </cell>
        </row>
        <row r="68">
          <cell r="A68">
            <v>67</v>
          </cell>
          <cell r="B68">
            <v>1</v>
          </cell>
          <cell r="C68" t="str">
            <v>NA</v>
          </cell>
          <cell r="D68">
            <v>1</v>
          </cell>
          <cell r="E68">
            <v>0.17100000000000001</v>
          </cell>
          <cell r="F68">
            <v>2.4199999999999999E-2</v>
          </cell>
          <cell r="G68">
            <v>17.978389258817799</v>
          </cell>
          <cell r="H68">
            <v>13.2915445799576</v>
          </cell>
          <cell r="I68">
            <v>8.0842495013378493</v>
          </cell>
          <cell r="J68">
            <v>195496.63257405299</v>
          </cell>
          <cell r="K68">
            <v>118346.487840699</v>
          </cell>
          <cell r="L68">
            <v>1</v>
          </cell>
          <cell r="M68">
            <v>0</v>
          </cell>
        </row>
        <row r="69">
          <cell r="A69">
            <v>68</v>
          </cell>
          <cell r="B69">
            <v>1</v>
          </cell>
          <cell r="C69" t="str">
            <v>NA</v>
          </cell>
          <cell r="D69">
            <v>1</v>
          </cell>
          <cell r="E69">
            <v>0.15329999999999999</v>
          </cell>
          <cell r="F69">
            <v>2.4899999999999999E-2</v>
          </cell>
          <cell r="G69">
            <v>19.8762298987427</v>
          </cell>
          <cell r="H69">
            <v>14.8526541726632</v>
          </cell>
          <cell r="I69">
            <v>8.7789760381754807</v>
          </cell>
          <cell r="J69">
            <v>221828.508696067</v>
          </cell>
          <cell r="K69">
            <v>128872.801761799</v>
          </cell>
          <cell r="L69">
            <v>1</v>
          </cell>
          <cell r="M69">
            <v>0</v>
          </cell>
        </row>
        <row r="70">
          <cell r="A70">
            <v>69</v>
          </cell>
          <cell r="B70">
            <v>1</v>
          </cell>
          <cell r="C70" t="str">
            <v>NA</v>
          </cell>
          <cell r="D70">
            <v>1</v>
          </cell>
          <cell r="E70">
            <v>0.13350000000000001</v>
          </cell>
          <cell r="F70">
            <v>2.3800000000000002E-2</v>
          </cell>
          <cell r="G70">
            <v>19.128849575586301</v>
          </cell>
          <cell r="H70">
            <v>11.529560982193599</v>
          </cell>
          <cell r="I70">
            <v>6.9404429907934704</v>
          </cell>
          <cell r="J70">
            <v>224965.62219141299</v>
          </cell>
          <cell r="K70">
            <v>133547.90639533199</v>
          </cell>
          <cell r="L70">
            <v>1</v>
          </cell>
          <cell r="M70">
            <v>0</v>
          </cell>
        </row>
        <row r="71">
          <cell r="A71">
            <v>70</v>
          </cell>
          <cell r="B71">
            <v>1</v>
          </cell>
          <cell r="C71" t="str">
            <v>NA</v>
          </cell>
          <cell r="D71">
            <v>1</v>
          </cell>
          <cell r="E71">
            <v>0.1041</v>
          </cell>
          <cell r="F71">
            <v>3.0099999999999998E-2</v>
          </cell>
          <cell r="G71">
            <v>18.4584588186279</v>
          </cell>
          <cell r="H71">
            <v>13.632766142407499</v>
          </cell>
          <cell r="I71">
            <v>8.3213144498328599</v>
          </cell>
          <cell r="J71">
            <v>209172.54485388499</v>
          </cell>
          <cell r="K71">
            <v>126846.78682301599</v>
          </cell>
          <cell r="L71">
            <v>1</v>
          </cell>
          <cell r="M71">
            <v>0</v>
          </cell>
        </row>
        <row r="72">
          <cell r="A72">
            <v>71</v>
          </cell>
          <cell r="B72">
            <v>1</v>
          </cell>
          <cell r="C72" t="str">
            <v>NA</v>
          </cell>
          <cell r="D72">
            <v>1</v>
          </cell>
          <cell r="E72">
            <v>9.2100000000000001E-2</v>
          </cell>
          <cell r="F72">
            <v>2.6200000000000001E-2</v>
          </cell>
          <cell r="G72">
            <v>20.4047822777835</v>
          </cell>
          <cell r="H72">
            <v>15.9589317781573</v>
          </cell>
          <cell r="I72">
            <v>9.5165020003827596</v>
          </cell>
          <cell r="J72">
            <v>244027.489550025</v>
          </cell>
          <cell r="K72">
            <v>143077.669447744</v>
          </cell>
          <cell r="L72">
            <v>1</v>
          </cell>
          <cell r="M72">
            <v>0</v>
          </cell>
        </row>
        <row r="73">
          <cell r="A73">
            <v>72</v>
          </cell>
          <cell r="B73">
            <v>1</v>
          </cell>
          <cell r="C73" t="str">
            <v>NA</v>
          </cell>
          <cell r="D73">
            <v>1</v>
          </cell>
          <cell r="E73">
            <v>0.1754</v>
          </cell>
          <cell r="F73">
            <v>2.23E-2</v>
          </cell>
          <cell r="G73">
            <v>17.757977408015201</v>
          </cell>
          <cell r="H73">
            <v>13.7732911031119</v>
          </cell>
          <cell r="I73">
            <v>8.3826618051794792</v>
          </cell>
          <cell r="J73">
            <v>218580.67970680501</v>
          </cell>
          <cell r="K73">
            <v>131522.095848044</v>
          </cell>
          <cell r="L73">
            <v>1</v>
          </cell>
          <cell r="M73">
            <v>0</v>
          </cell>
        </row>
        <row r="74">
          <cell r="A74">
            <v>73</v>
          </cell>
          <cell r="B74">
            <v>1</v>
          </cell>
          <cell r="C74" t="str">
            <v>NA</v>
          </cell>
          <cell r="D74">
            <v>1</v>
          </cell>
          <cell r="E74">
            <v>0.15179999999999999</v>
          </cell>
          <cell r="F74">
            <v>2.2499999999999999E-2</v>
          </cell>
          <cell r="G74">
            <v>19.364071864934498</v>
          </cell>
          <cell r="H74">
            <v>12.819860038224499</v>
          </cell>
          <cell r="I74">
            <v>7.6680406131050702</v>
          </cell>
          <cell r="J74">
            <v>218070.791918712</v>
          </cell>
          <cell r="K74">
            <v>128686.675670813</v>
          </cell>
          <cell r="L74">
            <v>1</v>
          </cell>
          <cell r="M74">
            <v>0</v>
          </cell>
        </row>
        <row r="75">
          <cell r="A75">
            <v>74</v>
          </cell>
          <cell r="B75">
            <v>1</v>
          </cell>
          <cell r="C75" t="str">
            <v>NA</v>
          </cell>
          <cell r="D75">
            <v>1</v>
          </cell>
          <cell r="E75">
            <v>0.13400000000000001</v>
          </cell>
          <cell r="F75">
            <v>2.5600000000000001E-2</v>
          </cell>
          <cell r="G75">
            <v>18.9510960253828</v>
          </cell>
          <cell r="H75">
            <v>12.9634334402127</v>
          </cell>
          <cell r="I75">
            <v>7.80848035350171</v>
          </cell>
          <cell r="J75">
            <v>186853.336088885</v>
          </cell>
          <cell r="K75">
            <v>112360.618144929</v>
          </cell>
          <cell r="L75">
            <v>1</v>
          </cell>
          <cell r="M75">
            <v>0</v>
          </cell>
        </row>
        <row r="76">
          <cell r="A76">
            <v>75</v>
          </cell>
          <cell r="B76">
            <v>1</v>
          </cell>
          <cell r="C76" t="str">
            <v>NA</v>
          </cell>
          <cell r="D76">
            <v>1</v>
          </cell>
          <cell r="E76">
            <v>0.1946</v>
          </cell>
          <cell r="F76">
            <v>2.53E-2</v>
          </cell>
          <cell r="G76">
            <v>17.9464419570781</v>
          </cell>
          <cell r="H76">
            <v>13.28596253003</v>
          </cell>
          <cell r="I76">
            <v>7.98878650168772</v>
          </cell>
          <cell r="J76">
            <v>166273.48855325</v>
          </cell>
          <cell r="K76">
            <v>100394.446302235</v>
          </cell>
          <cell r="L76">
            <v>1</v>
          </cell>
          <cell r="M76">
            <v>0</v>
          </cell>
        </row>
        <row r="77">
          <cell r="A77">
            <v>76</v>
          </cell>
          <cell r="B77">
            <v>1</v>
          </cell>
          <cell r="C77" t="str">
            <v>NA</v>
          </cell>
          <cell r="D77">
            <v>1</v>
          </cell>
          <cell r="E77">
            <v>0.15490000000000001</v>
          </cell>
          <cell r="F77">
            <v>2.75E-2</v>
          </cell>
          <cell r="G77">
            <v>18.348353944139902</v>
          </cell>
          <cell r="H77">
            <v>14.8404141710687</v>
          </cell>
          <cell r="I77">
            <v>8.9517856470702704</v>
          </cell>
          <cell r="J77">
            <v>184282.043909456</v>
          </cell>
          <cell r="K77">
            <v>111019.12855934299</v>
          </cell>
          <cell r="L77">
            <v>1</v>
          </cell>
          <cell r="M77">
            <v>0</v>
          </cell>
        </row>
        <row r="78">
          <cell r="A78">
            <v>77</v>
          </cell>
          <cell r="B78">
            <v>1</v>
          </cell>
          <cell r="C78" t="str">
            <v>NA</v>
          </cell>
          <cell r="D78">
            <v>1</v>
          </cell>
          <cell r="E78">
            <v>0.24329999999999999</v>
          </cell>
          <cell r="F78">
            <v>2.2800000000000001E-2</v>
          </cell>
          <cell r="G78">
            <v>18.145881362676398</v>
          </cell>
          <cell r="H78">
            <v>12.5502241311648</v>
          </cell>
          <cell r="I78">
            <v>7.4224998768950998</v>
          </cell>
          <cell r="J78">
            <v>219268.918576631</v>
          </cell>
          <cell r="K78">
            <v>127296.392332396</v>
          </cell>
          <cell r="L78">
            <v>1</v>
          </cell>
          <cell r="M78">
            <v>0</v>
          </cell>
        </row>
        <row r="79">
          <cell r="A79">
            <v>78</v>
          </cell>
          <cell r="B79">
            <v>1</v>
          </cell>
          <cell r="C79" t="str">
            <v>NA</v>
          </cell>
          <cell r="D79">
            <v>1</v>
          </cell>
          <cell r="E79">
            <v>0.1011</v>
          </cell>
          <cell r="F79">
            <v>2.29E-2</v>
          </cell>
          <cell r="G79">
            <v>18.3032490324746</v>
          </cell>
          <cell r="H79">
            <v>13.760054603136901</v>
          </cell>
          <cell r="I79">
            <v>8.4571124589218201</v>
          </cell>
          <cell r="J79">
            <v>197725.511977544</v>
          </cell>
          <cell r="K79">
            <v>121416.89882772999</v>
          </cell>
          <cell r="L79">
            <v>1</v>
          </cell>
          <cell r="M79">
            <v>0</v>
          </cell>
        </row>
        <row r="80">
          <cell r="A80">
            <v>79</v>
          </cell>
          <cell r="B80">
            <v>1</v>
          </cell>
          <cell r="C80" t="str">
            <v>NA</v>
          </cell>
          <cell r="D80">
            <v>1</v>
          </cell>
          <cell r="E80">
            <v>8.77E-2</v>
          </cell>
          <cell r="F80">
            <v>2.5899999999999999E-2</v>
          </cell>
          <cell r="G80">
            <v>20.3996492416798</v>
          </cell>
          <cell r="H80">
            <v>13.889759362843</v>
          </cell>
          <cell r="I80">
            <v>8.3081164113656794</v>
          </cell>
          <cell r="J80">
            <v>252203.49392016401</v>
          </cell>
          <cell r="K80">
            <v>148111.270611724</v>
          </cell>
          <cell r="L80">
            <v>1</v>
          </cell>
          <cell r="M80">
            <v>0</v>
          </cell>
        </row>
        <row r="81">
          <cell r="A81">
            <v>80</v>
          </cell>
          <cell r="B81">
            <v>1</v>
          </cell>
          <cell r="C81" t="str">
            <v>NA</v>
          </cell>
          <cell r="D81">
            <v>1</v>
          </cell>
          <cell r="E81">
            <v>0.22570000000000001</v>
          </cell>
          <cell r="F81">
            <v>2.2700000000000001E-2</v>
          </cell>
          <cell r="G81">
            <v>17.593956893226999</v>
          </cell>
          <cell r="H81">
            <v>13.034379935380599</v>
          </cell>
          <cell r="I81">
            <v>7.8002791130805704</v>
          </cell>
          <cell r="J81">
            <v>175700.69756250299</v>
          </cell>
          <cell r="K81">
            <v>104999.718775514</v>
          </cell>
          <cell r="L81">
            <v>1</v>
          </cell>
          <cell r="M81">
            <v>0</v>
          </cell>
        </row>
        <row r="82">
          <cell r="A82">
            <v>81</v>
          </cell>
          <cell r="B82">
            <v>1</v>
          </cell>
          <cell r="C82" t="str">
            <v>NA</v>
          </cell>
          <cell r="D82">
            <v>1</v>
          </cell>
          <cell r="E82">
            <v>0.2235</v>
          </cell>
          <cell r="F82">
            <v>2.0400000000000001E-2</v>
          </cell>
          <cell r="G82">
            <v>17.8863734776148</v>
          </cell>
          <cell r="H82">
            <v>14.1777916178665</v>
          </cell>
          <cell r="I82">
            <v>8.4814810601681803</v>
          </cell>
          <cell r="J82">
            <v>199350.30971742599</v>
          </cell>
          <cell r="K82">
            <v>118129.590803652</v>
          </cell>
          <cell r="L82">
            <v>1</v>
          </cell>
          <cell r="M82">
            <v>0</v>
          </cell>
        </row>
        <row r="83">
          <cell r="A83">
            <v>82</v>
          </cell>
          <cell r="B83">
            <v>1</v>
          </cell>
          <cell r="C83" t="str">
            <v>NA</v>
          </cell>
          <cell r="D83">
            <v>1</v>
          </cell>
          <cell r="E83">
            <v>0.12959999999999999</v>
          </cell>
          <cell r="F83">
            <v>2.5100000000000001E-2</v>
          </cell>
          <cell r="G83">
            <v>20.133560579817701</v>
          </cell>
          <cell r="H83">
            <v>14.0795384025625</v>
          </cell>
          <cell r="I83">
            <v>8.3454586691377592</v>
          </cell>
          <cell r="J83">
            <v>263580.94371008599</v>
          </cell>
          <cell r="K83">
            <v>152376.32929689699</v>
          </cell>
          <cell r="L83">
            <v>1</v>
          </cell>
          <cell r="M83">
            <v>0</v>
          </cell>
        </row>
        <row r="84">
          <cell r="A84">
            <v>83</v>
          </cell>
          <cell r="B84">
            <v>1</v>
          </cell>
          <cell r="C84" t="str">
            <v>NA</v>
          </cell>
          <cell r="D84">
            <v>1</v>
          </cell>
          <cell r="E84">
            <v>0.14660000000000001</v>
          </cell>
          <cell r="F84">
            <v>2.0400000000000001E-2</v>
          </cell>
          <cell r="G84">
            <v>19.3677943172356</v>
          </cell>
          <cell r="H84">
            <v>13.6646111114432</v>
          </cell>
          <cell r="I84">
            <v>8.1801661966514203</v>
          </cell>
          <cell r="J84">
            <v>178307.450360102</v>
          </cell>
          <cell r="K84">
            <v>106809.322223247</v>
          </cell>
          <cell r="L84">
            <v>1</v>
          </cell>
          <cell r="M84">
            <v>0</v>
          </cell>
        </row>
        <row r="85">
          <cell r="A85">
            <v>84</v>
          </cell>
          <cell r="B85">
            <v>1</v>
          </cell>
          <cell r="C85" t="str">
            <v>NA</v>
          </cell>
          <cell r="D85">
            <v>1</v>
          </cell>
          <cell r="E85">
            <v>0.22259999999999999</v>
          </cell>
          <cell r="F85">
            <v>2.3400000000000001E-2</v>
          </cell>
          <cell r="G85">
            <v>17.021135106079299</v>
          </cell>
          <cell r="H85">
            <v>12.687284250775001</v>
          </cell>
          <cell r="I85">
            <v>7.69257363149692</v>
          </cell>
          <cell r="J85">
            <v>126774.54194877901</v>
          </cell>
          <cell r="K85">
            <v>78719.736861567799</v>
          </cell>
          <cell r="L85">
            <v>1</v>
          </cell>
          <cell r="M85">
            <v>0</v>
          </cell>
        </row>
        <row r="86">
          <cell r="A86">
            <v>85</v>
          </cell>
          <cell r="B86">
            <v>1</v>
          </cell>
          <cell r="C86" t="str">
            <v>NA</v>
          </cell>
          <cell r="D86">
            <v>1</v>
          </cell>
          <cell r="E86">
            <v>0.11550000000000001</v>
          </cell>
          <cell r="F86">
            <v>2.5399999999999999E-2</v>
          </cell>
          <cell r="G86">
            <v>17.919090537891901</v>
          </cell>
          <cell r="H86">
            <v>12.5018453812642</v>
          </cell>
          <cell r="I86">
            <v>7.6708686628542502</v>
          </cell>
          <cell r="J86">
            <v>162650.123493402</v>
          </cell>
          <cell r="K86">
            <v>100755.258882195</v>
          </cell>
          <cell r="L86">
            <v>1</v>
          </cell>
          <cell r="M86">
            <v>0</v>
          </cell>
        </row>
        <row r="87">
          <cell r="A87">
            <v>86</v>
          </cell>
          <cell r="B87">
            <v>1</v>
          </cell>
          <cell r="C87" t="str">
            <v>NA</v>
          </cell>
          <cell r="D87">
            <v>1</v>
          </cell>
          <cell r="E87">
            <v>0.21840000000000001</v>
          </cell>
          <cell r="F87">
            <v>2.4199999999999999E-2</v>
          </cell>
          <cell r="G87">
            <v>16.014242263380599</v>
          </cell>
          <cell r="H87">
            <v>12.577291914104199</v>
          </cell>
          <cell r="I87">
            <v>7.7714136027840803</v>
          </cell>
          <cell r="J87">
            <v>172667.66266253201</v>
          </cell>
          <cell r="K87">
            <v>107156.531557945</v>
          </cell>
          <cell r="L87">
            <v>1</v>
          </cell>
          <cell r="M87">
            <v>0</v>
          </cell>
        </row>
        <row r="88">
          <cell r="A88">
            <v>87</v>
          </cell>
          <cell r="B88">
            <v>1</v>
          </cell>
          <cell r="C88" t="str">
            <v>NA</v>
          </cell>
          <cell r="D88">
            <v>1</v>
          </cell>
          <cell r="E88">
            <v>0.12470000000000001</v>
          </cell>
          <cell r="F88">
            <v>2.8000000000000001E-2</v>
          </cell>
          <cell r="G88">
            <v>18.606521388836001</v>
          </cell>
          <cell r="H88">
            <v>12.6534604325847</v>
          </cell>
          <cell r="I88">
            <v>7.6963478002281196</v>
          </cell>
          <cell r="J88">
            <v>192509.32309968999</v>
          </cell>
          <cell r="K88">
            <v>116986.329429486</v>
          </cell>
          <cell r="L88">
            <v>1</v>
          </cell>
          <cell r="M88">
            <v>0</v>
          </cell>
        </row>
        <row r="89">
          <cell r="A89">
            <v>88</v>
          </cell>
          <cell r="B89">
            <v>1</v>
          </cell>
          <cell r="C89" t="str">
            <v>NA</v>
          </cell>
          <cell r="D89">
            <v>1</v>
          </cell>
          <cell r="E89">
            <v>0.1565</v>
          </cell>
          <cell r="F89">
            <v>2.2599999999999999E-2</v>
          </cell>
          <cell r="G89">
            <v>18.6655308157798</v>
          </cell>
          <cell r="H89">
            <v>13.3196071103112</v>
          </cell>
          <cell r="I89">
            <v>8.0099017264034291</v>
          </cell>
          <cell r="J89">
            <v>248735.574857703</v>
          </cell>
          <cell r="K89">
            <v>146768.62376960099</v>
          </cell>
          <cell r="L89">
            <v>1</v>
          </cell>
          <cell r="M89">
            <v>0</v>
          </cell>
        </row>
        <row r="90">
          <cell r="A90">
            <v>89</v>
          </cell>
          <cell r="B90">
            <v>1</v>
          </cell>
          <cell r="C90" t="str">
            <v>NA</v>
          </cell>
          <cell r="D90">
            <v>1</v>
          </cell>
          <cell r="E90">
            <v>0.1666</v>
          </cell>
          <cell r="F90">
            <v>1.9099999999999999E-2</v>
          </cell>
          <cell r="G90">
            <v>20.477649082168401</v>
          </cell>
          <cell r="H90">
            <v>14.966676100889799</v>
          </cell>
          <cell r="I90">
            <v>8.7594934866912499</v>
          </cell>
          <cell r="J90">
            <v>303842.08190256002</v>
          </cell>
          <cell r="K90">
            <v>171447.140564125</v>
          </cell>
          <cell r="L90">
            <v>1</v>
          </cell>
          <cell r="M90">
            <v>0</v>
          </cell>
        </row>
        <row r="91">
          <cell r="A91">
            <v>90</v>
          </cell>
          <cell r="B91">
            <v>1</v>
          </cell>
          <cell r="C91" t="str">
            <v>NA</v>
          </cell>
          <cell r="D91">
            <v>1</v>
          </cell>
          <cell r="E91">
            <v>0.1389</v>
          </cell>
          <cell r="F91">
            <v>2.1600000000000001E-2</v>
          </cell>
          <cell r="G91">
            <v>19.239838878931501</v>
          </cell>
          <cell r="H91">
            <v>12.1105831096566</v>
          </cell>
          <cell r="I91">
            <v>7.2671612046055598</v>
          </cell>
          <cell r="J91">
            <v>254609.74261931999</v>
          </cell>
          <cell r="K91">
            <v>149803.77269529199</v>
          </cell>
          <cell r="L91">
            <v>1</v>
          </cell>
          <cell r="M91">
            <v>0</v>
          </cell>
        </row>
        <row r="92">
          <cell r="A92">
            <v>91</v>
          </cell>
          <cell r="B92">
            <v>1</v>
          </cell>
          <cell r="C92" t="str">
            <v>NA</v>
          </cell>
          <cell r="D92">
            <v>1</v>
          </cell>
          <cell r="E92">
            <v>0.1656</v>
          </cell>
          <cell r="F92">
            <v>2.3E-2</v>
          </cell>
          <cell r="G92">
            <v>17.5462464082586</v>
          </cell>
          <cell r="H92">
            <v>11.942643999171301</v>
          </cell>
          <cell r="I92">
            <v>7.2747807058389897</v>
          </cell>
          <cell r="J92">
            <v>186691.14921849099</v>
          </cell>
          <cell r="K92">
            <v>113754.11242690901</v>
          </cell>
          <cell r="L92">
            <v>1</v>
          </cell>
          <cell r="M92">
            <v>0</v>
          </cell>
        </row>
        <row r="93">
          <cell r="A93">
            <v>92</v>
          </cell>
          <cell r="B93">
            <v>1</v>
          </cell>
          <cell r="C93" t="str">
            <v>NA</v>
          </cell>
          <cell r="D93">
            <v>1</v>
          </cell>
          <cell r="E93">
            <v>0.1865</v>
          </cell>
          <cell r="F93">
            <v>2.1299999999999999E-2</v>
          </cell>
          <cell r="G93">
            <v>18.333644597905401</v>
          </cell>
          <cell r="H93">
            <v>12.0315707524852</v>
          </cell>
          <cell r="I93">
            <v>7.21080524357596</v>
          </cell>
          <cell r="J93">
            <v>212470.13296436801</v>
          </cell>
          <cell r="K93">
            <v>125912.231313294</v>
          </cell>
          <cell r="L93">
            <v>1</v>
          </cell>
          <cell r="M93">
            <v>0</v>
          </cell>
        </row>
        <row r="94">
          <cell r="A94">
            <v>93</v>
          </cell>
          <cell r="B94">
            <v>1</v>
          </cell>
          <cell r="C94" t="str">
            <v>NA</v>
          </cell>
          <cell r="D94">
            <v>1</v>
          </cell>
          <cell r="E94">
            <v>0.1396</v>
          </cell>
          <cell r="F94">
            <v>2.4799999999999999E-2</v>
          </cell>
          <cell r="G94">
            <v>20.2138311314738</v>
          </cell>
          <cell r="H94">
            <v>14.2919452155587</v>
          </cell>
          <cell r="I94">
            <v>8.4759398201189207</v>
          </cell>
          <cell r="J94">
            <v>214682.09939751701</v>
          </cell>
          <cell r="K94">
            <v>125805.962204749</v>
          </cell>
          <cell r="L94">
            <v>1</v>
          </cell>
          <cell r="M94">
            <v>0</v>
          </cell>
        </row>
        <row r="95">
          <cell r="A95">
            <v>94</v>
          </cell>
          <cell r="B95">
            <v>1</v>
          </cell>
          <cell r="C95" t="str">
            <v>NA</v>
          </cell>
          <cell r="D95">
            <v>1</v>
          </cell>
          <cell r="E95">
            <v>0.1206</v>
          </cell>
          <cell r="F95">
            <v>2.5899999999999999E-2</v>
          </cell>
          <cell r="G95">
            <v>19.792048785319199</v>
          </cell>
          <cell r="H95">
            <v>14.677825173182701</v>
          </cell>
          <cell r="I95">
            <v>8.7847092364718105</v>
          </cell>
          <cell r="J95">
            <v>177445.397774752</v>
          </cell>
          <cell r="K95">
            <v>106460.651867819</v>
          </cell>
          <cell r="L95">
            <v>1</v>
          </cell>
          <cell r="M95">
            <v>0</v>
          </cell>
        </row>
        <row r="96">
          <cell r="A96">
            <v>95</v>
          </cell>
          <cell r="B96">
            <v>1</v>
          </cell>
          <cell r="C96" t="str">
            <v>NA</v>
          </cell>
          <cell r="D96">
            <v>1</v>
          </cell>
          <cell r="E96">
            <v>0.1158</v>
          </cell>
          <cell r="F96">
            <v>2.75E-2</v>
          </cell>
          <cell r="G96">
            <v>19.559951960461401</v>
          </cell>
          <cell r="H96">
            <v>16.167725171782202</v>
          </cell>
          <cell r="I96">
            <v>9.71520791331778</v>
          </cell>
          <cell r="J96">
            <v>217016.03525359801</v>
          </cell>
          <cell r="K96">
            <v>129223.35898583</v>
          </cell>
          <cell r="L96">
            <v>1</v>
          </cell>
          <cell r="M96">
            <v>0</v>
          </cell>
        </row>
        <row r="97">
          <cell r="A97">
            <v>96</v>
          </cell>
          <cell r="B97">
            <v>1</v>
          </cell>
          <cell r="C97" t="str">
            <v>NA</v>
          </cell>
          <cell r="D97">
            <v>1</v>
          </cell>
          <cell r="E97">
            <v>0.2298</v>
          </cell>
          <cell r="F97">
            <v>2.12E-2</v>
          </cell>
          <cell r="G97">
            <v>18.722901060167999</v>
          </cell>
          <cell r="H97">
            <v>13.054953366345901</v>
          </cell>
          <cell r="I97">
            <v>7.6541480498215897</v>
          </cell>
          <cell r="J97">
            <v>186780.01377142299</v>
          </cell>
          <cell r="K97">
            <v>108599.201465409</v>
          </cell>
          <cell r="L97">
            <v>1</v>
          </cell>
          <cell r="M97">
            <v>0</v>
          </cell>
        </row>
        <row r="98">
          <cell r="A98">
            <v>97</v>
          </cell>
          <cell r="B98">
            <v>1</v>
          </cell>
          <cell r="C98" t="str">
            <v>NA</v>
          </cell>
          <cell r="D98">
            <v>1</v>
          </cell>
          <cell r="E98">
            <v>0.1211</v>
          </cell>
          <cell r="F98">
            <v>2.23E-2</v>
          </cell>
          <cell r="G98">
            <v>20.190837986261499</v>
          </cell>
          <cell r="H98">
            <v>14.5537342590856</v>
          </cell>
          <cell r="I98">
            <v>8.6494842674582895</v>
          </cell>
          <cell r="J98">
            <v>238820.98611296099</v>
          </cell>
          <cell r="K98">
            <v>139263.249956696</v>
          </cell>
          <cell r="L98">
            <v>1</v>
          </cell>
          <cell r="M98">
            <v>0</v>
          </cell>
        </row>
        <row r="99">
          <cell r="A99">
            <v>98</v>
          </cell>
          <cell r="B99">
            <v>1</v>
          </cell>
          <cell r="C99" t="str">
            <v>NA</v>
          </cell>
          <cell r="D99">
            <v>1</v>
          </cell>
          <cell r="E99">
            <v>0.11169999999999999</v>
          </cell>
          <cell r="F99">
            <v>2.5600000000000001E-2</v>
          </cell>
          <cell r="G99">
            <v>19.228208822600099</v>
          </cell>
          <cell r="H99">
            <v>14.835259146439901</v>
          </cell>
          <cell r="I99">
            <v>8.9816473888212194</v>
          </cell>
          <cell r="J99">
            <v>229187.51904281601</v>
          </cell>
          <cell r="K99">
            <v>137060.20929331699</v>
          </cell>
          <cell r="L99">
            <v>1</v>
          </cell>
          <cell r="M99">
            <v>0</v>
          </cell>
        </row>
        <row r="100">
          <cell r="A100">
            <v>99</v>
          </cell>
          <cell r="B100">
            <v>1</v>
          </cell>
          <cell r="C100" t="str">
            <v>NA</v>
          </cell>
          <cell r="D100">
            <v>1</v>
          </cell>
          <cell r="E100">
            <v>8.7099999999999997E-2</v>
          </cell>
          <cell r="F100">
            <v>2.4899999999999999E-2</v>
          </cell>
          <cell r="G100">
            <v>19.9196107540543</v>
          </cell>
          <cell r="H100">
            <v>13.4421450855437</v>
          </cell>
          <cell r="I100">
            <v>8.1060791509439696</v>
          </cell>
          <cell r="J100">
            <v>198972.909105395</v>
          </cell>
          <cell r="K100">
            <v>119508.043331775</v>
          </cell>
          <cell r="L100">
            <v>1</v>
          </cell>
          <cell r="M100">
            <v>0</v>
          </cell>
        </row>
        <row r="101">
          <cell r="A101">
            <v>100</v>
          </cell>
          <cell r="B101">
            <v>1</v>
          </cell>
          <cell r="C101" t="str">
            <v>NA</v>
          </cell>
          <cell r="D101">
            <v>1</v>
          </cell>
          <cell r="E101">
            <v>0.14399999999999999</v>
          </cell>
          <cell r="F101">
            <v>2.69E-2</v>
          </cell>
          <cell r="G101">
            <v>20.1124231602458</v>
          </cell>
          <cell r="H101">
            <v>14.283334769933401</v>
          </cell>
          <cell r="I101">
            <v>8.4546901544369604</v>
          </cell>
          <cell r="J101">
            <v>223704.788542597</v>
          </cell>
          <cell r="K101">
            <v>130155.555311074</v>
          </cell>
          <cell r="L101">
            <v>1</v>
          </cell>
          <cell r="M101">
            <v>0</v>
          </cell>
        </row>
        <row r="102">
          <cell r="A102">
            <v>101</v>
          </cell>
          <cell r="B102">
            <v>1</v>
          </cell>
          <cell r="C102" t="str">
            <v>NA</v>
          </cell>
          <cell r="D102">
            <v>1</v>
          </cell>
          <cell r="E102">
            <v>0.14410000000000001</v>
          </cell>
          <cell r="F102">
            <v>2.4199999999999999E-2</v>
          </cell>
          <cell r="G102">
            <v>19.497014952557301</v>
          </cell>
          <cell r="H102">
            <v>13.076033770280601</v>
          </cell>
          <cell r="I102">
            <v>7.78459155158823</v>
          </cell>
          <cell r="J102">
            <v>215059.22223623001</v>
          </cell>
          <cell r="K102">
            <v>126359.624215761</v>
          </cell>
          <cell r="L102">
            <v>1</v>
          </cell>
          <cell r="M102">
            <v>0</v>
          </cell>
        </row>
        <row r="103">
          <cell r="A103">
            <v>102</v>
          </cell>
          <cell r="B103">
            <v>1</v>
          </cell>
          <cell r="C103" t="str">
            <v>NA</v>
          </cell>
          <cell r="D103">
            <v>1</v>
          </cell>
          <cell r="E103">
            <v>9.7600000000000006E-2</v>
          </cell>
          <cell r="F103">
            <v>3.0200000000000001E-2</v>
          </cell>
          <cell r="G103">
            <v>18.4179552828904</v>
          </cell>
          <cell r="H103">
            <v>11.7886071610223</v>
          </cell>
          <cell r="I103">
            <v>7.2278294481107501</v>
          </cell>
          <cell r="J103">
            <v>186802.631693748</v>
          </cell>
          <cell r="K103">
            <v>114665.233364345</v>
          </cell>
          <cell r="L103">
            <v>1</v>
          </cell>
          <cell r="M103">
            <v>0</v>
          </cell>
        </row>
        <row r="104">
          <cell r="A104">
            <v>103</v>
          </cell>
          <cell r="B104">
            <v>1</v>
          </cell>
          <cell r="C104" t="str">
            <v>NA</v>
          </cell>
          <cell r="D104">
            <v>1</v>
          </cell>
          <cell r="E104">
            <v>0.1532</v>
          </cell>
          <cell r="F104">
            <v>2.7300000000000001E-2</v>
          </cell>
          <cell r="G104">
            <v>19.674722713109698</v>
          </cell>
          <cell r="H104">
            <v>12.6802514155595</v>
          </cell>
          <cell r="I104">
            <v>7.5274811700218702</v>
          </cell>
          <cell r="J104">
            <v>216802.245003018</v>
          </cell>
          <cell r="K104">
            <v>126998.398638213</v>
          </cell>
          <cell r="L104">
            <v>1</v>
          </cell>
          <cell r="M104">
            <v>0</v>
          </cell>
        </row>
        <row r="105">
          <cell r="A105">
            <v>104</v>
          </cell>
          <cell r="B105">
            <v>1</v>
          </cell>
          <cell r="C105" t="str">
            <v>NA</v>
          </cell>
          <cell r="D105">
            <v>1</v>
          </cell>
          <cell r="E105">
            <v>9.7100000000000006E-2</v>
          </cell>
          <cell r="F105">
            <v>2.5600000000000001E-2</v>
          </cell>
          <cell r="G105">
            <v>19.789815608292599</v>
          </cell>
          <cell r="H105">
            <v>14.597510252357299</v>
          </cell>
          <cell r="I105">
            <v>8.8047561550011899</v>
          </cell>
          <cell r="J105">
            <v>201740.84737151099</v>
          </cell>
          <cell r="K105">
            <v>121054.577355733</v>
          </cell>
          <cell r="L105">
            <v>1</v>
          </cell>
          <cell r="M105">
            <v>0</v>
          </cell>
        </row>
        <row r="106">
          <cell r="A106">
            <v>105</v>
          </cell>
          <cell r="B106">
            <v>1</v>
          </cell>
          <cell r="C106" t="str">
            <v>NA</v>
          </cell>
          <cell r="D106">
            <v>1</v>
          </cell>
          <cell r="E106">
            <v>0.2155</v>
          </cell>
          <cell r="F106">
            <v>2.0799999999999999E-2</v>
          </cell>
          <cell r="G106">
            <v>17.534813625145699</v>
          </cell>
          <cell r="H106">
            <v>13.7429734667869</v>
          </cell>
          <cell r="I106">
            <v>8.2874881806332308</v>
          </cell>
          <cell r="J106">
            <v>177434.817721097</v>
          </cell>
          <cell r="K106">
            <v>106932.025798275</v>
          </cell>
          <cell r="L106">
            <v>1</v>
          </cell>
          <cell r="M106">
            <v>0</v>
          </cell>
        </row>
        <row r="107">
          <cell r="A107">
            <v>106</v>
          </cell>
          <cell r="B107">
            <v>1</v>
          </cell>
          <cell r="C107" t="str">
            <v>NA</v>
          </cell>
          <cell r="D107">
            <v>1</v>
          </cell>
          <cell r="E107">
            <v>0.11600000000000001</v>
          </cell>
          <cell r="F107">
            <v>2.3400000000000001E-2</v>
          </cell>
          <cell r="G107">
            <v>20.482080078184399</v>
          </cell>
          <cell r="H107">
            <v>15.2916897844025</v>
          </cell>
          <cell r="I107">
            <v>9.0756853345315207</v>
          </cell>
          <cell r="J107">
            <v>180469.380749701</v>
          </cell>
          <cell r="K107">
            <v>107005.656869903</v>
          </cell>
          <cell r="L107">
            <v>1</v>
          </cell>
          <cell r="M107">
            <v>0</v>
          </cell>
        </row>
        <row r="108">
          <cell r="A108">
            <v>107</v>
          </cell>
          <cell r="B108">
            <v>1</v>
          </cell>
          <cell r="C108" t="str">
            <v>NA</v>
          </cell>
          <cell r="D108">
            <v>1</v>
          </cell>
          <cell r="E108">
            <v>0.1487</v>
          </cell>
          <cell r="F108">
            <v>2.35E-2</v>
          </cell>
          <cell r="G108">
            <v>17.5294307071199</v>
          </cell>
          <cell r="H108">
            <v>14.0976573897987</v>
          </cell>
          <cell r="I108">
            <v>8.6747532345636902</v>
          </cell>
          <cell r="J108">
            <v>151406.244815082</v>
          </cell>
          <cell r="K108">
            <v>94712.831302306702</v>
          </cell>
          <cell r="L108">
            <v>1</v>
          </cell>
          <cell r="M108">
            <v>0</v>
          </cell>
        </row>
        <row r="109">
          <cell r="A109">
            <v>108</v>
          </cell>
          <cell r="B109">
            <v>1</v>
          </cell>
          <cell r="C109" t="str">
            <v>NA</v>
          </cell>
          <cell r="D109">
            <v>1</v>
          </cell>
          <cell r="E109">
            <v>0.2064</v>
          </cell>
          <cell r="F109">
            <v>2.3E-2</v>
          </cell>
          <cell r="G109">
            <v>17.500074015271601</v>
          </cell>
          <cell r="H109">
            <v>12.3473894144655</v>
          </cell>
          <cell r="I109">
            <v>7.4569408009396998</v>
          </cell>
          <cell r="J109">
            <v>167359.633475696</v>
          </cell>
          <cell r="K109">
            <v>101528.613777715</v>
          </cell>
          <cell r="L109">
            <v>1</v>
          </cell>
          <cell r="M109">
            <v>0</v>
          </cell>
        </row>
        <row r="110">
          <cell r="A110">
            <v>109</v>
          </cell>
          <cell r="B110">
            <v>1</v>
          </cell>
          <cell r="C110" t="str">
            <v>NA</v>
          </cell>
          <cell r="D110">
            <v>1</v>
          </cell>
          <cell r="E110">
            <v>0.154</v>
          </cell>
          <cell r="F110">
            <v>2.8500000000000001E-2</v>
          </cell>
          <cell r="G110">
            <v>17.872196282838999</v>
          </cell>
          <cell r="H110">
            <v>12.4408581657301</v>
          </cell>
          <cell r="I110">
            <v>7.5667465145176296</v>
          </cell>
          <cell r="J110">
            <v>231211.75009415901</v>
          </cell>
          <cell r="K110">
            <v>138927.71487726801</v>
          </cell>
          <cell r="L110">
            <v>1</v>
          </cell>
          <cell r="M110">
            <v>0</v>
          </cell>
        </row>
        <row r="111">
          <cell r="A111">
            <v>110</v>
          </cell>
          <cell r="B111">
            <v>1</v>
          </cell>
          <cell r="C111" t="str">
            <v>NA</v>
          </cell>
          <cell r="D111">
            <v>1</v>
          </cell>
          <cell r="E111">
            <v>0.1893</v>
          </cell>
          <cell r="F111">
            <v>2.63E-2</v>
          </cell>
          <cell r="G111">
            <v>17.367774959269301</v>
          </cell>
          <cell r="H111">
            <v>13.035855051185001</v>
          </cell>
          <cell r="I111">
            <v>7.9313617194325401</v>
          </cell>
          <cell r="J111">
            <v>239038.898068126</v>
          </cell>
          <cell r="K111">
            <v>143091.674366797</v>
          </cell>
          <cell r="L111">
            <v>1</v>
          </cell>
          <cell r="M111">
            <v>0</v>
          </cell>
        </row>
        <row r="112">
          <cell r="A112">
            <v>111</v>
          </cell>
          <cell r="B112">
            <v>1</v>
          </cell>
          <cell r="C112" t="str">
            <v>NA</v>
          </cell>
          <cell r="D112">
            <v>1</v>
          </cell>
          <cell r="E112">
            <v>0.13569999999999999</v>
          </cell>
          <cell r="F112">
            <v>2.0400000000000001E-2</v>
          </cell>
          <cell r="G112">
            <v>17.860837323218199</v>
          </cell>
          <cell r="H112">
            <v>12.2332861405513</v>
          </cell>
          <cell r="I112">
            <v>7.5051641425105</v>
          </cell>
          <cell r="J112">
            <v>167670.677658598</v>
          </cell>
          <cell r="K112">
            <v>103876.939447356</v>
          </cell>
          <cell r="L112">
            <v>1</v>
          </cell>
          <cell r="M112">
            <v>0</v>
          </cell>
        </row>
        <row r="113">
          <cell r="A113">
            <v>112</v>
          </cell>
          <cell r="B113">
            <v>1</v>
          </cell>
          <cell r="C113" t="str">
            <v>NA</v>
          </cell>
          <cell r="D113">
            <v>1</v>
          </cell>
          <cell r="E113">
            <v>0.1583</v>
          </cell>
          <cell r="F113">
            <v>2.4E-2</v>
          </cell>
          <cell r="G113">
            <v>18.310484262919601</v>
          </cell>
          <cell r="H113">
            <v>13.628482263035201</v>
          </cell>
          <cell r="I113">
            <v>8.2387386576511599</v>
          </cell>
          <cell r="J113">
            <v>209785.063439152</v>
          </cell>
          <cell r="K113">
            <v>125745.28162244101</v>
          </cell>
          <cell r="L113">
            <v>1</v>
          </cell>
          <cell r="M113">
            <v>0</v>
          </cell>
        </row>
        <row r="114">
          <cell r="A114">
            <v>113</v>
          </cell>
          <cell r="B114">
            <v>1</v>
          </cell>
          <cell r="C114" t="str">
            <v>NA</v>
          </cell>
          <cell r="D114">
            <v>1</v>
          </cell>
          <cell r="E114">
            <v>8.9099999999999999E-2</v>
          </cell>
          <cell r="F114">
            <v>2.9499999999999998E-2</v>
          </cell>
          <cell r="G114">
            <v>19.503882356700402</v>
          </cell>
          <cell r="H114">
            <v>14.339225436341399</v>
          </cell>
          <cell r="I114">
            <v>8.6676862577445295</v>
          </cell>
          <cell r="J114">
            <v>230961.118807914</v>
          </cell>
          <cell r="K114">
            <v>137927.540894923</v>
          </cell>
          <cell r="L114">
            <v>1</v>
          </cell>
          <cell r="M114">
            <v>0</v>
          </cell>
        </row>
        <row r="115">
          <cell r="A115">
            <v>114</v>
          </cell>
          <cell r="B115">
            <v>1</v>
          </cell>
          <cell r="C115" t="str">
            <v>NA</v>
          </cell>
          <cell r="D115">
            <v>1</v>
          </cell>
          <cell r="E115">
            <v>0.2104</v>
          </cell>
          <cell r="F115">
            <v>2.1399999999999999E-2</v>
          </cell>
          <cell r="G115">
            <v>17.949714059100199</v>
          </cell>
          <cell r="H115">
            <v>11.703183613014399</v>
          </cell>
          <cell r="I115">
            <v>6.9996414952404598</v>
          </cell>
          <cell r="J115">
            <v>186126.73630260999</v>
          </cell>
          <cell r="K115">
            <v>110613.875695326</v>
          </cell>
          <cell r="L115">
            <v>1</v>
          </cell>
          <cell r="M115">
            <v>0</v>
          </cell>
        </row>
        <row r="116">
          <cell r="A116">
            <v>115</v>
          </cell>
          <cell r="B116">
            <v>1</v>
          </cell>
          <cell r="C116" t="str">
            <v>NA</v>
          </cell>
          <cell r="D116">
            <v>1</v>
          </cell>
          <cell r="E116">
            <v>0.1132</v>
          </cell>
          <cell r="F116">
            <v>2.75E-2</v>
          </cell>
          <cell r="G116">
            <v>18.665631014191099</v>
          </cell>
          <cell r="H116">
            <v>11.504682142021901</v>
          </cell>
          <cell r="I116">
            <v>7.0116933853779502</v>
          </cell>
          <cell r="J116">
            <v>194634.38419690001</v>
          </cell>
          <cell r="K116">
            <v>118205.53579850199</v>
          </cell>
          <cell r="L116">
            <v>1</v>
          </cell>
          <cell r="M116">
            <v>0</v>
          </cell>
        </row>
        <row r="117">
          <cell r="A117">
            <v>116</v>
          </cell>
          <cell r="B117">
            <v>1</v>
          </cell>
          <cell r="C117" t="str">
            <v>NA</v>
          </cell>
          <cell r="D117">
            <v>1</v>
          </cell>
          <cell r="E117">
            <v>0.1187</v>
          </cell>
          <cell r="F117">
            <v>2.5499999999999998E-2</v>
          </cell>
          <cell r="G117">
            <v>19.299003268073498</v>
          </cell>
          <cell r="H117">
            <v>14.3701543683599</v>
          </cell>
          <cell r="I117">
            <v>8.6566440363725103</v>
          </cell>
          <cell r="J117">
            <v>276047.57522088999</v>
          </cell>
          <cell r="K117">
            <v>162935.505249426</v>
          </cell>
          <cell r="L117">
            <v>1</v>
          </cell>
          <cell r="M117">
            <v>0</v>
          </cell>
        </row>
        <row r="118">
          <cell r="A118">
            <v>117</v>
          </cell>
          <cell r="B118">
            <v>1</v>
          </cell>
          <cell r="C118" t="str">
            <v>NA</v>
          </cell>
          <cell r="D118">
            <v>1</v>
          </cell>
          <cell r="E118">
            <v>0.13919999999999999</v>
          </cell>
          <cell r="F118">
            <v>2.5899999999999999E-2</v>
          </cell>
          <cell r="G118">
            <v>19.175379384085101</v>
          </cell>
          <cell r="H118">
            <v>13.604331149468599</v>
          </cell>
          <cell r="I118">
            <v>8.1821157332699208</v>
          </cell>
          <cell r="J118">
            <v>199442.86006092001</v>
          </cell>
          <cell r="K118">
            <v>119270.980377232</v>
          </cell>
          <cell r="L118">
            <v>1</v>
          </cell>
          <cell r="M118">
            <v>0</v>
          </cell>
        </row>
        <row r="119">
          <cell r="A119">
            <v>118</v>
          </cell>
          <cell r="B119">
            <v>1</v>
          </cell>
          <cell r="C119" t="str">
            <v>NA</v>
          </cell>
          <cell r="D119">
            <v>1</v>
          </cell>
          <cell r="E119">
            <v>0.1353</v>
          </cell>
          <cell r="F119">
            <v>2.35E-2</v>
          </cell>
          <cell r="G119">
            <v>19.311351779017301</v>
          </cell>
          <cell r="H119">
            <v>15.112345676352099</v>
          </cell>
          <cell r="I119">
            <v>9.0755297218263298</v>
          </cell>
          <cell r="J119">
            <v>165198.975050026</v>
          </cell>
          <cell r="K119">
            <v>99909.954269382302</v>
          </cell>
          <cell r="L119">
            <v>1</v>
          </cell>
          <cell r="M119">
            <v>0</v>
          </cell>
        </row>
        <row r="120">
          <cell r="A120">
            <v>119</v>
          </cell>
          <cell r="B120">
            <v>1</v>
          </cell>
          <cell r="C120" t="str">
            <v>NA</v>
          </cell>
          <cell r="D120">
            <v>1</v>
          </cell>
          <cell r="E120">
            <v>0.17069999999999999</v>
          </cell>
          <cell r="F120">
            <v>2.58E-2</v>
          </cell>
          <cell r="G120">
            <v>17.744001322827302</v>
          </cell>
          <cell r="H120">
            <v>13.851262670114499</v>
          </cell>
          <cell r="I120">
            <v>8.4167171818286501</v>
          </cell>
          <cell r="J120">
            <v>203657.345590312</v>
          </cell>
          <cell r="K120">
            <v>122797.612983817</v>
          </cell>
          <cell r="L120">
            <v>1</v>
          </cell>
          <cell r="M120">
            <v>0</v>
          </cell>
        </row>
        <row r="121">
          <cell r="A121">
            <v>120</v>
          </cell>
          <cell r="B121">
            <v>1</v>
          </cell>
          <cell r="C121" t="str">
            <v>NA</v>
          </cell>
          <cell r="D121">
            <v>1</v>
          </cell>
          <cell r="E121">
            <v>0.14940000000000001</v>
          </cell>
          <cell r="F121">
            <v>2.1999999999999999E-2</v>
          </cell>
          <cell r="G121">
            <v>17.7814551538</v>
          </cell>
          <cell r="H121">
            <v>12.665861109664901</v>
          </cell>
          <cell r="I121">
            <v>7.72817684581055</v>
          </cell>
          <cell r="J121">
            <v>164618.91596246901</v>
          </cell>
          <cell r="K121">
            <v>101468.867378633</v>
          </cell>
          <cell r="L121">
            <v>1</v>
          </cell>
          <cell r="M121">
            <v>0</v>
          </cell>
        </row>
        <row r="122">
          <cell r="A122">
            <v>121</v>
          </cell>
          <cell r="B122">
            <v>1</v>
          </cell>
          <cell r="C122" t="str">
            <v>NA</v>
          </cell>
          <cell r="D122">
            <v>1</v>
          </cell>
          <cell r="E122">
            <v>0.20100000000000001</v>
          </cell>
          <cell r="F122">
            <v>3.1199999999999999E-2</v>
          </cell>
          <cell r="G122">
            <v>16.641356206669901</v>
          </cell>
          <cell r="H122">
            <v>12.7548544946677</v>
          </cell>
          <cell r="I122">
            <v>7.8409892213808501</v>
          </cell>
          <cell r="J122">
            <v>159230.71587020499</v>
          </cell>
          <cell r="K122">
            <v>98649.541302768994</v>
          </cell>
          <cell r="L122">
            <v>1</v>
          </cell>
          <cell r="M122">
            <v>0</v>
          </cell>
        </row>
        <row r="123">
          <cell r="A123">
            <v>122</v>
          </cell>
          <cell r="B123">
            <v>1</v>
          </cell>
          <cell r="C123" t="str">
            <v>NA</v>
          </cell>
          <cell r="D123">
            <v>1</v>
          </cell>
          <cell r="E123">
            <v>9.7000000000000003E-2</v>
          </cell>
          <cell r="F123">
            <v>2.7199999999999998E-2</v>
          </cell>
          <cell r="G123">
            <v>19.705133027468101</v>
          </cell>
          <cell r="H123">
            <v>14.8598399001065</v>
          </cell>
          <cell r="I123">
            <v>8.9535467791975396</v>
          </cell>
          <cell r="J123">
            <v>190463.55645851101</v>
          </cell>
          <cell r="K123">
            <v>114492.16871429401</v>
          </cell>
          <cell r="L123">
            <v>1</v>
          </cell>
          <cell r="M123">
            <v>0</v>
          </cell>
        </row>
        <row r="124">
          <cell r="A124">
            <v>123</v>
          </cell>
          <cell r="B124">
            <v>1</v>
          </cell>
          <cell r="C124" t="str">
            <v>NA</v>
          </cell>
          <cell r="D124">
            <v>1</v>
          </cell>
          <cell r="E124">
            <v>0.12330000000000001</v>
          </cell>
          <cell r="F124">
            <v>2.52E-2</v>
          </cell>
          <cell r="G124">
            <v>19.474522830018199</v>
          </cell>
          <cell r="H124">
            <v>15.461534255713</v>
          </cell>
          <cell r="I124">
            <v>9.2716979543115094</v>
          </cell>
          <cell r="J124">
            <v>205879.32354372001</v>
          </cell>
          <cell r="K124">
            <v>122427.002531705</v>
          </cell>
          <cell r="L124">
            <v>1</v>
          </cell>
          <cell r="M124">
            <v>0</v>
          </cell>
        </row>
        <row r="125">
          <cell r="A125">
            <v>124</v>
          </cell>
          <cell r="B125">
            <v>1</v>
          </cell>
          <cell r="C125" t="str">
            <v>NA</v>
          </cell>
          <cell r="D125">
            <v>1</v>
          </cell>
          <cell r="E125">
            <v>0.1009</v>
          </cell>
          <cell r="F125">
            <v>2.4899999999999999E-2</v>
          </cell>
          <cell r="G125">
            <v>19.704257108635701</v>
          </cell>
          <cell r="H125">
            <v>14.017215557181601</v>
          </cell>
          <cell r="I125">
            <v>8.4485106138644106</v>
          </cell>
          <cell r="J125">
            <v>193481.126087671</v>
          </cell>
          <cell r="K125">
            <v>116122.736996686</v>
          </cell>
          <cell r="L125">
            <v>1</v>
          </cell>
          <cell r="M125">
            <v>0</v>
          </cell>
        </row>
        <row r="126">
          <cell r="A126">
            <v>125</v>
          </cell>
          <cell r="B126">
            <v>1</v>
          </cell>
          <cell r="C126" t="str">
            <v>NA</v>
          </cell>
          <cell r="D126">
            <v>1</v>
          </cell>
          <cell r="E126">
            <v>0.18440000000000001</v>
          </cell>
          <cell r="F126">
            <v>2.1100000000000001E-2</v>
          </cell>
          <cell r="G126">
            <v>19.420699231705999</v>
          </cell>
          <cell r="H126">
            <v>12.6767523423075</v>
          </cell>
          <cell r="I126">
            <v>7.4780783496942398</v>
          </cell>
          <cell r="J126">
            <v>191364.74937432</v>
          </cell>
          <cell r="K126">
            <v>111991.808244549</v>
          </cell>
          <cell r="L126">
            <v>1</v>
          </cell>
          <cell r="M126">
            <v>0</v>
          </cell>
        </row>
        <row r="127">
          <cell r="A127">
            <v>126</v>
          </cell>
          <cell r="B127">
            <v>1</v>
          </cell>
          <cell r="C127" t="str">
            <v>NA</v>
          </cell>
          <cell r="D127">
            <v>1</v>
          </cell>
          <cell r="E127">
            <v>0.09</v>
          </cell>
          <cell r="F127">
            <v>2.8000000000000001E-2</v>
          </cell>
          <cell r="G127">
            <v>18.535768294797901</v>
          </cell>
          <cell r="H127">
            <v>13.768478392185401</v>
          </cell>
          <cell r="I127">
            <v>8.4365540824526803</v>
          </cell>
          <cell r="J127">
            <v>188180.78480345101</v>
          </cell>
          <cell r="K127">
            <v>115557.749168496</v>
          </cell>
          <cell r="L127">
            <v>1</v>
          </cell>
          <cell r="M127">
            <v>0</v>
          </cell>
        </row>
        <row r="128">
          <cell r="A128">
            <v>127</v>
          </cell>
          <cell r="B128">
            <v>1</v>
          </cell>
          <cell r="C128" t="str">
            <v>NA</v>
          </cell>
          <cell r="D128">
            <v>1</v>
          </cell>
          <cell r="E128">
            <v>0.1201</v>
          </cell>
          <cell r="F128">
            <v>2.7900000000000001E-2</v>
          </cell>
          <cell r="G128">
            <v>18.945826761162198</v>
          </cell>
          <cell r="H128">
            <v>14.932502594753601</v>
          </cell>
          <cell r="I128">
            <v>9.0205989638234403</v>
          </cell>
          <cell r="J128">
            <v>204802.587305394</v>
          </cell>
          <cell r="K128">
            <v>123182.477668273</v>
          </cell>
          <cell r="L128">
            <v>1</v>
          </cell>
          <cell r="M128">
            <v>0</v>
          </cell>
        </row>
        <row r="129">
          <cell r="A129">
            <v>128</v>
          </cell>
          <cell r="B129">
            <v>1</v>
          </cell>
          <cell r="C129" t="str">
            <v>NA</v>
          </cell>
          <cell r="D129">
            <v>1</v>
          </cell>
          <cell r="E129">
            <v>0.1323</v>
          </cell>
          <cell r="F129">
            <v>2.1499999999999998E-2</v>
          </cell>
          <cell r="G129">
            <v>18.106897976359299</v>
          </cell>
          <cell r="H129">
            <v>14.271845371903501</v>
          </cell>
          <cell r="I129">
            <v>8.7426175102540302</v>
          </cell>
          <cell r="J129">
            <v>210811.883749684</v>
          </cell>
          <cell r="K129">
            <v>128558.08001541199</v>
          </cell>
          <cell r="L129">
            <v>1</v>
          </cell>
          <cell r="M129">
            <v>0</v>
          </cell>
        </row>
        <row r="130">
          <cell r="A130">
            <v>129</v>
          </cell>
          <cell r="B130">
            <v>1</v>
          </cell>
          <cell r="C130" t="str">
            <v>NA</v>
          </cell>
          <cell r="D130">
            <v>1</v>
          </cell>
          <cell r="E130">
            <v>0.11840000000000001</v>
          </cell>
          <cell r="F130">
            <v>2.5000000000000001E-2</v>
          </cell>
          <cell r="G130">
            <v>19.808327319361801</v>
          </cell>
          <cell r="H130">
            <v>13.895097946418099</v>
          </cell>
          <cell r="I130">
            <v>8.3173471891518602</v>
          </cell>
          <cell r="J130">
            <v>262982.48890289897</v>
          </cell>
          <cell r="K130">
            <v>154171.135234619</v>
          </cell>
          <cell r="L130">
            <v>1</v>
          </cell>
          <cell r="M130">
            <v>0</v>
          </cell>
        </row>
        <row r="131">
          <cell r="A131">
            <v>130</v>
          </cell>
          <cell r="B131">
            <v>1</v>
          </cell>
          <cell r="C131" t="str">
            <v>NA</v>
          </cell>
          <cell r="D131">
            <v>1</v>
          </cell>
          <cell r="E131">
            <v>8.9599999999999999E-2</v>
          </cell>
          <cell r="F131">
            <v>2.9000000000000001E-2</v>
          </cell>
          <cell r="G131">
            <v>19.404926586671401</v>
          </cell>
          <cell r="H131">
            <v>15.3233777098299</v>
          </cell>
          <cell r="I131">
            <v>9.2947745927145409</v>
          </cell>
          <cell r="J131">
            <v>189257.669440331</v>
          </cell>
          <cell r="K131">
            <v>114774.674033701</v>
          </cell>
          <cell r="L131">
            <v>1</v>
          </cell>
          <cell r="M131">
            <v>0</v>
          </cell>
        </row>
        <row r="132">
          <cell r="A132">
            <v>131</v>
          </cell>
          <cell r="B132">
            <v>1</v>
          </cell>
          <cell r="C132" t="str">
            <v>NA</v>
          </cell>
          <cell r="D132">
            <v>1</v>
          </cell>
          <cell r="E132">
            <v>0.11020000000000001</v>
          </cell>
          <cell r="F132">
            <v>2.9499999999999998E-2</v>
          </cell>
          <cell r="G132">
            <v>19.427448419096201</v>
          </cell>
          <cell r="H132">
            <v>13.418853828220501</v>
          </cell>
          <cell r="I132">
            <v>8.0769773982675197</v>
          </cell>
          <cell r="J132">
            <v>178377.921897252</v>
          </cell>
          <cell r="K132">
            <v>107590.664173492</v>
          </cell>
          <cell r="L132">
            <v>1</v>
          </cell>
          <cell r="M132">
            <v>0</v>
          </cell>
        </row>
        <row r="133">
          <cell r="A133">
            <v>132</v>
          </cell>
          <cell r="B133">
            <v>1</v>
          </cell>
          <cell r="C133" t="str">
            <v>NA</v>
          </cell>
          <cell r="D133">
            <v>1</v>
          </cell>
          <cell r="E133">
            <v>9.9699999999999997E-2</v>
          </cell>
          <cell r="F133">
            <v>1.9800000000000002E-2</v>
          </cell>
          <cell r="G133">
            <v>19.228334424839701</v>
          </cell>
          <cell r="H133">
            <v>13.6325614856129</v>
          </cell>
          <cell r="I133">
            <v>8.2698590893222796</v>
          </cell>
          <cell r="J133">
            <v>223134.438421078</v>
          </cell>
          <cell r="K133">
            <v>134069.432486331</v>
          </cell>
          <cell r="L133">
            <v>1</v>
          </cell>
          <cell r="M133">
            <v>0</v>
          </cell>
        </row>
        <row r="134">
          <cell r="A134">
            <v>133</v>
          </cell>
          <cell r="B134">
            <v>1</v>
          </cell>
          <cell r="C134" t="str">
            <v>NA</v>
          </cell>
          <cell r="D134">
            <v>1</v>
          </cell>
          <cell r="E134">
            <v>0.19589999999999999</v>
          </cell>
          <cell r="F134">
            <v>2.01E-2</v>
          </cell>
          <cell r="G134">
            <v>17.612996631469201</v>
          </cell>
          <cell r="H134">
            <v>13.7786447012981</v>
          </cell>
          <cell r="I134">
            <v>8.3411601226167207</v>
          </cell>
          <cell r="J134">
            <v>166734.26128217101</v>
          </cell>
          <cell r="K134">
            <v>101373.822253016</v>
          </cell>
          <cell r="L134">
            <v>1</v>
          </cell>
          <cell r="M134">
            <v>0</v>
          </cell>
        </row>
        <row r="135">
          <cell r="A135">
            <v>134</v>
          </cell>
          <cell r="B135">
            <v>1</v>
          </cell>
          <cell r="C135" t="str">
            <v>NA</v>
          </cell>
          <cell r="D135">
            <v>1</v>
          </cell>
          <cell r="E135">
            <v>0.21709999999999999</v>
          </cell>
          <cell r="F135">
            <v>2.01E-2</v>
          </cell>
          <cell r="G135">
            <v>17.628154747692999</v>
          </cell>
          <cell r="H135">
            <v>12.0063272063963</v>
          </cell>
          <cell r="I135">
            <v>7.2187281582172602</v>
          </cell>
          <cell r="J135">
            <v>160325.21847136199</v>
          </cell>
          <cell r="K135">
            <v>97087.612685240296</v>
          </cell>
          <cell r="L135">
            <v>1</v>
          </cell>
          <cell r="M135">
            <v>0</v>
          </cell>
        </row>
        <row r="136">
          <cell r="A136">
            <v>135</v>
          </cell>
          <cell r="B136">
            <v>1</v>
          </cell>
          <cell r="C136" t="str">
            <v>NA</v>
          </cell>
          <cell r="D136">
            <v>1</v>
          </cell>
          <cell r="E136">
            <v>0.1057</v>
          </cell>
          <cell r="F136">
            <v>2.23E-2</v>
          </cell>
          <cell r="G136">
            <v>18.924848118501</v>
          </cell>
          <cell r="H136">
            <v>14.049600484570099</v>
          </cell>
          <cell r="I136">
            <v>8.5523492901618603</v>
          </cell>
          <cell r="J136">
            <v>224694.59523481299</v>
          </cell>
          <cell r="K136">
            <v>135462.207530329</v>
          </cell>
          <cell r="L136">
            <v>1</v>
          </cell>
          <cell r="M136">
            <v>0</v>
          </cell>
        </row>
        <row r="137">
          <cell r="A137">
            <v>136</v>
          </cell>
          <cell r="B137">
            <v>1</v>
          </cell>
          <cell r="C137" t="str">
            <v>NA</v>
          </cell>
          <cell r="D137">
            <v>1</v>
          </cell>
          <cell r="E137">
            <v>0.1198</v>
          </cell>
          <cell r="F137">
            <v>2.9499999999999998E-2</v>
          </cell>
          <cell r="G137">
            <v>18.689154387812</v>
          </cell>
          <cell r="H137">
            <v>13.435671996524199</v>
          </cell>
          <cell r="I137">
            <v>8.1529795064031791</v>
          </cell>
          <cell r="J137">
            <v>253070.084124838</v>
          </cell>
          <cell r="K137">
            <v>151028.62241144301</v>
          </cell>
          <cell r="L137">
            <v>1</v>
          </cell>
          <cell r="M137">
            <v>0</v>
          </cell>
        </row>
        <row r="138">
          <cell r="A138">
            <v>137</v>
          </cell>
          <cell r="B138">
            <v>1</v>
          </cell>
          <cell r="C138" t="str">
            <v>NA</v>
          </cell>
          <cell r="D138">
            <v>1</v>
          </cell>
          <cell r="E138">
            <v>0.1716</v>
          </cell>
          <cell r="F138">
            <v>2.07E-2</v>
          </cell>
          <cell r="G138">
            <v>18.2034370314135</v>
          </cell>
          <cell r="H138">
            <v>13.476127440719001</v>
          </cell>
          <cell r="I138">
            <v>8.1371760296216795</v>
          </cell>
          <cell r="J138">
            <v>202489.032175853</v>
          </cell>
          <cell r="K138">
            <v>121249.02327758999</v>
          </cell>
          <cell r="L138">
            <v>1</v>
          </cell>
          <cell r="M138">
            <v>0</v>
          </cell>
        </row>
        <row r="139">
          <cell r="A139">
            <v>138</v>
          </cell>
          <cell r="B139">
            <v>1</v>
          </cell>
          <cell r="C139" t="str">
            <v>NA</v>
          </cell>
          <cell r="D139">
            <v>1</v>
          </cell>
          <cell r="E139">
            <v>0.1321</v>
          </cell>
          <cell r="F139">
            <v>2.75E-2</v>
          </cell>
          <cell r="G139">
            <v>19.200958937332199</v>
          </cell>
          <cell r="H139">
            <v>11.141349906560199</v>
          </cell>
          <cell r="I139">
            <v>6.6999577832477097</v>
          </cell>
          <cell r="J139">
            <v>229970.12306109199</v>
          </cell>
          <cell r="K139">
            <v>136292.52466020899</v>
          </cell>
          <cell r="L139">
            <v>1</v>
          </cell>
          <cell r="M139">
            <v>0</v>
          </cell>
        </row>
        <row r="140">
          <cell r="A140">
            <v>139</v>
          </cell>
          <cell r="B140">
            <v>1</v>
          </cell>
          <cell r="C140" t="str">
            <v>NA</v>
          </cell>
          <cell r="D140">
            <v>1</v>
          </cell>
          <cell r="E140">
            <v>0.16089999999999999</v>
          </cell>
          <cell r="F140">
            <v>2.53E-2</v>
          </cell>
          <cell r="G140">
            <v>17.647710079422001</v>
          </cell>
          <cell r="H140">
            <v>12.253264734420201</v>
          </cell>
          <cell r="I140">
            <v>7.4964290433277903</v>
          </cell>
          <cell r="J140">
            <v>193112.74808161901</v>
          </cell>
          <cell r="K140">
            <v>117864.227354765</v>
          </cell>
          <cell r="L140">
            <v>1</v>
          </cell>
          <cell r="M140">
            <v>0</v>
          </cell>
        </row>
        <row r="141">
          <cell r="A141">
            <v>140</v>
          </cell>
          <cell r="B141">
            <v>1</v>
          </cell>
          <cell r="C141" t="str">
            <v>NA</v>
          </cell>
          <cell r="D141">
            <v>1</v>
          </cell>
          <cell r="E141">
            <v>0.1416</v>
          </cell>
          <cell r="F141">
            <v>2.6200000000000001E-2</v>
          </cell>
          <cell r="G141">
            <v>18.790047922951899</v>
          </cell>
          <cell r="H141">
            <v>14.983386214284501</v>
          </cell>
          <cell r="I141">
            <v>9.0327392859246096</v>
          </cell>
          <cell r="J141">
            <v>201068.88452978301</v>
          </cell>
          <cell r="K141">
            <v>120326.26199614001</v>
          </cell>
          <cell r="L141">
            <v>1</v>
          </cell>
          <cell r="M141">
            <v>0</v>
          </cell>
        </row>
        <row r="142">
          <cell r="A142">
            <v>141</v>
          </cell>
          <cell r="B142">
            <v>1</v>
          </cell>
          <cell r="C142" t="str">
            <v>NA</v>
          </cell>
          <cell r="D142">
            <v>1</v>
          </cell>
          <cell r="E142">
            <v>0.1537</v>
          </cell>
          <cell r="F142">
            <v>2.3800000000000002E-2</v>
          </cell>
          <cell r="G142">
            <v>19.961406604520398</v>
          </cell>
          <cell r="H142">
            <v>14.9068518386793</v>
          </cell>
          <cell r="I142">
            <v>8.8001161659059601</v>
          </cell>
          <cell r="J142">
            <v>214298.085291119</v>
          </cell>
          <cell r="K142">
            <v>124472.465949223</v>
          </cell>
          <cell r="L142">
            <v>1</v>
          </cell>
          <cell r="M142">
            <v>0</v>
          </cell>
        </row>
        <row r="143">
          <cell r="A143">
            <v>142</v>
          </cell>
          <cell r="B143">
            <v>1</v>
          </cell>
          <cell r="C143" t="str">
            <v>NA</v>
          </cell>
          <cell r="D143">
            <v>1</v>
          </cell>
          <cell r="E143">
            <v>0.1305</v>
          </cell>
          <cell r="F143">
            <v>2.7900000000000001E-2</v>
          </cell>
          <cell r="G143">
            <v>17.832739477583502</v>
          </cell>
          <cell r="H143">
            <v>12.7000419365989</v>
          </cell>
          <cell r="I143">
            <v>7.7678933999001503</v>
          </cell>
          <cell r="J143">
            <v>168379.32943161001</v>
          </cell>
          <cell r="K143">
            <v>103692.81853648101</v>
          </cell>
          <cell r="L143">
            <v>1</v>
          </cell>
          <cell r="M143">
            <v>0</v>
          </cell>
        </row>
        <row r="144">
          <cell r="A144">
            <v>143</v>
          </cell>
          <cell r="B144">
            <v>1</v>
          </cell>
          <cell r="C144" t="str">
            <v>NA</v>
          </cell>
          <cell r="D144">
            <v>1</v>
          </cell>
          <cell r="E144">
            <v>0.14219999999999999</v>
          </cell>
          <cell r="F144">
            <v>2.18E-2</v>
          </cell>
          <cell r="G144">
            <v>17.160622831347201</v>
          </cell>
          <cell r="H144">
            <v>11.4211964038278</v>
          </cell>
          <cell r="I144">
            <v>7.0772247541953499</v>
          </cell>
          <cell r="J144">
            <v>193388.393823302</v>
          </cell>
          <cell r="K144">
            <v>119738.507558008</v>
          </cell>
          <cell r="L144">
            <v>1</v>
          </cell>
          <cell r="M144">
            <v>0</v>
          </cell>
        </row>
        <row r="145">
          <cell r="A145">
            <v>144</v>
          </cell>
          <cell r="B145">
            <v>1</v>
          </cell>
          <cell r="C145" t="str">
            <v>NA</v>
          </cell>
          <cell r="D145">
            <v>1</v>
          </cell>
          <cell r="E145">
            <v>0.17119999999999999</v>
          </cell>
          <cell r="F145">
            <v>2.3300000000000001E-2</v>
          </cell>
          <cell r="G145">
            <v>18.511295099425102</v>
          </cell>
          <cell r="H145">
            <v>13.469964437831999</v>
          </cell>
          <cell r="I145">
            <v>8.0996046795086301</v>
          </cell>
          <cell r="J145">
            <v>229414.07019892099</v>
          </cell>
          <cell r="K145">
            <v>136050.72048068</v>
          </cell>
          <cell r="L145">
            <v>1</v>
          </cell>
          <cell r="M145">
            <v>0</v>
          </cell>
        </row>
        <row r="146">
          <cell r="A146">
            <v>145</v>
          </cell>
          <cell r="B146">
            <v>1</v>
          </cell>
          <cell r="C146" t="str">
            <v>NA</v>
          </cell>
          <cell r="D146">
            <v>1</v>
          </cell>
          <cell r="E146">
            <v>0.20349999999999999</v>
          </cell>
          <cell r="F146">
            <v>2.7E-2</v>
          </cell>
          <cell r="G146">
            <v>17.136541114178002</v>
          </cell>
          <cell r="H146">
            <v>12.7736109075547</v>
          </cell>
          <cell r="I146">
            <v>7.7632284366089204</v>
          </cell>
          <cell r="J146">
            <v>171852.28221715899</v>
          </cell>
          <cell r="K146">
            <v>104667.33313403399</v>
          </cell>
          <cell r="L146">
            <v>1</v>
          </cell>
          <cell r="M146">
            <v>0</v>
          </cell>
        </row>
        <row r="147">
          <cell r="A147">
            <v>146</v>
          </cell>
          <cell r="B147">
            <v>1</v>
          </cell>
          <cell r="C147" t="str">
            <v>NA</v>
          </cell>
          <cell r="D147">
            <v>1</v>
          </cell>
          <cell r="E147">
            <v>0.2014</v>
          </cell>
          <cell r="F147">
            <v>2.3E-2</v>
          </cell>
          <cell r="G147">
            <v>18.147107699510901</v>
          </cell>
          <cell r="H147">
            <v>14.0898093971817</v>
          </cell>
          <cell r="I147">
            <v>8.4310004843903599</v>
          </cell>
          <cell r="J147">
            <v>233868.10405027401</v>
          </cell>
          <cell r="K147">
            <v>137226.327252649</v>
          </cell>
          <cell r="L147">
            <v>1</v>
          </cell>
          <cell r="M147">
            <v>0</v>
          </cell>
        </row>
        <row r="148">
          <cell r="A148">
            <v>147</v>
          </cell>
          <cell r="B148">
            <v>1</v>
          </cell>
          <cell r="C148" t="str">
            <v>NA</v>
          </cell>
          <cell r="D148">
            <v>1</v>
          </cell>
          <cell r="E148">
            <v>0.1588</v>
          </cell>
          <cell r="F148">
            <v>2.6800000000000001E-2</v>
          </cell>
          <cell r="G148">
            <v>19.5534271235517</v>
          </cell>
          <cell r="H148">
            <v>14.0754164269262</v>
          </cell>
          <cell r="I148">
            <v>8.3476899390454893</v>
          </cell>
          <cell r="J148">
            <v>202188.994220903</v>
          </cell>
          <cell r="K148">
            <v>118771.61854911099</v>
          </cell>
          <cell r="L148">
            <v>1</v>
          </cell>
          <cell r="M148">
            <v>0</v>
          </cell>
        </row>
        <row r="149">
          <cell r="A149">
            <v>148</v>
          </cell>
          <cell r="B149">
            <v>1</v>
          </cell>
          <cell r="C149" t="str">
            <v>NA</v>
          </cell>
          <cell r="D149">
            <v>1</v>
          </cell>
          <cell r="E149">
            <v>0.24990000000000001</v>
          </cell>
          <cell r="F149">
            <v>2.2599999999999999E-2</v>
          </cell>
          <cell r="G149">
            <v>16.945177236241399</v>
          </cell>
          <cell r="H149">
            <v>12.8599164962373</v>
          </cell>
          <cell r="I149">
            <v>7.7471529982962304</v>
          </cell>
          <cell r="J149">
            <v>175991.64595000501</v>
          </cell>
          <cell r="K149">
            <v>105715.611357113</v>
          </cell>
          <cell r="L149">
            <v>1</v>
          </cell>
          <cell r="M149">
            <v>0</v>
          </cell>
        </row>
        <row r="150">
          <cell r="A150">
            <v>149</v>
          </cell>
          <cell r="B150">
            <v>1</v>
          </cell>
          <cell r="C150" t="str">
            <v>NA</v>
          </cell>
          <cell r="D150">
            <v>1</v>
          </cell>
          <cell r="E150">
            <v>0.1396</v>
          </cell>
          <cell r="F150">
            <v>3.1399999999999997E-2</v>
          </cell>
          <cell r="G150">
            <v>18.757946554694801</v>
          </cell>
          <cell r="H150">
            <v>12.387553294202</v>
          </cell>
          <cell r="I150">
            <v>7.46857917208012</v>
          </cell>
          <cell r="J150">
            <v>223016.84933445399</v>
          </cell>
          <cell r="K150">
            <v>132723.24244966701</v>
          </cell>
          <cell r="L150">
            <v>1</v>
          </cell>
          <cell r="M150">
            <v>0</v>
          </cell>
        </row>
        <row r="151">
          <cell r="A151">
            <v>150</v>
          </cell>
          <cell r="B151">
            <v>1</v>
          </cell>
          <cell r="C151" t="str">
            <v>NA</v>
          </cell>
          <cell r="D151">
            <v>1</v>
          </cell>
          <cell r="E151">
            <v>0.1421</v>
          </cell>
          <cell r="F151">
            <v>2.3E-2</v>
          </cell>
          <cell r="G151">
            <v>20.043720924176601</v>
          </cell>
          <cell r="H151">
            <v>15.5129923968874</v>
          </cell>
          <cell r="I151">
            <v>9.2286001233785999</v>
          </cell>
          <cell r="J151">
            <v>222631.50310442201</v>
          </cell>
          <cell r="K151">
            <v>130435.28590854</v>
          </cell>
          <cell r="L151">
            <v>1</v>
          </cell>
          <cell r="M151">
            <v>0</v>
          </cell>
        </row>
        <row r="152">
          <cell r="A152">
            <v>151</v>
          </cell>
          <cell r="B152">
            <v>1</v>
          </cell>
          <cell r="C152" t="str">
            <v>NA</v>
          </cell>
          <cell r="D152">
            <v>1</v>
          </cell>
          <cell r="E152">
            <v>0.1835</v>
          </cell>
          <cell r="F152">
            <v>2.7300000000000001E-2</v>
          </cell>
          <cell r="G152">
            <v>18.638205152377001</v>
          </cell>
          <cell r="H152">
            <v>12.856922784492101</v>
          </cell>
          <cell r="I152">
            <v>7.6749111416261897</v>
          </cell>
          <cell r="J152">
            <v>247557.74773004101</v>
          </cell>
          <cell r="K152">
            <v>144767.63364152901</v>
          </cell>
          <cell r="L152">
            <v>1</v>
          </cell>
          <cell r="M152">
            <v>0</v>
          </cell>
        </row>
        <row r="153">
          <cell r="A153">
            <v>152</v>
          </cell>
          <cell r="B153">
            <v>1</v>
          </cell>
          <cell r="C153" t="str">
            <v>NA</v>
          </cell>
          <cell r="D153">
            <v>1</v>
          </cell>
          <cell r="E153">
            <v>0.17630000000000001</v>
          </cell>
          <cell r="F153">
            <v>2.93E-2</v>
          </cell>
          <cell r="G153">
            <v>18.605485479964599</v>
          </cell>
          <cell r="H153">
            <v>13.102355973685899</v>
          </cell>
          <cell r="I153">
            <v>7.8278335043713803</v>
          </cell>
          <cell r="J153">
            <v>155523.530525132</v>
          </cell>
          <cell r="K153">
            <v>93824.731005172202</v>
          </cell>
          <cell r="L153">
            <v>1</v>
          </cell>
          <cell r="M153">
            <v>0</v>
          </cell>
        </row>
        <row r="154">
          <cell r="A154">
            <v>153</v>
          </cell>
          <cell r="B154">
            <v>1</v>
          </cell>
          <cell r="C154" t="str">
            <v>NA</v>
          </cell>
          <cell r="D154">
            <v>1</v>
          </cell>
          <cell r="E154">
            <v>0.25469999999999998</v>
          </cell>
          <cell r="F154">
            <v>2.07E-2</v>
          </cell>
          <cell r="G154">
            <v>16.8413656281949</v>
          </cell>
          <cell r="H154">
            <v>10.848099257309499</v>
          </cell>
          <cell r="I154">
            <v>6.5182502779034701</v>
          </cell>
          <cell r="J154">
            <v>195828.83216320499</v>
          </cell>
          <cell r="K154">
            <v>116589.907197878</v>
          </cell>
          <cell r="L154">
            <v>1</v>
          </cell>
          <cell r="M154">
            <v>0</v>
          </cell>
        </row>
        <row r="155">
          <cell r="A155">
            <v>154</v>
          </cell>
          <cell r="B155">
            <v>1</v>
          </cell>
          <cell r="C155" t="str">
            <v>NA</v>
          </cell>
          <cell r="D155">
            <v>1</v>
          </cell>
          <cell r="E155">
            <v>8.43E-2</v>
          </cell>
          <cell r="F155">
            <v>2.7699999999999999E-2</v>
          </cell>
          <cell r="G155">
            <v>18.537449303181301</v>
          </cell>
          <cell r="H155">
            <v>14.752580332739999</v>
          </cell>
          <cell r="I155">
            <v>9.07992369342168</v>
          </cell>
          <cell r="J155">
            <v>239848.50082640999</v>
          </cell>
          <cell r="K155">
            <v>146126.27265667301</v>
          </cell>
          <cell r="L155">
            <v>1</v>
          </cell>
          <cell r="M155">
            <v>0</v>
          </cell>
        </row>
        <row r="156">
          <cell r="A156">
            <v>155</v>
          </cell>
          <cell r="B156">
            <v>1</v>
          </cell>
          <cell r="C156" t="str">
            <v>NA</v>
          </cell>
          <cell r="D156">
            <v>1</v>
          </cell>
          <cell r="E156">
            <v>0.12920000000000001</v>
          </cell>
          <cell r="F156">
            <v>2.5999999999999999E-2</v>
          </cell>
          <cell r="G156">
            <v>18.731006888945</v>
          </cell>
          <cell r="H156">
            <v>12.828770443442099</v>
          </cell>
          <cell r="I156">
            <v>7.7571938279187203</v>
          </cell>
          <cell r="J156">
            <v>278599.97504888399</v>
          </cell>
          <cell r="K156">
            <v>164458.11221789001</v>
          </cell>
          <cell r="L156">
            <v>1</v>
          </cell>
          <cell r="M156">
            <v>0</v>
          </cell>
        </row>
        <row r="157">
          <cell r="A157">
            <v>156</v>
          </cell>
          <cell r="B157">
            <v>1</v>
          </cell>
          <cell r="C157" t="str">
            <v>NA</v>
          </cell>
          <cell r="D157">
            <v>1</v>
          </cell>
          <cell r="E157">
            <v>0.1827</v>
          </cell>
          <cell r="F157">
            <v>2.4299999999999999E-2</v>
          </cell>
          <cell r="G157">
            <v>18.511652265322301</v>
          </cell>
          <cell r="H157">
            <v>12.840535921293</v>
          </cell>
          <cell r="I157">
            <v>7.6934809962404698</v>
          </cell>
          <cell r="J157">
            <v>207238.53515202599</v>
          </cell>
          <cell r="K157">
            <v>123071.848171891</v>
          </cell>
          <cell r="L157">
            <v>1</v>
          </cell>
          <cell r="M157">
            <v>0</v>
          </cell>
        </row>
        <row r="158">
          <cell r="A158">
            <v>157</v>
          </cell>
          <cell r="B158">
            <v>1</v>
          </cell>
          <cell r="C158" t="str">
            <v>NA</v>
          </cell>
          <cell r="D158">
            <v>1</v>
          </cell>
          <cell r="E158">
            <v>0.12509999999999999</v>
          </cell>
          <cell r="F158">
            <v>2.4E-2</v>
          </cell>
          <cell r="G158">
            <v>18.719236560957899</v>
          </cell>
          <cell r="H158">
            <v>14.9803764860499</v>
          </cell>
          <cell r="I158">
            <v>9.0936912517614292</v>
          </cell>
          <cell r="J158">
            <v>223821.527379451</v>
          </cell>
          <cell r="K158">
            <v>134250.07363748201</v>
          </cell>
          <cell r="L158">
            <v>1</v>
          </cell>
          <cell r="M158">
            <v>0</v>
          </cell>
        </row>
        <row r="159">
          <cell r="A159">
            <v>158</v>
          </cell>
          <cell r="B159">
            <v>1</v>
          </cell>
          <cell r="C159" t="str">
            <v>NA</v>
          </cell>
          <cell r="D159">
            <v>1</v>
          </cell>
          <cell r="E159">
            <v>0.14000000000000001</v>
          </cell>
          <cell r="F159">
            <v>2.4500000000000001E-2</v>
          </cell>
          <cell r="G159">
            <v>20.0955913843129</v>
          </cell>
          <cell r="H159">
            <v>14.6497069435196</v>
          </cell>
          <cell r="I159">
            <v>8.6726958058299299</v>
          </cell>
          <cell r="J159">
            <v>226379.15301291001</v>
          </cell>
          <cell r="K159">
            <v>131994.230784346</v>
          </cell>
          <cell r="L159">
            <v>1</v>
          </cell>
          <cell r="M159">
            <v>0</v>
          </cell>
        </row>
        <row r="160">
          <cell r="A160">
            <v>159</v>
          </cell>
          <cell r="B160">
            <v>1</v>
          </cell>
          <cell r="C160" t="str">
            <v>NA</v>
          </cell>
          <cell r="D160">
            <v>1</v>
          </cell>
          <cell r="E160">
            <v>0.17280000000000001</v>
          </cell>
          <cell r="F160">
            <v>2.4400000000000002E-2</v>
          </cell>
          <cell r="G160">
            <v>18.007912612473199</v>
          </cell>
          <cell r="H160">
            <v>12.8513912976711</v>
          </cell>
          <cell r="I160">
            <v>7.7596685629132303</v>
          </cell>
          <cell r="J160">
            <v>177906.98763666701</v>
          </cell>
          <cell r="K160">
            <v>107778.60634213701</v>
          </cell>
          <cell r="L160">
            <v>1</v>
          </cell>
          <cell r="M160">
            <v>0</v>
          </cell>
        </row>
        <row r="161">
          <cell r="A161">
            <v>160</v>
          </cell>
          <cell r="B161">
            <v>1</v>
          </cell>
          <cell r="C161" t="str">
            <v>NA</v>
          </cell>
          <cell r="D161">
            <v>1</v>
          </cell>
          <cell r="E161">
            <v>0.1169</v>
          </cell>
          <cell r="F161">
            <v>2.7900000000000001E-2</v>
          </cell>
          <cell r="G161">
            <v>18.636848136278498</v>
          </cell>
          <cell r="H161">
            <v>13.2284675986692</v>
          </cell>
          <cell r="I161">
            <v>8.0574486552047997</v>
          </cell>
          <cell r="J161">
            <v>251030.180697829</v>
          </cell>
          <cell r="K161">
            <v>150352.48084849701</v>
          </cell>
          <cell r="L161">
            <v>1</v>
          </cell>
          <cell r="M161">
            <v>0</v>
          </cell>
        </row>
        <row r="162">
          <cell r="A162">
            <v>161</v>
          </cell>
          <cell r="B162">
            <v>1</v>
          </cell>
          <cell r="C162" t="str">
            <v>NA</v>
          </cell>
          <cell r="D162">
            <v>1</v>
          </cell>
          <cell r="E162">
            <v>0.16389999999999999</v>
          </cell>
          <cell r="F162">
            <v>2.5999999999999999E-2</v>
          </cell>
          <cell r="G162">
            <v>17.598348120018301</v>
          </cell>
          <cell r="H162">
            <v>12.7072564714341</v>
          </cell>
          <cell r="I162">
            <v>7.7700156106628198</v>
          </cell>
          <cell r="J162">
            <v>247168.75743588101</v>
          </cell>
          <cell r="K162">
            <v>148886.188604169</v>
          </cell>
          <cell r="L162">
            <v>1</v>
          </cell>
          <cell r="M162">
            <v>0</v>
          </cell>
        </row>
        <row r="163">
          <cell r="A163">
            <v>162</v>
          </cell>
          <cell r="B163">
            <v>1</v>
          </cell>
          <cell r="C163" t="str">
            <v>NA</v>
          </cell>
          <cell r="D163">
            <v>1</v>
          </cell>
          <cell r="E163">
            <v>0.1477</v>
          </cell>
          <cell r="F163">
            <v>2.6200000000000001E-2</v>
          </cell>
          <cell r="G163">
            <v>19.886222879798598</v>
          </cell>
          <cell r="H163">
            <v>12.517360634668201</v>
          </cell>
          <cell r="I163">
            <v>7.4093166820841896</v>
          </cell>
          <cell r="J163">
            <v>258333.89933423899</v>
          </cell>
          <cell r="K163">
            <v>149344.596161644</v>
          </cell>
          <cell r="L163">
            <v>1</v>
          </cell>
          <cell r="M163">
            <v>0</v>
          </cell>
        </row>
        <row r="164">
          <cell r="A164">
            <v>163</v>
          </cell>
          <cell r="B164">
            <v>1</v>
          </cell>
          <cell r="C164" t="str">
            <v>NA</v>
          </cell>
          <cell r="D164">
            <v>1</v>
          </cell>
          <cell r="E164">
            <v>8.2799999999999999E-2</v>
          </cell>
          <cell r="F164">
            <v>2.9399999999999999E-2</v>
          </cell>
          <cell r="G164">
            <v>20.0353380224992</v>
          </cell>
          <cell r="H164">
            <v>15.4265294988839</v>
          </cell>
          <cell r="I164">
            <v>9.2820155992509701</v>
          </cell>
          <cell r="J164">
            <v>183933.84101909399</v>
          </cell>
          <cell r="K164">
            <v>110718.928298924</v>
          </cell>
          <cell r="L164">
            <v>1</v>
          </cell>
          <cell r="M164">
            <v>0</v>
          </cell>
        </row>
        <row r="165">
          <cell r="A165">
            <v>164</v>
          </cell>
          <cell r="B165">
            <v>1</v>
          </cell>
          <cell r="C165" t="str">
            <v>NA</v>
          </cell>
          <cell r="D165">
            <v>1</v>
          </cell>
          <cell r="E165">
            <v>0.11890000000000001</v>
          </cell>
          <cell r="F165">
            <v>3.0300000000000001E-2</v>
          </cell>
          <cell r="G165">
            <v>19.351899877319301</v>
          </cell>
          <cell r="H165">
            <v>15.774532466807599</v>
          </cell>
          <cell r="I165">
            <v>9.4582383419536704</v>
          </cell>
          <cell r="J165">
            <v>229673.238932915</v>
          </cell>
          <cell r="K165">
            <v>135676.51395101001</v>
          </cell>
          <cell r="L165">
            <v>1</v>
          </cell>
          <cell r="M165">
            <v>0</v>
          </cell>
        </row>
        <row r="166">
          <cell r="A166">
            <v>165</v>
          </cell>
          <cell r="B166">
            <v>1</v>
          </cell>
          <cell r="C166" t="str">
            <v>NA</v>
          </cell>
          <cell r="D166">
            <v>1</v>
          </cell>
          <cell r="E166">
            <v>0.16250000000000001</v>
          </cell>
          <cell r="F166">
            <v>2.3900000000000001E-2</v>
          </cell>
          <cell r="G166">
            <v>19.826014846882501</v>
          </cell>
          <cell r="H166">
            <v>13.3394924474409</v>
          </cell>
          <cell r="I166">
            <v>7.8820855219228196</v>
          </cell>
          <cell r="J166">
            <v>275995.530673153</v>
          </cell>
          <cell r="K166">
            <v>158515.51365697099</v>
          </cell>
          <cell r="L166">
            <v>1</v>
          </cell>
          <cell r="M166">
            <v>0</v>
          </cell>
        </row>
        <row r="167">
          <cell r="A167">
            <v>166</v>
          </cell>
          <cell r="B167">
            <v>1</v>
          </cell>
          <cell r="C167" t="str">
            <v>NA</v>
          </cell>
          <cell r="D167">
            <v>1</v>
          </cell>
          <cell r="E167">
            <v>0.1099</v>
          </cell>
          <cell r="F167">
            <v>2.35E-2</v>
          </cell>
          <cell r="G167">
            <v>19.9598897820246</v>
          </cell>
          <cell r="H167">
            <v>12.3840343878024</v>
          </cell>
          <cell r="I167">
            <v>7.4034170633365797</v>
          </cell>
          <cell r="J167">
            <v>174756.14633935099</v>
          </cell>
          <cell r="K167">
            <v>104802.168374247</v>
          </cell>
          <cell r="L167">
            <v>1</v>
          </cell>
          <cell r="M167">
            <v>0</v>
          </cell>
        </row>
        <row r="168">
          <cell r="A168">
            <v>167</v>
          </cell>
          <cell r="B168">
            <v>1</v>
          </cell>
          <cell r="C168" t="str">
            <v>NA</v>
          </cell>
          <cell r="D168">
            <v>1</v>
          </cell>
          <cell r="E168">
            <v>0.114</v>
          </cell>
          <cell r="F168">
            <v>3.0099999999999998E-2</v>
          </cell>
          <cell r="G168">
            <v>19.803190963986399</v>
          </cell>
          <cell r="H168">
            <v>13.927227801122299</v>
          </cell>
          <cell r="I168">
            <v>8.3345489908911006</v>
          </cell>
          <cell r="J168">
            <v>204403.209512111</v>
          </cell>
          <cell r="K168">
            <v>121501.009261072</v>
          </cell>
          <cell r="L168">
            <v>1</v>
          </cell>
          <cell r="M168">
            <v>0</v>
          </cell>
        </row>
        <row r="169">
          <cell r="A169">
            <v>168</v>
          </cell>
          <cell r="B169">
            <v>1</v>
          </cell>
          <cell r="C169" t="str">
            <v>NA</v>
          </cell>
          <cell r="D169">
            <v>1</v>
          </cell>
          <cell r="E169">
            <v>0.2056</v>
          </cell>
          <cell r="F169">
            <v>2.2499999999999999E-2</v>
          </cell>
          <cell r="G169">
            <v>18.842217645672001</v>
          </cell>
          <cell r="H169">
            <v>12.8354913210565</v>
          </cell>
          <cell r="I169">
            <v>7.6112316191288496</v>
          </cell>
          <cell r="J169">
            <v>219265.731466809</v>
          </cell>
          <cell r="K169">
            <v>127718.97584390899</v>
          </cell>
          <cell r="L169">
            <v>1</v>
          </cell>
          <cell r="M169">
            <v>0</v>
          </cell>
        </row>
        <row r="170">
          <cell r="A170">
            <v>169</v>
          </cell>
          <cell r="B170">
            <v>1</v>
          </cell>
          <cell r="C170" t="str">
            <v>NA</v>
          </cell>
          <cell r="D170">
            <v>1</v>
          </cell>
          <cell r="E170">
            <v>0.13070000000000001</v>
          </cell>
          <cell r="F170">
            <v>2.5700000000000001E-2</v>
          </cell>
          <cell r="G170">
            <v>19.904892996655999</v>
          </cell>
          <cell r="H170">
            <v>14.832048398784901</v>
          </cell>
          <cell r="I170">
            <v>8.8543304398715108</v>
          </cell>
          <cell r="J170">
            <v>275960.27325206</v>
          </cell>
          <cell r="K170">
            <v>160543.57080316101</v>
          </cell>
          <cell r="L170">
            <v>1</v>
          </cell>
          <cell r="M170">
            <v>0</v>
          </cell>
        </row>
        <row r="171">
          <cell r="A171">
            <v>170</v>
          </cell>
          <cell r="B171">
            <v>1</v>
          </cell>
          <cell r="C171" t="str">
            <v>NA</v>
          </cell>
          <cell r="D171">
            <v>1</v>
          </cell>
          <cell r="E171">
            <v>0.1739</v>
          </cell>
          <cell r="F171">
            <v>2.6499999999999999E-2</v>
          </cell>
          <cell r="G171">
            <v>18.680986689352501</v>
          </cell>
          <cell r="H171">
            <v>13.0164475890285</v>
          </cell>
          <cell r="I171">
            <v>7.7769065347066304</v>
          </cell>
          <cell r="J171">
            <v>160418.204486587</v>
          </cell>
          <cell r="K171">
            <v>96395.714568098003</v>
          </cell>
          <cell r="L171">
            <v>1</v>
          </cell>
          <cell r="M171">
            <v>0</v>
          </cell>
        </row>
        <row r="172">
          <cell r="A172">
            <v>171</v>
          </cell>
          <cell r="B172">
            <v>1</v>
          </cell>
          <cell r="C172" t="str">
            <v>NA</v>
          </cell>
          <cell r="D172">
            <v>1</v>
          </cell>
          <cell r="E172">
            <v>0.14410000000000001</v>
          </cell>
          <cell r="F172">
            <v>2.87E-2</v>
          </cell>
          <cell r="G172">
            <v>19.335414821294901</v>
          </cell>
          <cell r="H172">
            <v>12.6585930541649</v>
          </cell>
          <cell r="I172">
            <v>7.5822470627173804</v>
          </cell>
          <cell r="J172">
            <v>272102.294184267</v>
          </cell>
          <cell r="K172">
            <v>158887.29588013701</v>
          </cell>
          <cell r="L172">
            <v>1</v>
          </cell>
          <cell r="M172">
            <v>0</v>
          </cell>
        </row>
        <row r="173">
          <cell r="A173">
            <v>172</v>
          </cell>
          <cell r="B173">
            <v>1</v>
          </cell>
          <cell r="C173" t="str">
            <v>NA</v>
          </cell>
          <cell r="D173">
            <v>1</v>
          </cell>
          <cell r="E173">
            <v>0.109</v>
          </cell>
          <cell r="F173">
            <v>2.76E-2</v>
          </cell>
          <cell r="G173">
            <v>19.024067609076099</v>
          </cell>
          <cell r="H173">
            <v>13.3243091606377</v>
          </cell>
          <cell r="I173">
            <v>8.0805294724547796</v>
          </cell>
          <cell r="J173">
            <v>236083.817130415</v>
          </cell>
          <cell r="K173">
            <v>141257.19727552499</v>
          </cell>
          <cell r="L173">
            <v>1</v>
          </cell>
          <cell r="M173">
            <v>0</v>
          </cell>
        </row>
        <row r="174">
          <cell r="A174">
            <v>173</v>
          </cell>
          <cell r="B174">
            <v>1</v>
          </cell>
          <cell r="C174" t="str">
            <v>NA</v>
          </cell>
          <cell r="D174">
            <v>1</v>
          </cell>
          <cell r="E174">
            <v>0.1072</v>
          </cell>
          <cell r="F174">
            <v>3.0499999999999999E-2</v>
          </cell>
          <cell r="G174">
            <v>19.4453208287024</v>
          </cell>
          <cell r="H174">
            <v>10.962937127078501</v>
          </cell>
          <cell r="I174">
            <v>6.5963459755342804</v>
          </cell>
          <cell r="J174">
            <v>247174.53305722299</v>
          </cell>
          <cell r="K174">
            <v>146080.068115912</v>
          </cell>
          <cell r="L174">
            <v>1</v>
          </cell>
          <cell r="M174">
            <v>0</v>
          </cell>
        </row>
        <row r="175">
          <cell r="A175">
            <v>174</v>
          </cell>
          <cell r="B175">
            <v>1</v>
          </cell>
          <cell r="C175" t="str">
            <v>NA</v>
          </cell>
          <cell r="D175">
            <v>1</v>
          </cell>
          <cell r="E175">
            <v>0.224</v>
          </cell>
          <cell r="F175">
            <v>2.5100000000000001E-2</v>
          </cell>
          <cell r="G175">
            <v>19.283645833268402</v>
          </cell>
          <cell r="H175">
            <v>11.5978999501116</v>
          </cell>
          <cell r="I175">
            <v>6.7677504068227403</v>
          </cell>
          <cell r="J175">
            <v>251417.97123606101</v>
          </cell>
          <cell r="K175">
            <v>142539.24724526799</v>
          </cell>
          <cell r="L175">
            <v>1</v>
          </cell>
          <cell r="M175">
            <v>0</v>
          </cell>
        </row>
        <row r="176">
          <cell r="A176">
            <v>175</v>
          </cell>
          <cell r="B176">
            <v>1</v>
          </cell>
          <cell r="C176" t="str">
            <v>NA</v>
          </cell>
          <cell r="D176">
            <v>1</v>
          </cell>
          <cell r="E176">
            <v>0.1487</v>
          </cell>
          <cell r="F176">
            <v>2.46E-2</v>
          </cell>
          <cell r="G176">
            <v>18.866646756226601</v>
          </cell>
          <cell r="H176">
            <v>12.795353569239101</v>
          </cell>
          <cell r="I176">
            <v>7.6803097007408896</v>
          </cell>
          <cell r="J176">
            <v>247293.36804755501</v>
          </cell>
          <cell r="K176">
            <v>145449.84356775301</v>
          </cell>
          <cell r="L176">
            <v>1</v>
          </cell>
          <cell r="M176">
            <v>0</v>
          </cell>
        </row>
        <row r="177">
          <cell r="A177">
            <v>176</v>
          </cell>
          <cell r="B177">
            <v>1</v>
          </cell>
          <cell r="C177" t="str">
            <v>NA</v>
          </cell>
          <cell r="D177">
            <v>1</v>
          </cell>
          <cell r="E177">
            <v>0.16930000000000001</v>
          </cell>
          <cell r="F177">
            <v>2.58E-2</v>
          </cell>
          <cell r="G177">
            <v>19.657930766957701</v>
          </cell>
          <cell r="H177">
            <v>14.0206918992097</v>
          </cell>
          <cell r="I177">
            <v>8.2602248241157206</v>
          </cell>
          <cell r="J177">
            <v>234972.55339303199</v>
          </cell>
          <cell r="K177">
            <v>135434.86568553199</v>
          </cell>
          <cell r="L177">
            <v>1</v>
          </cell>
          <cell r="M177">
            <v>0</v>
          </cell>
        </row>
        <row r="178">
          <cell r="A178">
            <v>177</v>
          </cell>
          <cell r="B178">
            <v>1</v>
          </cell>
          <cell r="C178" t="str">
            <v>NA</v>
          </cell>
          <cell r="D178">
            <v>1</v>
          </cell>
          <cell r="E178">
            <v>0.1258</v>
          </cell>
          <cell r="F178">
            <v>2.5700000000000001E-2</v>
          </cell>
          <cell r="G178">
            <v>18.679985037604499</v>
          </cell>
          <cell r="H178">
            <v>12.6098171274897</v>
          </cell>
          <cell r="I178">
            <v>7.6558483710411203</v>
          </cell>
          <cell r="J178">
            <v>214063.613212481</v>
          </cell>
          <cell r="K178">
            <v>128943.08396235701</v>
          </cell>
          <cell r="L178">
            <v>1</v>
          </cell>
          <cell r="M178">
            <v>0</v>
          </cell>
        </row>
        <row r="179">
          <cell r="A179">
            <v>178</v>
          </cell>
          <cell r="B179">
            <v>1</v>
          </cell>
          <cell r="C179" t="str">
            <v>NA</v>
          </cell>
          <cell r="D179">
            <v>1</v>
          </cell>
          <cell r="E179">
            <v>0.11890000000000001</v>
          </cell>
          <cell r="F179">
            <v>2.93E-2</v>
          </cell>
          <cell r="G179">
            <v>18.2714544810006</v>
          </cell>
          <cell r="H179">
            <v>11.761814762159201</v>
          </cell>
          <cell r="I179">
            <v>7.1816569056393398</v>
          </cell>
          <cell r="J179">
            <v>174408.89721674399</v>
          </cell>
          <cell r="K179">
            <v>107189.653550705</v>
          </cell>
          <cell r="L179">
            <v>1</v>
          </cell>
          <cell r="M179">
            <v>0</v>
          </cell>
        </row>
        <row r="180">
          <cell r="A180">
            <v>179</v>
          </cell>
          <cell r="B180">
            <v>1</v>
          </cell>
          <cell r="C180" t="str">
            <v>NA</v>
          </cell>
          <cell r="D180">
            <v>1</v>
          </cell>
          <cell r="E180">
            <v>0.10100000000000001</v>
          </cell>
          <cell r="F180">
            <v>2.93E-2</v>
          </cell>
          <cell r="G180">
            <v>20.2079616633937</v>
          </cell>
          <cell r="H180">
            <v>15.1362392676601</v>
          </cell>
          <cell r="I180">
            <v>9.0257671095240202</v>
          </cell>
          <cell r="J180">
            <v>281638.34963065601</v>
          </cell>
          <cell r="K180">
            <v>163675.950990627</v>
          </cell>
          <cell r="L180">
            <v>1</v>
          </cell>
          <cell r="M180">
            <v>0</v>
          </cell>
        </row>
        <row r="181">
          <cell r="A181">
            <v>180</v>
          </cell>
          <cell r="B181">
            <v>1</v>
          </cell>
          <cell r="C181" t="str">
            <v>NA</v>
          </cell>
          <cell r="D181">
            <v>1</v>
          </cell>
          <cell r="E181">
            <v>0.1343</v>
          </cell>
          <cell r="F181">
            <v>2.6800000000000001E-2</v>
          </cell>
          <cell r="G181">
            <v>18.826697755599699</v>
          </cell>
          <cell r="H181">
            <v>14.238131733811301</v>
          </cell>
          <cell r="I181">
            <v>8.6052539057089596</v>
          </cell>
          <cell r="J181">
            <v>222889.98035540801</v>
          </cell>
          <cell r="K181">
            <v>133049.23874813001</v>
          </cell>
          <cell r="L181">
            <v>1</v>
          </cell>
          <cell r="M181">
            <v>0</v>
          </cell>
        </row>
        <row r="182">
          <cell r="A182">
            <v>181</v>
          </cell>
          <cell r="B182">
            <v>1</v>
          </cell>
          <cell r="C182" t="str">
            <v>NA</v>
          </cell>
          <cell r="D182">
            <v>1</v>
          </cell>
          <cell r="E182">
            <v>0.10100000000000001</v>
          </cell>
          <cell r="F182">
            <v>2.9000000000000001E-2</v>
          </cell>
          <cell r="G182">
            <v>20.347052731463101</v>
          </cell>
          <cell r="H182">
            <v>14.2332127570367</v>
          </cell>
          <cell r="I182">
            <v>8.4768433165181296</v>
          </cell>
          <cell r="J182">
            <v>223555.24613126699</v>
          </cell>
          <cell r="K182">
            <v>131203.66125279601</v>
          </cell>
          <cell r="L182">
            <v>1</v>
          </cell>
          <cell r="M182">
            <v>0</v>
          </cell>
        </row>
        <row r="183">
          <cell r="A183">
            <v>182</v>
          </cell>
          <cell r="B183">
            <v>1</v>
          </cell>
          <cell r="C183" t="str">
            <v>NA</v>
          </cell>
          <cell r="D183">
            <v>1</v>
          </cell>
          <cell r="E183">
            <v>0.12720000000000001</v>
          </cell>
          <cell r="F183">
            <v>2.5100000000000001E-2</v>
          </cell>
          <cell r="G183">
            <v>19.727982242325901</v>
          </cell>
          <cell r="H183">
            <v>13.560767904580199</v>
          </cell>
          <cell r="I183">
            <v>8.0958749343285703</v>
          </cell>
          <cell r="J183">
            <v>248119.99497923299</v>
          </cell>
          <cell r="K183">
            <v>145272.70989914099</v>
          </cell>
          <cell r="L183">
            <v>1</v>
          </cell>
          <cell r="M183">
            <v>0</v>
          </cell>
        </row>
        <row r="184">
          <cell r="A184">
            <v>183</v>
          </cell>
          <cell r="B184">
            <v>1</v>
          </cell>
          <cell r="C184" t="str">
            <v>NA</v>
          </cell>
          <cell r="D184">
            <v>1</v>
          </cell>
          <cell r="E184">
            <v>0.108</v>
          </cell>
          <cell r="F184">
            <v>2.7099999999999999E-2</v>
          </cell>
          <cell r="G184">
            <v>19.077506933564699</v>
          </cell>
          <cell r="H184">
            <v>13.605782710269001</v>
          </cell>
          <cell r="I184">
            <v>8.2347074586951603</v>
          </cell>
          <cell r="J184">
            <v>192861.637039889</v>
          </cell>
          <cell r="K184">
            <v>116346.154038972</v>
          </cell>
          <cell r="L184">
            <v>1</v>
          </cell>
          <cell r="M184">
            <v>0</v>
          </cell>
        </row>
        <row r="185">
          <cell r="A185">
            <v>184</v>
          </cell>
          <cell r="B185">
            <v>1</v>
          </cell>
          <cell r="C185" t="str">
            <v>NA</v>
          </cell>
          <cell r="D185">
            <v>1</v>
          </cell>
          <cell r="E185">
            <v>0.28699999999999998</v>
          </cell>
          <cell r="F185">
            <v>1.84E-2</v>
          </cell>
          <cell r="G185">
            <v>16.574367342219301</v>
          </cell>
          <cell r="H185">
            <v>10.772617216858601</v>
          </cell>
          <cell r="I185">
            <v>6.4427030231554596</v>
          </cell>
          <cell r="J185">
            <v>231383.135435428</v>
          </cell>
          <cell r="K185">
            <v>135592.000681726</v>
          </cell>
          <cell r="L185">
            <v>1</v>
          </cell>
          <cell r="M185">
            <v>0</v>
          </cell>
        </row>
        <row r="186">
          <cell r="A186">
            <v>185</v>
          </cell>
          <cell r="B186">
            <v>1</v>
          </cell>
          <cell r="C186" t="str">
            <v>NA</v>
          </cell>
          <cell r="D186">
            <v>1</v>
          </cell>
          <cell r="E186">
            <v>0.20860000000000001</v>
          </cell>
          <cell r="F186">
            <v>2.29E-2</v>
          </cell>
          <cell r="G186">
            <v>17.722890203154499</v>
          </cell>
          <cell r="H186">
            <v>13.075221267505601</v>
          </cell>
          <cell r="I186">
            <v>7.8807861743242498</v>
          </cell>
          <cell r="J186">
            <v>208652.22747453701</v>
          </cell>
          <cell r="K186">
            <v>124559.16488734201</v>
          </cell>
          <cell r="L186">
            <v>1</v>
          </cell>
          <cell r="M186">
            <v>0</v>
          </cell>
        </row>
        <row r="187">
          <cell r="A187">
            <v>186</v>
          </cell>
          <cell r="B187">
            <v>1</v>
          </cell>
          <cell r="C187" t="str">
            <v>NA</v>
          </cell>
          <cell r="D187">
            <v>1</v>
          </cell>
          <cell r="E187">
            <v>0.17649999999999999</v>
          </cell>
          <cell r="F187">
            <v>2.0400000000000001E-2</v>
          </cell>
          <cell r="G187">
            <v>18.9567138410194</v>
          </cell>
          <cell r="H187">
            <v>14.352931314855001</v>
          </cell>
          <cell r="I187">
            <v>8.5600704627950108</v>
          </cell>
          <cell r="J187">
            <v>163869.659233885</v>
          </cell>
          <cell r="K187">
            <v>98251.717911271902</v>
          </cell>
          <cell r="L187">
            <v>1</v>
          </cell>
          <cell r="M187">
            <v>0</v>
          </cell>
        </row>
        <row r="188">
          <cell r="A188">
            <v>187</v>
          </cell>
          <cell r="B188">
            <v>1</v>
          </cell>
          <cell r="C188" t="str">
            <v>NA</v>
          </cell>
          <cell r="D188">
            <v>1</v>
          </cell>
          <cell r="E188">
            <v>0.13489999999999999</v>
          </cell>
          <cell r="F188">
            <v>1.9400000000000001E-2</v>
          </cell>
          <cell r="G188">
            <v>18.6725800133725</v>
          </cell>
          <cell r="H188">
            <v>12.877963186473799</v>
          </cell>
          <cell r="I188">
            <v>7.7996734368550804</v>
          </cell>
          <cell r="J188">
            <v>211767.101099286</v>
          </cell>
          <cell r="K188">
            <v>127154.659126033</v>
          </cell>
          <cell r="L188">
            <v>1</v>
          </cell>
          <cell r="M188">
            <v>0</v>
          </cell>
        </row>
        <row r="189">
          <cell r="A189">
            <v>188</v>
          </cell>
          <cell r="B189">
            <v>1</v>
          </cell>
          <cell r="C189" t="str">
            <v>NA</v>
          </cell>
          <cell r="D189">
            <v>1</v>
          </cell>
          <cell r="E189">
            <v>0.1328</v>
          </cell>
          <cell r="F189">
            <v>2.23E-2</v>
          </cell>
          <cell r="G189">
            <v>19.765474845266102</v>
          </cell>
          <cell r="H189">
            <v>13.590819338056001</v>
          </cell>
          <cell r="I189">
            <v>8.0846475907295208</v>
          </cell>
          <cell r="J189">
            <v>206983.04406587599</v>
          </cell>
          <cell r="K189">
            <v>121936.563381133</v>
          </cell>
          <cell r="L189">
            <v>1</v>
          </cell>
          <cell r="M189">
            <v>0</v>
          </cell>
        </row>
        <row r="190">
          <cell r="A190">
            <v>189</v>
          </cell>
          <cell r="B190">
            <v>1</v>
          </cell>
          <cell r="C190" t="str">
            <v>NA</v>
          </cell>
          <cell r="D190">
            <v>1</v>
          </cell>
          <cell r="E190">
            <v>0.13850000000000001</v>
          </cell>
          <cell r="F190">
            <v>2.76E-2</v>
          </cell>
          <cell r="G190">
            <v>19.5346754966343</v>
          </cell>
          <cell r="H190">
            <v>13.9440273791314</v>
          </cell>
          <cell r="I190">
            <v>8.3281293868030506</v>
          </cell>
          <cell r="J190">
            <v>195169.83983246001</v>
          </cell>
          <cell r="K190">
            <v>116009.39945483601</v>
          </cell>
          <cell r="L190">
            <v>1</v>
          </cell>
          <cell r="M190">
            <v>0</v>
          </cell>
        </row>
        <row r="191">
          <cell r="A191">
            <v>190</v>
          </cell>
          <cell r="B191">
            <v>1</v>
          </cell>
          <cell r="C191" t="str">
            <v>NA</v>
          </cell>
          <cell r="D191">
            <v>1</v>
          </cell>
          <cell r="E191">
            <v>0.16200000000000001</v>
          </cell>
          <cell r="F191">
            <v>2.5700000000000001E-2</v>
          </cell>
          <cell r="G191">
            <v>17.710467778927701</v>
          </cell>
          <cell r="H191">
            <v>11.7829671347787</v>
          </cell>
          <cell r="I191">
            <v>7.1959727214826801</v>
          </cell>
          <cell r="J191">
            <v>197587.66854616901</v>
          </cell>
          <cell r="K191">
            <v>120071.030843559</v>
          </cell>
          <cell r="L191">
            <v>1</v>
          </cell>
          <cell r="M191">
            <v>0</v>
          </cell>
        </row>
        <row r="192">
          <cell r="A192">
            <v>191</v>
          </cell>
          <cell r="B192">
            <v>1</v>
          </cell>
          <cell r="C192" t="str">
            <v>NA</v>
          </cell>
          <cell r="D192">
            <v>1</v>
          </cell>
          <cell r="E192">
            <v>0.15</v>
          </cell>
          <cell r="F192">
            <v>2.58E-2</v>
          </cell>
          <cell r="G192">
            <v>16.8031985027399</v>
          </cell>
          <cell r="H192">
            <v>12.6046555835443</v>
          </cell>
          <cell r="I192">
            <v>7.8030682312165602</v>
          </cell>
          <cell r="J192">
            <v>231460.897456398</v>
          </cell>
          <cell r="K192">
            <v>141996.300485694</v>
          </cell>
          <cell r="L192">
            <v>1</v>
          </cell>
          <cell r="M192">
            <v>0</v>
          </cell>
        </row>
        <row r="193">
          <cell r="A193">
            <v>192</v>
          </cell>
          <cell r="B193">
            <v>1</v>
          </cell>
          <cell r="C193" t="str">
            <v>NA</v>
          </cell>
          <cell r="D193">
            <v>1</v>
          </cell>
          <cell r="E193">
            <v>0.11849999999999999</v>
          </cell>
          <cell r="F193">
            <v>2.3900000000000001E-2</v>
          </cell>
          <cell r="G193">
            <v>18.566155303427301</v>
          </cell>
          <cell r="H193">
            <v>13.8446120448959</v>
          </cell>
          <cell r="I193">
            <v>8.4512495289622205</v>
          </cell>
          <cell r="J193">
            <v>186779.96066566501</v>
          </cell>
          <cell r="K193">
            <v>114169.047392144</v>
          </cell>
          <cell r="L193">
            <v>1</v>
          </cell>
          <cell r="M193">
            <v>0</v>
          </cell>
        </row>
        <row r="194">
          <cell r="A194">
            <v>193</v>
          </cell>
          <cell r="B194">
            <v>1</v>
          </cell>
          <cell r="C194" t="str">
            <v>NA</v>
          </cell>
          <cell r="D194">
            <v>1</v>
          </cell>
          <cell r="E194">
            <v>9.4500000000000001E-2</v>
          </cell>
          <cell r="F194">
            <v>2.6100000000000002E-2</v>
          </cell>
          <cell r="G194">
            <v>18.990874628041201</v>
          </cell>
          <cell r="H194">
            <v>15.092275377989701</v>
          </cell>
          <cell r="I194">
            <v>9.2034372631489507</v>
          </cell>
          <cell r="J194">
            <v>196608.92174917299</v>
          </cell>
          <cell r="K194">
            <v>119703.57235638599</v>
          </cell>
          <cell r="L194">
            <v>1</v>
          </cell>
          <cell r="M194">
            <v>0</v>
          </cell>
        </row>
        <row r="195">
          <cell r="A195">
            <v>194</v>
          </cell>
          <cell r="B195">
            <v>1</v>
          </cell>
          <cell r="C195" t="str">
            <v>NA</v>
          </cell>
          <cell r="D195">
            <v>1</v>
          </cell>
          <cell r="E195">
            <v>0.15970000000000001</v>
          </cell>
          <cell r="F195">
            <v>2.4799999999999999E-2</v>
          </cell>
          <cell r="G195">
            <v>17.928928226284199</v>
          </cell>
          <cell r="H195">
            <v>12.6354146843631</v>
          </cell>
          <cell r="I195">
            <v>7.6995919404205804</v>
          </cell>
          <cell r="J195">
            <v>180554.46625864299</v>
          </cell>
          <cell r="K195">
            <v>110387.687778714</v>
          </cell>
          <cell r="L195">
            <v>1</v>
          </cell>
          <cell r="M195">
            <v>0</v>
          </cell>
        </row>
        <row r="196">
          <cell r="A196">
            <v>195</v>
          </cell>
          <cell r="B196">
            <v>1</v>
          </cell>
          <cell r="C196" t="str">
            <v>NA</v>
          </cell>
          <cell r="D196">
            <v>1</v>
          </cell>
          <cell r="E196">
            <v>0.1628</v>
          </cell>
          <cell r="F196">
            <v>2.3E-2</v>
          </cell>
          <cell r="G196">
            <v>19.466107253243202</v>
          </cell>
          <cell r="H196">
            <v>14.345921215202599</v>
          </cell>
          <cell r="I196">
            <v>8.5025468486780795</v>
          </cell>
          <cell r="J196">
            <v>204084.77612514299</v>
          </cell>
          <cell r="K196">
            <v>119753.402596243</v>
          </cell>
          <cell r="L196">
            <v>1</v>
          </cell>
          <cell r="M196">
            <v>0</v>
          </cell>
        </row>
        <row r="197">
          <cell r="A197">
            <v>196</v>
          </cell>
          <cell r="B197">
            <v>1</v>
          </cell>
          <cell r="C197" t="str">
            <v>NA</v>
          </cell>
          <cell r="D197">
            <v>1</v>
          </cell>
          <cell r="E197">
            <v>0.14349999999999999</v>
          </cell>
          <cell r="F197">
            <v>2.1600000000000001E-2</v>
          </cell>
          <cell r="G197">
            <v>18.218362613884501</v>
          </cell>
          <cell r="H197">
            <v>13.494580106020299</v>
          </cell>
          <cell r="I197">
            <v>8.2231741358861292</v>
          </cell>
          <cell r="J197">
            <v>137871.74466123301</v>
          </cell>
          <cell r="K197">
            <v>85983.404499355194</v>
          </cell>
          <cell r="L197">
            <v>1</v>
          </cell>
          <cell r="M197">
            <v>0</v>
          </cell>
        </row>
        <row r="198">
          <cell r="A198">
            <v>197</v>
          </cell>
          <cell r="B198">
            <v>1</v>
          </cell>
          <cell r="C198" t="str">
            <v>NA</v>
          </cell>
          <cell r="D198">
            <v>1</v>
          </cell>
          <cell r="E198">
            <v>0.14680000000000001</v>
          </cell>
          <cell r="F198">
            <v>2.64E-2</v>
          </cell>
          <cell r="G198">
            <v>18.497802000584201</v>
          </cell>
          <cell r="H198">
            <v>12.619288048169199</v>
          </cell>
          <cell r="I198">
            <v>7.6341241814370697</v>
          </cell>
          <cell r="J198">
            <v>305825.092149359</v>
          </cell>
          <cell r="K198">
            <v>180420.52866512601</v>
          </cell>
          <cell r="L198">
            <v>1</v>
          </cell>
          <cell r="M198">
            <v>0</v>
          </cell>
        </row>
        <row r="199">
          <cell r="A199">
            <v>198</v>
          </cell>
          <cell r="B199">
            <v>1</v>
          </cell>
          <cell r="C199" t="str">
            <v>NA</v>
          </cell>
          <cell r="D199">
            <v>1</v>
          </cell>
          <cell r="E199">
            <v>0.17319999999999999</v>
          </cell>
          <cell r="F199">
            <v>2.1100000000000001E-2</v>
          </cell>
          <cell r="G199">
            <v>18.7051703585052</v>
          </cell>
          <cell r="H199">
            <v>12.0196308227377</v>
          </cell>
          <cell r="I199">
            <v>7.1960245676390997</v>
          </cell>
          <cell r="J199">
            <v>234597.243202304</v>
          </cell>
          <cell r="K199">
            <v>138077.038442752</v>
          </cell>
          <cell r="L199">
            <v>1</v>
          </cell>
          <cell r="M199">
            <v>0</v>
          </cell>
        </row>
        <row r="200">
          <cell r="A200">
            <v>199</v>
          </cell>
          <cell r="B200">
            <v>1</v>
          </cell>
          <cell r="C200" t="str">
            <v>NA</v>
          </cell>
          <cell r="D200">
            <v>1</v>
          </cell>
          <cell r="E200">
            <v>7.0999999999999994E-2</v>
          </cell>
          <cell r="F200">
            <v>2.7400000000000001E-2</v>
          </cell>
          <cell r="G200">
            <v>20.541138907868199</v>
          </cell>
          <cell r="H200">
            <v>14.796907416446601</v>
          </cell>
          <cell r="I200">
            <v>8.8509454071845504</v>
          </cell>
          <cell r="J200">
            <v>224276.66579981201</v>
          </cell>
          <cell r="K200">
            <v>132649.890773344</v>
          </cell>
          <cell r="L200">
            <v>1</v>
          </cell>
          <cell r="M200">
            <v>0</v>
          </cell>
        </row>
        <row r="201">
          <cell r="A201">
            <v>200</v>
          </cell>
          <cell r="B201">
            <v>1</v>
          </cell>
          <cell r="C201" t="str">
            <v>NA</v>
          </cell>
          <cell r="D201">
            <v>1</v>
          </cell>
          <cell r="E201">
            <v>0.122</v>
          </cell>
          <cell r="F201">
            <v>2.63E-2</v>
          </cell>
          <cell r="G201">
            <v>19.1610381809937</v>
          </cell>
          <cell r="H201">
            <v>12.5066347144985</v>
          </cell>
          <cell r="I201">
            <v>7.5509661371683299</v>
          </cell>
          <cell r="J201">
            <v>242292.20879746799</v>
          </cell>
          <cell r="K201">
            <v>143906.52943395899</v>
          </cell>
          <cell r="L201">
            <v>1</v>
          </cell>
          <cell r="M201">
            <v>0</v>
          </cell>
        </row>
        <row r="202">
          <cell r="A202">
            <v>201</v>
          </cell>
          <cell r="B202">
            <v>1</v>
          </cell>
          <cell r="C202" t="str">
            <v>NA</v>
          </cell>
          <cell r="D202">
            <v>1</v>
          </cell>
          <cell r="E202">
            <v>0.16569999999999999</v>
          </cell>
          <cell r="F202">
            <v>2.5100000000000001E-2</v>
          </cell>
          <cell r="G202">
            <v>17.639788343928998</v>
          </cell>
          <cell r="H202">
            <v>10.4541404889252</v>
          </cell>
          <cell r="I202">
            <v>6.3689673981936803</v>
          </cell>
          <cell r="J202">
            <v>210217.84690566501</v>
          </cell>
          <cell r="K202">
            <v>127024.32217400199</v>
          </cell>
          <cell r="L202">
            <v>1</v>
          </cell>
          <cell r="M202">
            <v>0</v>
          </cell>
        </row>
        <row r="203">
          <cell r="A203">
            <v>202</v>
          </cell>
          <cell r="B203">
            <v>1</v>
          </cell>
          <cell r="C203" t="str">
            <v>NA</v>
          </cell>
          <cell r="D203">
            <v>1</v>
          </cell>
          <cell r="E203">
            <v>0.1389</v>
          </cell>
          <cell r="F203">
            <v>2.92E-2</v>
          </cell>
          <cell r="G203">
            <v>19.3473121092767</v>
          </cell>
          <cell r="H203">
            <v>14.478877104305299</v>
          </cell>
          <cell r="I203">
            <v>8.6777756359360403</v>
          </cell>
          <cell r="J203">
            <v>227028.86033348701</v>
          </cell>
          <cell r="K203">
            <v>133920.497652447</v>
          </cell>
          <cell r="L203">
            <v>1</v>
          </cell>
          <cell r="M203">
            <v>0</v>
          </cell>
        </row>
        <row r="204">
          <cell r="A204">
            <v>203</v>
          </cell>
          <cell r="B204">
            <v>1</v>
          </cell>
          <cell r="C204" t="str">
            <v>NA</v>
          </cell>
          <cell r="D204">
            <v>1</v>
          </cell>
          <cell r="E204">
            <v>0.1046</v>
          </cell>
          <cell r="F204">
            <v>2.6700000000000002E-2</v>
          </cell>
          <cell r="G204">
            <v>17.6832371311706</v>
          </cell>
          <cell r="H204">
            <v>14.176733319539601</v>
          </cell>
          <cell r="I204">
            <v>8.7790885985314304</v>
          </cell>
          <cell r="J204">
            <v>211415.66775761201</v>
          </cell>
          <cell r="K204">
            <v>130070.502923215</v>
          </cell>
          <cell r="L204">
            <v>1</v>
          </cell>
          <cell r="M204">
            <v>0</v>
          </cell>
        </row>
        <row r="205">
          <cell r="A205">
            <v>204</v>
          </cell>
          <cell r="B205">
            <v>1</v>
          </cell>
          <cell r="C205" t="str">
            <v>NA</v>
          </cell>
          <cell r="D205">
            <v>1</v>
          </cell>
          <cell r="E205">
            <v>0.1234</v>
          </cell>
          <cell r="F205">
            <v>2.29E-2</v>
          </cell>
          <cell r="G205">
            <v>19.262524935049001</v>
          </cell>
          <cell r="H205">
            <v>13.077926852024699</v>
          </cell>
          <cell r="I205">
            <v>7.8903075055954801</v>
          </cell>
          <cell r="J205">
            <v>172340.00444520701</v>
          </cell>
          <cell r="K205">
            <v>104441.472376937</v>
          </cell>
          <cell r="L205">
            <v>1</v>
          </cell>
          <cell r="M205">
            <v>0</v>
          </cell>
        </row>
        <row r="206">
          <cell r="A206">
            <v>205</v>
          </cell>
          <cell r="B206">
            <v>1</v>
          </cell>
          <cell r="C206" t="str">
            <v>NA</v>
          </cell>
          <cell r="D206">
            <v>1</v>
          </cell>
          <cell r="E206">
            <v>0.1203</v>
          </cell>
          <cell r="F206">
            <v>2.35E-2</v>
          </cell>
          <cell r="G206">
            <v>20.968308181894301</v>
          </cell>
          <cell r="H206">
            <v>13.7548805969633</v>
          </cell>
          <cell r="I206">
            <v>8.09244992043166</v>
          </cell>
          <cell r="J206">
            <v>227092.43951784301</v>
          </cell>
          <cell r="K206">
            <v>131348.62992738499</v>
          </cell>
          <cell r="L206">
            <v>1</v>
          </cell>
          <cell r="M206">
            <v>0</v>
          </cell>
        </row>
        <row r="207">
          <cell r="A207">
            <v>206</v>
          </cell>
          <cell r="B207">
            <v>1</v>
          </cell>
          <cell r="C207" t="str">
            <v>NA</v>
          </cell>
          <cell r="D207">
            <v>1</v>
          </cell>
          <cell r="E207">
            <v>0.1163</v>
          </cell>
          <cell r="F207">
            <v>2.8799999999999999E-2</v>
          </cell>
          <cell r="G207">
            <v>20.922957784776699</v>
          </cell>
          <cell r="H207">
            <v>13.202004850422201</v>
          </cell>
          <cell r="I207">
            <v>7.7604809564097001</v>
          </cell>
          <cell r="J207">
            <v>171819.841642082</v>
          </cell>
          <cell r="K207">
            <v>101161.440530751</v>
          </cell>
          <cell r="L207">
            <v>1</v>
          </cell>
          <cell r="M207">
            <v>0</v>
          </cell>
        </row>
        <row r="208">
          <cell r="A208">
            <v>207</v>
          </cell>
          <cell r="B208">
            <v>1</v>
          </cell>
          <cell r="C208" t="str">
            <v>NA</v>
          </cell>
          <cell r="D208">
            <v>1</v>
          </cell>
          <cell r="E208">
            <v>0.14199999999999999</v>
          </cell>
          <cell r="F208">
            <v>2.8400000000000002E-2</v>
          </cell>
          <cell r="G208">
            <v>17.923912972661899</v>
          </cell>
          <cell r="H208">
            <v>12.9994956047216</v>
          </cell>
          <cell r="I208">
            <v>7.9333449789774502</v>
          </cell>
          <cell r="J208">
            <v>214696.55387202199</v>
          </cell>
          <cell r="K208">
            <v>129915.829073035</v>
          </cell>
          <cell r="L208">
            <v>1</v>
          </cell>
          <cell r="M208">
            <v>0</v>
          </cell>
        </row>
        <row r="209">
          <cell r="A209">
            <v>208</v>
          </cell>
          <cell r="B209">
            <v>1</v>
          </cell>
          <cell r="C209" t="str">
            <v>NA</v>
          </cell>
          <cell r="D209">
            <v>1</v>
          </cell>
          <cell r="E209">
            <v>9.0899999999999995E-2</v>
          </cell>
          <cell r="F209">
            <v>3.2599999999999997E-2</v>
          </cell>
          <cell r="G209">
            <v>20.192528350365599</v>
          </cell>
          <cell r="H209">
            <v>12.745384877356701</v>
          </cell>
          <cell r="I209">
            <v>7.6053463664778098</v>
          </cell>
          <cell r="J209">
            <v>281233.96544917801</v>
          </cell>
          <cell r="K209">
            <v>163831.934859651</v>
          </cell>
          <cell r="L209">
            <v>1</v>
          </cell>
          <cell r="M209">
            <v>0</v>
          </cell>
        </row>
        <row r="210">
          <cell r="A210">
            <v>209</v>
          </cell>
          <cell r="B210">
            <v>1</v>
          </cell>
          <cell r="C210" t="str">
            <v>NA</v>
          </cell>
          <cell r="D210">
            <v>1</v>
          </cell>
          <cell r="E210">
            <v>0.23230000000000001</v>
          </cell>
          <cell r="F210">
            <v>2.5899999999999999E-2</v>
          </cell>
          <cell r="G210">
            <v>17.157682429811501</v>
          </cell>
          <cell r="H210">
            <v>11.915493163550099</v>
          </cell>
          <cell r="I210">
            <v>7.1734540350412601</v>
          </cell>
          <cell r="J210">
            <v>218596.831611236</v>
          </cell>
          <cell r="K210">
            <v>129570.63437331701</v>
          </cell>
          <cell r="L210">
            <v>1</v>
          </cell>
          <cell r="M210">
            <v>0</v>
          </cell>
        </row>
        <row r="211">
          <cell r="A211">
            <v>210</v>
          </cell>
          <cell r="B211">
            <v>1</v>
          </cell>
          <cell r="C211" t="str">
            <v>NA</v>
          </cell>
          <cell r="D211">
            <v>1</v>
          </cell>
          <cell r="E211">
            <v>0.1231</v>
          </cell>
          <cell r="F211">
            <v>3.1099999999999999E-2</v>
          </cell>
          <cell r="G211">
            <v>16.939714748453301</v>
          </cell>
          <cell r="H211">
            <v>14.045366717576099</v>
          </cell>
          <cell r="I211">
            <v>8.7413274282126405</v>
          </cell>
          <cell r="J211">
            <v>205399.05574550899</v>
          </cell>
          <cell r="K211">
            <v>127661.04596733399</v>
          </cell>
          <cell r="L211">
            <v>1</v>
          </cell>
          <cell r="M211">
            <v>0</v>
          </cell>
        </row>
        <row r="212">
          <cell r="A212">
            <v>211</v>
          </cell>
          <cell r="B212">
            <v>1</v>
          </cell>
          <cell r="C212" t="str">
            <v>NA</v>
          </cell>
          <cell r="D212">
            <v>1</v>
          </cell>
          <cell r="E212">
            <v>9.7699999999999995E-2</v>
          </cell>
          <cell r="F212">
            <v>2.93E-2</v>
          </cell>
          <cell r="G212">
            <v>20.075184235306899</v>
          </cell>
          <cell r="H212">
            <v>12.099784134354</v>
          </cell>
          <cell r="I212">
            <v>7.2526162744171998</v>
          </cell>
          <cell r="J212">
            <v>244034.03987504099</v>
          </cell>
          <cell r="K212">
            <v>143789.14083340499</v>
          </cell>
          <cell r="L212">
            <v>1</v>
          </cell>
          <cell r="M212">
            <v>0</v>
          </cell>
        </row>
        <row r="213">
          <cell r="A213">
            <v>212</v>
          </cell>
          <cell r="B213">
            <v>1</v>
          </cell>
          <cell r="C213" t="str">
            <v>NA</v>
          </cell>
          <cell r="D213">
            <v>1</v>
          </cell>
          <cell r="E213">
            <v>0.10199999999999999</v>
          </cell>
          <cell r="F213">
            <v>2.63E-2</v>
          </cell>
          <cell r="G213">
            <v>21.363899638069199</v>
          </cell>
          <cell r="H213">
            <v>15.518482130516499</v>
          </cell>
          <cell r="I213">
            <v>9.1187324348314096</v>
          </cell>
          <cell r="J213">
            <v>292061.59479329397</v>
          </cell>
          <cell r="K213">
            <v>166331.84382549199</v>
          </cell>
          <cell r="L213">
            <v>1</v>
          </cell>
          <cell r="M213">
            <v>0</v>
          </cell>
        </row>
        <row r="214">
          <cell r="A214">
            <v>213</v>
          </cell>
          <cell r="B214">
            <v>1</v>
          </cell>
          <cell r="C214" t="str">
            <v>NA</v>
          </cell>
          <cell r="D214">
            <v>1</v>
          </cell>
          <cell r="E214">
            <v>0.1484</v>
          </cell>
          <cell r="F214">
            <v>2.2499999999999999E-2</v>
          </cell>
          <cell r="G214">
            <v>19.091999207859399</v>
          </cell>
          <cell r="H214">
            <v>12.622778086913</v>
          </cell>
          <cell r="I214">
            <v>7.5679648136531998</v>
          </cell>
          <cell r="J214">
            <v>141765.88073818001</v>
          </cell>
          <cell r="K214">
            <v>86791.917941238498</v>
          </cell>
          <cell r="L214">
            <v>1</v>
          </cell>
          <cell r="M214">
            <v>0</v>
          </cell>
        </row>
        <row r="215">
          <cell r="A215">
            <v>214</v>
          </cell>
          <cell r="B215">
            <v>1</v>
          </cell>
          <cell r="C215" t="str">
            <v>NA</v>
          </cell>
          <cell r="D215">
            <v>1</v>
          </cell>
          <cell r="E215">
            <v>0.12790000000000001</v>
          </cell>
          <cell r="F215">
            <v>2.7199999999999998E-2</v>
          </cell>
          <cell r="G215">
            <v>19.2746985676912</v>
          </cell>
          <cell r="H215">
            <v>14.666786724948</v>
          </cell>
          <cell r="I215">
            <v>8.8126975929424098</v>
          </cell>
          <cell r="J215">
            <v>235161.27629668801</v>
          </cell>
          <cell r="K215">
            <v>139060.77768372101</v>
          </cell>
          <cell r="L215">
            <v>1</v>
          </cell>
          <cell r="M215">
            <v>0</v>
          </cell>
        </row>
        <row r="216">
          <cell r="A216">
            <v>215</v>
          </cell>
          <cell r="B216">
            <v>1</v>
          </cell>
          <cell r="C216" t="str">
            <v>NA</v>
          </cell>
          <cell r="D216">
            <v>1</v>
          </cell>
          <cell r="E216">
            <v>0.14560000000000001</v>
          </cell>
          <cell r="F216">
            <v>2.69E-2</v>
          </cell>
          <cell r="G216">
            <v>18.781324715517599</v>
          </cell>
          <cell r="H216">
            <v>14.1853191020026</v>
          </cell>
          <cell r="I216">
            <v>8.5333244636358803</v>
          </cell>
          <cell r="J216">
            <v>191900.57950341899</v>
          </cell>
          <cell r="K216">
            <v>115076.221841087</v>
          </cell>
          <cell r="L216">
            <v>1</v>
          </cell>
          <cell r="M216">
            <v>0</v>
          </cell>
        </row>
        <row r="217">
          <cell r="A217">
            <v>216</v>
          </cell>
          <cell r="B217">
            <v>1</v>
          </cell>
          <cell r="C217" t="str">
            <v>NA</v>
          </cell>
          <cell r="D217">
            <v>1</v>
          </cell>
          <cell r="E217">
            <v>0.17460000000000001</v>
          </cell>
          <cell r="F217">
            <v>2.6200000000000001E-2</v>
          </cell>
          <cell r="G217">
            <v>19.1233821022158</v>
          </cell>
          <cell r="H217">
            <v>14.2949550384734</v>
          </cell>
          <cell r="I217">
            <v>8.4999583549953304</v>
          </cell>
          <cell r="J217">
            <v>209362.33189302401</v>
          </cell>
          <cell r="K217">
            <v>122877.186568773</v>
          </cell>
          <cell r="L217">
            <v>1</v>
          </cell>
          <cell r="M217">
            <v>0</v>
          </cell>
        </row>
        <row r="218">
          <cell r="A218">
            <v>217</v>
          </cell>
          <cell r="B218">
            <v>1</v>
          </cell>
          <cell r="C218" t="str">
            <v>NA</v>
          </cell>
          <cell r="D218">
            <v>1</v>
          </cell>
          <cell r="E218">
            <v>0.12230000000000001</v>
          </cell>
          <cell r="F218">
            <v>2.2100000000000002E-2</v>
          </cell>
          <cell r="G218">
            <v>19.735367354549801</v>
          </cell>
          <cell r="H218">
            <v>14.887455720621</v>
          </cell>
          <cell r="I218">
            <v>8.9064361366967493</v>
          </cell>
          <cell r="J218">
            <v>214788.94727874099</v>
          </cell>
          <cell r="K218">
            <v>126885.37181460499</v>
          </cell>
          <cell r="L218">
            <v>1</v>
          </cell>
          <cell r="M218">
            <v>0</v>
          </cell>
        </row>
        <row r="219">
          <cell r="A219">
            <v>218</v>
          </cell>
          <cell r="B219">
            <v>1</v>
          </cell>
          <cell r="C219" t="str">
            <v>NA</v>
          </cell>
          <cell r="D219">
            <v>1</v>
          </cell>
          <cell r="E219">
            <v>9.5799999999999996E-2</v>
          </cell>
          <cell r="F219">
            <v>2.5000000000000001E-2</v>
          </cell>
          <cell r="G219">
            <v>19.5066461127347</v>
          </cell>
          <cell r="H219">
            <v>13.908199374681301</v>
          </cell>
          <cell r="I219">
            <v>8.3951146275379003</v>
          </cell>
          <cell r="J219">
            <v>275549.16339873098</v>
          </cell>
          <cell r="K219">
            <v>162639.079476599</v>
          </cell>
          <cell r="L219">
            <v>1</v>
          </cell>
          <cell r="M219">
            <v>0</v>
          </cell>
        </row>
        <row r="220">
          <cell r="A220">
            <v>219</v>
          </cell>
          <cell r="B220">
            <v>1</v>
          </cell>
          <cell r="C220" t="str">
            <v>NA</v>
          </cell>
          <cell r="D220">
            <v>1</v>
          </cell>
          <cell r="E220">
            <v>0.14399999999999999</v>
          </cell>
          <cell r="F220">
            <v>2.53E-2</v>
          </cell>
          <cell r="G220">
            <v>19.4203231880891</v>
          </cell>
          <cell r="H220">
            <v>13.874281088261601</v>
          </cell>
          <cell r="I220">
            <v>8.2884695564760396</v>
          </cell>
          <cell r="J220">
            <v>260423.25764522501</v>
          </cell>
          <cell r="K220">
            <v>152036.00792952499</v>
          </cell>
          <cell r="L220">
            <v>1</v>
          </cell>
          <cell r="M220">
            <v>0</v>
          </cell>
        </row>
        <row r="221">
          <cell r="A221">
            <v>220</v>
          </cell>
          <cell r="B221">
            <v>1</v>
          </cell>
          <cell r="C221" t="str">
            <v>NA</v>
          </cell>
          <cell r="D221">
            <v>1</v>
          </cell>
          <cell r="E221">
            <v>0.20230000000000001</v>
          </cell>
          <cell r="F221">
            <v>2.1499999999999998E-2</v>
          </cell>
          <cell r="G221">
            <v>16.7084861075225</v>
          </cell>
          <cell r="H221">
            <v>11.6896182561093</v>
          </cell>
          <cell r="I221">
            <v>7.1762251310835596</v>
          </cell>
          <cell r="J221">
            <v>180721.042094356</v>
          </cell>
          <cell r="K221">
            <v>111168.602365514</v>
          </cell>
          <cell r="L221">
            <v>1</v>
          </cell>
          <cell r="M221">
            <v>0</v>
          </cell>
        </row>
        <row r="222">
          <cell r="A222">
            <v>221</v>
          </cell>
          <cell r="B222">
            <v>1</v>
          </cell>
          <cell r="C222" t="str">
            <v>NA</v>
          </cell>
          <cell r="D222">
            <v>1</v>
          </cell>
          <cell r="E222">
            <v>0.1295</v>
          </cell>
          <cell r="F222">
            <v>2.92E-2</v>
          </cell>
          <cell r="G222">
            <v>19.0371333822739</v>
          </cell>
          <cell r="H222">
            <v>14.075198327692499</v>
          </cell>
          <cell r="I222">
            <v>8.4690922948544802</v>
          </cell>
          <cell r="J222">
            <v>192379.414295019</v>
          </cell>
          <cell r="K222">
            <v>115263.309069857</v>
          </cell>
          <cell r="L222">
            <v>1</v>
          </cell>
          <cell r="M222">
            <v>0</v>
          </cell>
        </row>
        <row r="223">
          <cell r="A223">
            <v>222</v>
          </cell>
          <cell r="B223">
            <v>1</v>
          </cell>
          <cell r="C223" t="str">
            <v>NA</v>
          </cell>
          <cell r="D223">
            <v>1</v>
          </cell>
          <cell r="E223">
            <v>0.15570000000000001</v>
          </cell>
          <cell r="F223">
            <v>2.5399999999999999E-2</v>
          </cell>
          <cell r="G223">
            <v>18.029016779908101</v>
          </cell>
          <cell r="H223">
            <v>11.02982761596</v>
          </cell>
          <cell r="I223">
            <v>6.7281612209807902</v>
          </cell>
          <cell r="J223">
            <v>199966.93138686399</v>
          </cell>
          <cell r="K223">
            <v>121357.91329895399</v>
          </cell>
          <cell r="L223">
            <v>1</v>
          </cell>
          <cell r="M223">
            <v>0</v>
          </cell>
        </row>
        <row r="224">
          <cell r="A224">
            <v>223</v>
          </cell>
          <cell r="B224">
            <v>1</v>
          </cell>
          <cell r="C224" t="str">
            <v>NA</v>
          </cell>
          <cell r="D224">
            <v>1</v>
          </cell>
          <cell r="E224">
            <v>0.14580000000000001</v>
          </cell>
          <cell r="F224">
            <v>2.3699999999999999E-2</v>
          </cell>
          <cell r="G224">
            <v>18.7214293516395</v>
          </cell>
          <cell r="H224">
            <v>13.052573164670299</v>
          </cell>
          <cell r="I224">
            <v>7.8707507182951799</v>
          </cell>
          <cell r="J224">
            <v>209818.996719802</v>
          </cell>
          <cell r="K224">
            <v>125377.59301117</v>
          </cell>
          <cell r="L224">
            <v>1</v>
          </cell>
          <cell r="M224">
            <v>0</v>
          </cell>
        </row>
        <row r="225">
          <cell r="A225">
            <v>224</v>
          </cell>
          <cell r="B225">
            <v>1</v>
          </cell>
          <cell r="C225" t="str">
            <v>NA</v>
          </cell>
          <cell r="D225">
            <v>1</v>
          </cell>
          <cell r="E225">
            <v>0.1303</v>
          </cell>
          <cell r="F225">
            <v>2.2800000000000001E-2</v>
          </cell>
          <cell r="G225">
            <v>17.763463932288399</v>
          </cell>
          <cell r="H225">
            <v>11.915673735335799</v>
          </cell>
          <cell r="I225">
            <v>7.3236323180896497</v>
          </cell>
          <cell r="J225">
            <v>210800.02903242901</v>
          </cell>
          <cell r="K225">
            <v>128799.117952274</v>
          </cell>
          <cell r="L225">
            <v>1</v>
          </cell>
          <cell r="M225">
            <v>0</v>
          </cell>
        </row>
        <row r="226">
          <cell r="A226">
            <v>225</v>
          </cell>
          <cell r="B226">
            <v>1</v>
          </cell>
          <cell r="C226" t="str">
            <v>NA</v>
          </cell>
          <cell r="D226">
            <v>1</v>
          </cell>
          <cell r="E226">
            <v>0.12609999999999999</v>
          </cell>
          <cell r="F226">
            <v>2.64E-2</v>
          </cell>
          <cell r="G226">
            <v>19.681524551400798</v>
          </cell>
          <cell r="H226">
            <v>13.959805455746199</v>
          </cell>
          <cell r="I226">
            <v>8.33904403841996</v>
          </cell>
          <cell r="J226">
            <v>236922.78063991701</v>
          </cell>
          <cell r="K226">
            <v>139032.588895528</v>
          </cell>
          <cell r="L226">
            <v>1</v>
          </cell>
          <cell r="M226">
            <v>0</v>
          </cell>
        </row>
        <row r="227">
          <cell r="A227">
            <v>226</v>
          </cell>
          <cell r="B227">
            <v>1</v>
          </cell>
          <cell r="C227" t="str">
            <v>NA</v>
          </cell>
          <cell r="D227">
            <v>1</v>
          </cell>
          <cell r="E227">
            <v>0.1157</v>
          </cell>
          <cell r="F227">
            <v>2.5899999999999999E-2</v>
          </cell>
          <cell r="G227">
            <v>17.1414739355791</v>
          </cell>
          <cell r="H227">
            <v>13.3887022622981</v>
          </cell>
          <cell r="I227">
            <v>8.3434619496273008</v>
          </cell>
          <cell r="J227">
            <v>174605.738308128</v>
          </cell>
          <cell r="K227">
            <v>109594.001427264</v>
          </cell>
          <cell r="L227">
            <v>1</v>
          </cell>
          <cell r="M227">
            <v>0</v>
          </cell>
        </row>
        <row r="228">
          <cell r="A228">
            <v>227</v>
          </cell>
          <cell r="B228">
            <v>1</v>
          </cell>
          <cell r="C228" t="str">
            <v>NA</v>
          </cell>
          <cell r="D228">
            <v>1</v>
          </cell>
          <cell r="E228">
            <v>0.15540000000000001</v>
          </cell>
          <cell r="F228">
            <v>2.3900000000000001E-2</v>
          </cell>
          <cell r="G228">
            <v>18.494526249222101</v>
          </cell>
          <cell r="H228">
            <v>12.435238161459999</v>
          </cell>
          <cell r="I228">
            <v>7.4997211578338003</v>
          </cell>
          <cell r="J228">
            <v>233497.61549205601</v>
          </cell>
          <cell r="K228">
            <v>138514.605550632</v>
          </cell>
          <cell r="L228">
            <v>1</v>
          </cell>
          <cell r="M228">
            <v>0</v>
          </cell>
        </row>
        <row r="229">
          <cell r="A229">
            <v>228</v>
          </cell>
          <cell r="B229">
            <v>1</v>
          </cell>
          <cell r="C229" t="str">
            <v>NA</v>
          </cell>
          <cell r="D229">
            <v>1</v>
          </cell>
          <cell r="E229">
            <v>0.12429999999999999</v>
          </cell>
          <cell r="F229">
            <v>2.53E-2</v>
          </cell>
          <cell r="G229">
            <v>20.216728312279301</v>
          </cell>
          <cell r="H229">
            <v>14.4924435923879</v>
          </cell>
          <cell r="I229">
            <v>8.6140553036879695</v>
          </cell>
          <cell r="J229">
            <v>209476.84606179499</v>
          </cell>
          <cell r="K229">
            <v>123127.11819951401</v>
          </cell>
          <cell r="L229">
            <v>1</v>
          </cell>
          <cell r="M229">
            <v>0</v>
          </cell>
        </row>
        <row r="230">
          <cell r="A230">
            <v>229</v>
          </cell>
          <cell r="B230">
            <v>1</v>
          </cell>
          <cell r="C230" t="str">
            <v>NA</v>
          </cell>
          <cell r="D230">
            <v>1</v>
          </cell>
          <cell r="E230">
            <v>0.1109</v>
          </cell>
          <cell r="F230">
            <v>2.7799999999999998E-2</v>
          </cell>
          <cell r="G230">
            <v>18.358625693262699</v>
          </cell>
          <cell r="H230">
            <v>13.184495890945</v>
          </cell>
          <cell r="I230">
            <v>8.0606986662842299</v>
          </cell>
          <cell r="J230">
            <v>204451.892298241</v>
          </cell>
          <cell r="K230">
            <v>124619.544446991</v>
          </cell>
          <cell r="L230">
            <v>1</v>
          </cell>
          <cell r="M230">
            <v>0</v>
          </cell>
        </row>
        <row r="231">
          <cell r="A231">
            <v>230</v>
          </cell>
          <cell r="B231">
            <v>1</v>
          </cell>
          <cell r="C231" t="str">
            <v>NA</v>
          </cell>
          <cell r="D231">
            <v>1</v>
          </cell>
          <cell r="E231">
            <v>0.1305</v>
          </cell>
          <cell r="F231">
            <v>2.5000000000000001E-2</v>
          </cell>
          <cell r="G231">
            <v>19.3008089768486</v>
          </cell>
          <cell r="H231">
            <v>14.967036555108701</v>
          </cell>
          <cell r="I231">
            <v>8.9865593432522406</v>
          </cell>
          <cell r="J231">
            <v>273693.52368007501</v>
          </cell>
          <cell r="K231">
            <v>160538.61554694601</v>
          </cell>
          <cell r="L231">
            <v>1</v>
          </cell>
          <cell r="M231">
            <v>0</v>
          </cell>
        </row>
        <row r="232">
          <cell r="A232">
            <v>231</v>
          </cell>
          <cell r="B232">
            <v>1</v>
          </cell>
          <cell r="C232" t="str">
            <v>NA</v>
          </cell>
          <cell r="D232">
            <v>1</v>
          </cell>
          <cell r="E232">
            <v>0.1145</v>
          </cell>
          <cell r="F232">
            <v>2.63E-2</v>
          </cell>
          <cell r="G232">
            <v>18.7973019568661</v>
          </cell>
          <cell r="H232">
            <v>11.8068491046717</v>
          </cell>
          <cell r="I232">
            <v>7.1744472328509801</v>
          </cell>
          <cell r="J232">
            <v>224659.40203716099</v>
          </cell>
          <cell r="K232">
            <v>135114.596097239</v>
          </cell>
          <cell r="L232">
            <v>1</v>
          </cell>
          <cell r="M232">
            <v>0</v>
          </cell>
        </row>
        <row r="233">
          <cell r="A233">
            <v>232</v>
          </cell>
          <cell r="B233">
            <v>1</v>
          </cell>
          <cell r="C233" t="str">
            <v>NA</v>
          </cell>
          <cell r="D233">
            <v>1</v>
          </cell>
          <cell r="E233">
            <v>0.13220000000000001</v>
          </cell>
          <cell r="F233">
            <v>2.3800000000000002E-2</v>
          </cell>
          <cell r="G233">
            <v>19.586569015603899</v>
          </cell>
          <cell r="H233">
            <v>12.8950662052391</v>
          </cell>
          <cell r="I233">
            <v>7.7310603422687096</v>
          </cell>
          <cell r="J233">
            <v>209302.563513336</v>
          </cell>
          <cell r="K233">
            <v>124187.55174351</v>
          </cell>
          <cell r="L233">
            <v>1</v>
          </cell>
          <cell r="M233">
            <v>0</v>
          </cell>
        </row>
        <row r="234">
          <cell r="A234">
            <v>233</v>
          </cell>
          <cell r="B234">
            <v>1</v>
          </cell>
          <cell r="C234" t="str">
            <v>NA</v>
          </cell>
          <cell r="D234">
            <v>1</v>
          </cell>
          <cell r="E234">
            <v>0.1764</v>
          </cell>
          <cell r="F234">
            <v>2.8199999999999999E-2</v>
          </cell>
          <cell r="G234">
            <v>17.0940853865694</v>
          </cell>
          <cell r="H234">
            <v>11.3593000134505</v>
          </cell>
          <cell r="I234">
            <v>6.9521633273910899</v>
          </cell>
          <cell r="J234">
            <v>171351.88499256599</v>
          </cell>
          <cell r="K234">
            <v>105322.52550813901</v>
          </cell>
          <cell r="L234">
            <v>1</v>
          </cell>
          <cell r="M234">
            <v>0</v>
          </cell>
        </row>
        <row r="235">
          <cell r="A235">
            <v>234</v>
          </cell>
          <cell r="B235">
            <v>1</v>
          </cell>
          <cell r="C235" t="str">
            <v>NA</v>
          </cell>
          <cell r="D235">
            <v>1</v>
          </cell>
          <cell r="E235">
            <v>0.18210000000000001</v>
          </cell>
          <cell r="F235">
            <v>2.6499999999999999E-2</v>
          </cell>
          <cell r="G235">
            <v>18.746988968781402</v>
          </cell>
          <cell r="H235">
            <v>12.7834358421115</v>
          </cell>
          <cell r="I235">
            <v>7.6244956114461298</v>
          </cell>
          <cell r="J235">
            <v>212992.49756981299</v>
          </cell>
          <cell r="K235">
            <v>125242.552860492</v>
          </cell>
          <cell r="L235">
            <v>1</v>
          </cell>
          <cell r="M235">
            <v>0</v>
          </cell>
        </row>
        <row r="236">
          <cell r="A236">
            <v>235</v>
          </cell>
          <cell r="B236">
            <v>1</v>
          </cell>
          <cell r="C236" t="str">
            <v>NA</v>
          </cell>
          <cell r="D236">
            <v>1</v>
          </cell>
          <cell r="E236">
            <v>0.12620000000000001</v>
          </cell>
          <cell r="F236">
            <v>2.2100000000000002E-2</v>
          </cell>
          <cell r="G236">
            <v>19.2571414254238</v>
          </cell>
          <cell r="H236">
            <v>14.8333646611718</v>
          </cell>
          <cell r="I236">
            <v>8.9531786960286599</v>
          </cell>
          <cell r="J236">
            <v>148822.19918892201</v>
          </cell>
          <cell r="K236">
            <v>91280.829868717294</v>
          </cell>
          <cell r="L236">
            <v>1</v>
          </cell>
          <cell r="M236">
            <v>0</v>
          </cell>
        </row>
        <row r="237">
          <cell r="A237">
            <v>236</v>
          </cell>
          <cell r="B237">
            <v>1</v>
          </cell>
          <cell r="C237" t="str">
            <v>NA</v>
          </cell>
          <cell r="D237">
            <v>1</v>
          </cell>
          <cell r="E237">
            <v>0.16189999999999999</v>
          </cell>
          <cell r="F237">
            <v>2.23E-2</v>
          </cell>
          <cell r="G237">
            <v>18.723984603352701</v>
          </cell>
          <cell r="H237">
            <v>11.3840924142117</v>
          </cell>
          <cell r="I237">
            <v>6.8384910041370999</v>
          </cell>
          <cell r="J237">
            <v>193476.54023628999</v>
          </cell>
          <cell r="K237">
            <v>115445.542960266</v>
          </cell>
          <cell r="L237">
            <v>1</v>
          </cell>
          <cell r="M237">
            <v>0</v>
          </cell>
        </row>
        <row r="238">
          <cell r="A238">
            <v>237</v>
          </cell>
          <cell r="B238">
            <v>1</v>
          </cell>
          <cell r="C238" t="str">
            <v>NA</v>
          </cell>
          <cell r="D238">
            <v>1</v>
          </cell>
          <cell r="E238">
            <v>7.6200000000000004E-2</v>
          </cell>
          <cell r="F238">
            <v>2.7400000000000001E-2</v>
          </cell>
          <cell r="G238">
            <v>19.857494669081898</v>
          </cell>
          <cell r="H238">
            <v>14.164670917932099</v>
          </cell>
          <cell r="I238">
            <v>8.5762412018031</v>
          </cell>
          <cell r="J238">
            <v>279332.28313171398</v>
          </cell>
          <cell r="K238">
            <v>165531.73640242699</v>
          </cell>
          <cell r="L238">
            <v>1</v>
          </cell>
          <cell r="M238">
            <v>0</v>
          </cell>
        </row>
        <row r="239">
          <cell r="A239">
            <v>238</v>
          </cell>
          <cell r="B239">
            <v>1</v>
          </cell>
          <cell r="C239" t="str">
            <v>NA</v>
          </cell>
          <cell r="D239">
            <v>1</v>
          </cell>
          <cell r="E239">
            <v>0.1792</v>
          </cell>
          <cell r="F239">
            <v>2.2499999999999999E-2</v>
          </cell>
          <cell r="G239">
            <v>18.594138220081</v>
          </cell>
          <cell r="H239">
            <v>13.334370831173301</v>
          </cell>
          <cell r="I239">
            <v>7.9602600197936697</v>
          </cell>
          <cell r="J239">
            <v>174756.07789272099</v>
          </cell>
          <cell r="K239">
            <v>104305.37900687</v>
          </cell>
          <cell r="L239">
            <v>1</v>
          </cell>
          <cell r="M239">
            <v>0</v>
          </cell>
        </row>
        <row r="240">
          <cell r="A240">
            <v>239</v>
          </cell>
          <cell r="B240">
            <v>1</v>
          </cell>
          <cell r="C240" t="str">
            <v>NA</v>
          </cell>
          <cell r="D240">
            <v>1</v>
          </cell>
          <cell r="E240">
            <v>0.22639999999999999</v>
          </cell>
          <cell r="F240">
            <v>2.58E-2</v>
          </cell>
          <cell r="G240">
            <v>16.546189853845199</v>
          </cell>
          <cell r="H240">
            <v>13.144910679140301</v>
          </cell>
          <cell r="I240">
            <v>7.9966504846728403</v>
          </cell>
          <cell r="J240">
            <v>214981.52001498599</v>
          </cell>
          <cell r="K240">
            <v>129365.643618851</v>
          </cell>
          <cell r="L240">
            <v>1</v>
          </cell>
          <cell r="M240">
            <v>0</v>
          </cell>
        </row>
        <row r="241">
          <cell r="A241">
            <v>240</v>
          </cell>
          <cell r="B241">
            <v>1</v>
          </cell>
          <cell r="C241" t="str">
            <v>NA</v>
          </cell>
          <cell r="D241">
            <v>1</v>
          </cell>
          <cell r="E241">
            <v>0.12429999999999999</v>
          </cell>
          <cell r="F241">
            <v>2.81E-2</v>
          </cell>
          <cell r="G241">
            <v>19.4372121530889</v>
          </cell>
          <cell r="H241">
            <v>13.611139510363699</v>
          </cell>
          <cell r="I241">
            <v>8.1493680075244193</v>
          </cell>
          <cell r="J241">
            <v>253898.325033828</v>
          </cell>
          <cell r="K241">
            <v>149024.612268942</v>
          </cell>
          <cell r="L241">
            <v>1</v>
          </cell>
          <cell r="M241">
            <v>0</v>
          </cell>
        </row>
        <row r="242">
          <cell r="A242">
            <v>241</v>
          </cell>
          <cell r="B242">
            <v>1</v>
          </cell>
          <cell r="C242" t="str">
            <v>NA</v>
          </cell>
          <cell r="D242">
            <v>1</v>
          </cell>
          <cell r="E242">
            <v>8.3400000000000002E-2</v>
          </cell>
          <cell r="F242">
            <v>2.8299999999999999E-2</v>
          </cell>
          <cell r="G242">
            <v>20.8982159239672</v>
          </cell>
          <cell r="H242">
            <v>13.7326612067071</v>
          </cell>
          <cell r="I242">
            <v>8.1735194366579904</v>
          </cell>
          <cell r="J242">
            <v>158867.394651015</v>
          </cell>
          <cell r="K242">
            <v>95334.431741339198</v>
          </cell>
          <cell r="L242">
            <v>1</v>
          </cell>
          <cell r="M242">
            <v>0</v>
          </cell>
        </row>
        <row r="243">
          <cell r="A243">
            <v>242</v>
          </cell>
          <cell r="B243">
            <v>1</v>
          </cell>
          <cell r="C243" t="str">
            <v>NA</v>
          </cell>
          <cell r="D243">
            <v>1</v>
          </cell>
          <cell r="E243">
            <v>0.1358</v>
          </cell>
          <cell r="F243">
            <v>2.64E-2</v>
          </cell>
          <cell r="G243">
            <v>19.7449638855709</v>
          </cell>
          <cell r="H243">
            <v>14.407779447902101</v>
          </cell>
          <cell r="I243">
            <v>8.5924854309532694</v>
          </cell>
          <cell r="J243">
            <v>165338.720929248</v>
          </cell>
          <cell r="K243">
            <v>99224.747877785805</v>
          </cell>
          <cell r="L243">
            <v>1</v>
          </cell>
          <cell r="M243">
            <v>0</v>
          </cell>
        </row>
        <row r="244">
          <cell r="A244">
            <v>243</v>
          </cell>
          <cell r="B244">
            <v>1</v>
          </cell>
          <cell r="C244" t="str">
            <v>NA</v>
          </cell>
          <cell r="D244">
            <v>1</v>
          </cell>
          <cell r="E244">
            <v>0.1946</v>
          </cell>
          <cell r="F244">
            <v>2.2700000000000001E-2</v>
          </cell>
          <cell r="G244">
            <v>16.183949973243699</v>
          </cell>
          <cell r="H244">
            <v>12.1743876969824</v>
          </cell>
          <cell r="I244">
            <v>7.5597425215638401</v>
          </cell>
          <cell r="J244">
            <v>162736.796542695</v>
          </cell>
          <cell r="K244">
            <v>101931.609643945</v>
          </cell>
          <cell r="L244">
            <v>1</v>
          </cell>
          <cell r="M244">
            <v>0</v>
          </cell>
        </row>
        <row r="245">
          <cell r="A245">
            <v>244</v>
          </cell>
          <cell r="B245">
            <v>1</v>
          </cell>
          <cell r="C245" t="str">
            <v>NA</v>
          </cell>
          <cell r="D245">
            <v>1</v>
          </cell>
          <cell r="E245">
            <v>0.1124</v>
          </cell>
          <cell r="F245">
            <v>2.86E-2</v>
          </cell>
          <cell r="G245">
            <v>18.887792796348599</v>
          </cell>
          <cell r="H245">
            <v>13.820297691200601</v>
          </cell>
          <cell r="I245">
            <v>8.3861092875780905</v>
          </cell>
          <cell r="J245">
            <v>176764.34704891799</v>
          </cell>
          <cell r="K245">
            <v>107633.80309328101</v>
          </cell>
          <cell r="L245">
            <v>1</v>
          </cell>
          <cell r="M245">
            <v>0</v>
          </cell>
        </row>
        <row r="246">
          <cell r="A246">
            <v>245</v>
          </cell>
          <cell r="B246">
            <v>1</v>
          </cell>
          <cell r="C246" t="str">
            <v>NA</v>
          </cell>
          <cell r="D246">
            <v>1</v>
          </cell>
          <cell r="E246">
            <v>9.01E-2</v>
          </cell>
          <cell r="F246">
            <v>2.7300000000000001E-2</v>
          </cell>
          <cell r="G246">
            <v>18.720734363634101</v>
          </cell>
          <cell r="H246">
            <v>11.9912444966024</v>
          </cell>
          <cell r="I246">
            <v>7.3424137316172402</v>
          </cell>
          <cell r="J246">
            <v>191301.25569294399</v>
          </cell>
          <cell r="K246">
            <v>117091.832525188</v>
          </cell>
          <cell r="L246">
            <v>1</v>
          </cell>
          <cell r="M246">
            <v>0</v>
          </cell>
        </row>
        <row r="247">
          <cell r="A247">
            <v>246</v>
          </cell>
          <cell r="B247">
            <v>1</v>
          </cell>
          <cell r="C247" t="str">
            <v>NA</v>
          </cell>
          <cell r="D247">
            <v>1</v>
          </cell>
          <cell r="E247">
            <v>0.15179999999999999</v>
          </cell>
          <cell r="F247">
            <v>2.8899999999999999E-2</v>
          </cell>
          <cell r="G247">
            <v>18.3151397460162</v>
          </cell>
          <cell r="H247">
            <v>13.0327876014689</v>
          </cell>
          <cell r="I247">
            <v>7.88063711728865</v>
          </cell>
          <cell r="J247">
            <v>216638.67395819601</v>
          </cell>
          <cell r="K247">
            <v>129559.70573815099</v>
          </cell>
          <cell r="L247">
            <v>1</v>
          </cell>
          <cell r="M247">
            <v>0</v>
          </cell>
        </row>
        <row r="248">
          <cell r="A248">
            <v>247</v>
          </cell>
          <cell r="B248">
            <v>1</v>
          </cell>
          <cell r="C248" t="str">
            <v>NA</v>
          </cell>
          <cell r="D248">
            <v>1</v>
          </cell>
          <cell r="E248">
            <v>0.19</v>
          </cell>
          <cell r="F248">
            <v>2.6800000000000001E-2</v>
          </cell>
          <cell r="G248">
            <v>18.003275590006702</v>
          </cell>
          <cell r="H248">
            <v>12.7379362065798</v>
          </cell>
          <cell r="I248">
            <v>7.6813564306244304</v>
          </cell>
          <cell r="J248">
            <v>146679.278803402</v>
          </cell>
          <cell r="K248">
            <v>89507.162546616906</v>
          </cell>
          <cell r="L248">
            <v>1</v>
          </cell>
          <cell r="M248">
            <v>0</v>
          </cell>
        </row>
        <row r="249">
          <cell r="A249">
            <v>248</v>
          </cell>
          <cell r="B249">
            <v>1</v>
          </cell>
          <cell r="C249" t="str">
            <v>NA</v>
          </cell>
          <cell r="D249">
            <v>1</v>
          </cell>
          <cell r="E249">
            <v>0.1414</v>
          </cell>
          <cell r="F249">
            <v>2.9700000000000001E-2</v>
          </cell>
          <cell r="G249">
            <v>18.842713197368202</v>
          </cell>
          <cell r="H249">
            <v>15.196984686209699</v>
          </cell>
          <cell r="I249">
            <v>9.1654046321642397</v>
          </cell>
          <cell r="J249">
            <v>217223.467380321</v>
          </cell>
          <cell r="K249">
            <v>129636.990680624</v>
          </cell>
          <cell r="L249">
            <v>1</v>
          </cell>
          <cell r="M249">
            <v>0</v>
          </cell>
        </row>
        <row r="250">
          <cell r="A250">
            <v>249</v>
          </cell>
          <cell r="B250">
            <v>1</v>
          </cell>
          <cell r="C250" t="str">
            <v>NA</v>
          </cell>
          <cell r="D250">
            <v>1</v>
          </cell>
          <cell r="E250">
            <v>0.13100000000000001</v>
          </cell>
          <cell r="F250">
            <v>2.35E-2</v>
          </cell>
          <cell r="G250">
            <v>18.348511855892198</v>
          </cell>
          <cell r="H250">
            <v>12.804580620553301</v>
          </cell>
          <cell r="I250">
            <v>7.8243178684686701</v>
          </cell>
          <cell r="J250">
            <v>152152.42313915701</v>
          </cell>
          <cell r="K250">
            <v>94523.011081305405</v>
          </cell>
          <cell r="L250">
            <v>1</v>
          </cell>
          <cell r="M250">
            <v>0</v>
          </cell>
        </row>
        <row r="251">
          <cell r="A251">
            <v>250</v>
          </cell>
          <cell r="B251">
            <v>1</v>
          </cell>
          <cell r="C251" t="str">
            <v>NA</v>
          </cell>
          <cell r="D251">
            <v>1</v>
          </cell>
          <cell r="E251">
            <v>0.1552</v>
          </cell>
          <cell r="F251">
            <v>3.0300000000000001E-2</v>
          </cell>
          <cell r="G251">
            <v>19.887298837223501</v>
          </cell>
          <cell r="H251">
            <v>14.5254342326336</v>
          </cell>
          <cell r="I251">
            <v>8.5877361740244993</v>
          </cell>
          <cell r="J251">
            <v>202398.85720309999</v>
          </cell>
          <cell r="K251">
            <v>118268.963512291</v>
          </cell>
          <cell r="L251">
            <v>1</v>
          </cell>
          <cell r="M251">
            <v>0</v>
          </cell>
        </row>
        <row r="252">
          <cell r="A252">
            <v>251</v>
          </cell>
          <cell r="B252">
            <v>1</v>
          </cell>
          <cell r="C252" t="str">
            <v>NA</v>
          </cell>
          <cell r="D252">
            <v>1</v>
          </cell>
          <cell r="E252">
            <v>0.1416</v>
          </cell>
          <cell r="F252">
            <v>2.3E-2</v>
          </cell>
          <cell r="G252">
            <v>18.4851214484856</v>
          </cell>
          <cell r="H252">
            <v>12.774410053147999</v>
          </cell>
          <cell r="I252">
            <v>7.7593911637114701</v>
          </cell>
          <cell r="J252">
            <v>177964.067398115</v>
          </cell>
          <cell r="K252">
            <v>108367.981608945</v>
          </cell>
          <cell r="L252">
            <v>1</v>
          </cell>
          <cell r="M252">
            <v>0</v>
          </cell>
        </row>
        <row r="253">
          <cell r="A253">
            <v>252</v>
          </cell>
          <cell r="B253">
            <v>1</v>
          </cell>
          <cell r="C253" t="str">
            <v>NA</v>
          </cell>
          <cell r="D253">
            <v>1</v>
          </cell>
          <cell r="E253">
            <v>0.14219999999999999</v>
          </cell>
          <cell r="F253">
            <v>2.81E-2</v>
          </cell>
          <cell r="G253">
            <v>20.2089871035305</v>
          </cell>
          <cell r="H253">
            <v>12.3891817466166</v>
          </cell>
          <cell r="I253">
            <v>7.32238064997295</v>
          </cell>
          <cell r="J253">
            <v>284471.082813079</v>
          </cell>
          <cell r="K253">
            <v>162961.04356547599</v>
          </cell>
          <cell r="L253">
            <v>1</v>
          </cell>
          <cell r="M253">
            <v>0</v>
          </cell>
        </row>
        <row r="254">
          <cell r="A254">
            <v>253</v>
          </cell>
          <cell r="B254">
            <v>1</v>
          </cell>
          <cell r="C254" t="str">
            <v>NA</v>
          </cell>
          <cell r="D254">
            <v>1</v>
          </cell>
          <cell r="E254">
            <v>0.20910000000000001</v>
          </cell>
          <cell r="F254">
            <v>2.0400000000000001E-2</v>
          </cell>
          <cell r="G254">
            <v>18.0915518988602</v>
          </cell>
          <cell r="H254">
            <v>12.568187664447599</v>
          </cell>
          <cell r="I254">
            <v>7.52541973753004</v>
          </cell>
          <cell r="J254">
            <v>170338.35835110201</v>
          </cell>
          <cell r="K254">
            <v>101983.33655097699</v>
          </cell>
          <cell r="L254">
            <v>1</v>
          </cell>
          <cell r="M254">
            <v>0</v>
          </cell>
        </row>
        <row r="255">
          <cell r="A255">
            <v>254</v>
          </cell>
          <cell r="B255">
            <v>1</v>
          </cell>
          <cell r="C255" t="str">
            <v>NA</v>
          </cell>
          <cell r="D255">
            <v>1</v>
          </cell>
          <cell r="E255">
            <v>0.1227</v>
          </cell>
          <cell r="F255">
            <v>2.4E-2</v>
          </cell>
          <cell r="G255">
            <v>21.285504303000199</v>
          </cell>
          <cell r="H255">
            <v>14.1985542791156</v>
          </cell>
          <cell r="I255">
            <v>8.3299871788504696</v>
          </cell>
          <cell r="J255">
            <v>199346.677343035</v>
          </cell>
          <cell r="K255">
            <v>115717.08810204599</v>
          </cell>
          <cell r="L255">
            <v>1</v>
          </cell>
          <cell r="M255">
            <v>0</v>
          </cell>
        </row>
        <row r="256">
          <cell r="A256">
            <v>255</v>
          </cell>
          <cell r="B256">
            <v>1</v>
          </cell>
          <cell r="C256" t="str">
            <v>NA</v>
          </cell>
          <cell r="D256">
            <v>1</v>
          </cell>
          <cell r="E256">
            <v>0.185</v>
          </cell>
          <cell r="F256">
            <v>2.4299999999999999E-2</v>
          </cell>
          <cell r="G256">
            <v>19.653471941421799</v>
          </cell>
          <cell r="H256">
            <v>11.482874945696</v>
          </cell>
          <cell r="I256">
            <v>6.7773206745351899</v>
          </cell>
          <cell r="J256">
            <v>227358.41628047</v>
          </cell>
          <cell r="K256">
            <v>131466.76064867299</v>
          </cell>
          <cell r="L256">
            <v>1</v>
          </cell>
          <cell r="M256">
            <v>0</v>
          </cell>
        </row>
        <row r="257">
          <cell r="A257">
            <v>256</v>
          </cell>
          <cell r="B257">
            <v>1</v>
          </cell>
          <cell r="C257" t="str">
            <v>NA</v>
          </cell>
          <cell r="D257">
            <v>1</v>
          </cell>
          <cell r="E257">
            <v>0.15110000000000001</v>
          </cell>
          <cell r="F257">
            <v>2.6100000000000002E-2</v>
          </cell>
          <cell r="G257">
            <v>17.972708696495499</v>
          </cell>
          <cell r="H257">
            <v>11.9864932640285</v>
          </cell>
          <cell r="I257">
            <v>7.3111585826451799</v>
          </cell>
          <cell r="J257">
            <v>198062.35078023199</v>
          </cell>
          <cell r="K257">
            <v>120397.316285547</v>
          </cell>
          <cell r="L257">
            <v>1</v>
          </cell>
          <cell r="M257">
            <v>0</v>
          </cell>
        </row>
        <row r="258">
          <cell r="A258">
            <v>257</v>
          </cell>
          <cell r="B258">
            <v>1</v>
          </cell>
          <cell r="C258" t="str">
            <v>NA</v>
          </cell>
          <cell r="D258">
            <v>1</v>
          </cell>
          <cell r="E258">
            <v>9.8199999999999996E-2</v>
          </cell>
          <cell r="F258">
            <v>2.5999999999999999E-2</v>
          </cell>
          <cell r="G258">
            <v>19.063765546265302</v>
          </cell>
          <cell r="H258">
            <v>10.834886737416101</v>
          </cell>
          <cell r="I258">
            <v>6.6017297599312599</v>
          </cell>
          <cell r="J258">
            <v>165855.71072281001</v>
          </cell>
          <cell r="K258">
            <v>101826.99662638</v>
          </cell>
          <cell r="L258">
            <v>1</v>
          </cell>
          <cell r="M258">
            <v>0</v>
          </cell>
        </row>
        <row r="259">
          <cell r="A259">
            <v>258</v>
          </cell>
          <cell r="B259">
            <v>1</v>
          </cell>
          <cell r="C259" t="str">
            <v>NA</v>
          </cell>
          <cell r="D259">
            <v>1</v>
          </cell>
          <cell r="E259">
            <v>0.13009999999999999</v>
          </cell>
          <cell r="F259">
            <v>2.63E-2</v>
          </cell>
          <cell r="G259">
            <v>18.219391174219702</v>
          </cell>
          <cell r="H259">
            <v>13.6886012861282</v>
          </cell>
          <cell r="I259">
            <v>8.3435305817745</v>
          </cell>
          <cell r="J259">
            <v>250692.46478385499</v>
          </cell>
          <cell r="K259">
            <v>150478.12178347801</v>
          </cell>
          <cell r="L259">
            <v>1</v>
          </cell>
          <cell r="M259">
            <v>0</v>
          </cell>
        </row>
        <row r="260">
          <cell r="A260">
            <v>259</v>
          </cell>
          <cell r="B260">
            <v>1</v>
          </cell>
          <cell r="C260" t="str">
            <v>NA</v>
          </cell>
          <cell r="D260">
            <v>1</v>
          </cell>
          <cell r="E260">
            <v>0.15709999999999999</v>
          </cell>
          <cell r="F260">
            <v>2.64E-2</v>
          </cell>
          <cell r="G260">
            <v>18.173043126616001</v>
          </cell>
          <cell r="H260">
            <v>13.4853814356767</v>
          </cell>
          <cell r="I260">
            <v>8.15144051268393</v>
          </cell>
          <cell r="J260">
            <v>210494.46001580101</v>
          </cell>
          <cell r="K260">
            <v>126359.971985638</v>
          </cell>
          <cell r="L260">
            <v>1</v>
          </cell>
          <cell r="M260">
            <v>0</v>
          </cell>
        </row>
        <row r="261">
          <cell r="A261">
            <v>260</v>
          </cell>
          <cell r="B261">
            <v>1</v>
          </cell>
          <cell r="C261" t="str">
            <v>NA</v>
          </cell>
          <cell r="D261">
            <v>1</v>
          </cell>
          <cell r="E261">
            <v>0.1132</v>
          </cell>
          <cell r="F261">
            <v>2.93E-2</v>
          </cell>
          <cell r="G261">
            <v>21.1515155510223</v>
          </cell>
          <cell r="H261">
            <v>12.737113972263399</v>
          </cell>
          <cell r="I261">
            <v>7.4776900967573896</v>
          </cell>
          <cell r="J261">
            <v>193046.98717526699</v>
          </cell>
          <cell r="K261">
            <v>112698.383084527</v>
          </cell>
          <cell r="L261">
            <v>1</v>
          </cell>
          <cell r="M261">
            <v>0</v>
          </cell>
        </row>
        <row r="262">
          <cell r="A262">
            <v>261</v>
          </cell>
          <cell r="B262">
            <v>1</v>
          </cell>
          <cell r="C262" t="str">
            <v>NA</v>
          </cell>
          <cell r="D262">
            <v>1</v>
          </cell>
          <cell r="E262">
            <v>0.1444</v>
          </cell>
          <cell r="F262">
            <v>2.3800000000000002E-2</v>
          </cell>
          <cell r="G262">
            <v>18.591614503927602</v>
          </cell>
          <cell r="H262">
            <v>14.0830196452163</v>
          </cell>
          <cell r="I262">
            <v>8.5339215771165602</v>
          </cell>
          <cell r="J262">
            <v>193156.727183048</v>
          </cell>
          <cell r="K262">
            <v>116798.231031023</v>
          </cell>
          <cell r="L262">
            <v>1</v>
          </cell>
          <cell r="M262">
            <v>0</v>
          </cell>
        </row>
        <row r="263">
          <cell r="A263">
            <v>262</v>
          </cell>
          <cell r="B263">
            <v>1</v>
          </cell>
          <cell r="C263" t="str">
            <v>NA</v>
          </cell>
          <cell r="D263">
            <v>1</v>
          </cell>
          <cell r="E263">
            <v>0.214</v>
          </cell>
          <cell r="F263">
            <v>2.4400000000000002E-2</v>
          </cell>
          <cell r="G263">
            <v>17.590696728874601</v>
          </cell>
          <cell r="H263">
            <v>13.012135718980799</v>
          </cell>
          <cell r="I263">
            <v>7.8239550057220502</v>
          </cell>
          <cell r="J263">
            <v>195271.94186754001</v>
          </cell>
          <cell r="K263">
            <v>116422.745539467</v>
          </cell>
          <cell r="L263">
            <v>1</v>
          </cell>
          <cell r="M263">
            <v>0</v>
          </cell>
        </row>
        <row r="264">
          <cell r="A264">
            <v>263</v>
          </cell>
          <cell r="B264">
            <v>1</v>
          </cell>
          <cell r="C264" t="str">
            <v>NA</v>
          </cell>
          <cell r="D264">
            <v>1</v>
          </cell>
          <cell r="E264">
            <v>0.12670000000000001</v>
          </cell>
          <cell r="F264">
            <v>2.6800000000000001E-2</v>
          </cell>
          <cell r="G264">
            <v>19.103932227025101</v>
          </cell>
          <cell r="H264">
            <v>14.299393219008699</v>
          </cell>
          <cell r="I264">
            <v>8.62106459966747</v>
          </cell>
          <cell r="J264">
            <v>169140.03116086699</v>
          </cell>
          <cell r="K264">
            <v>102608.442987036</v>
          </cell>
          <cell r="L264">
            <v>1</v>
          </cell>
          <cell r="M264">
            <v>0</v>
          </cell>
        </row>
        <row r="265">
          <cell r="A265">
            <v>264</v>
          </cell>
          <cell r="B265">
            <v>1</v>
          </cell>
          <cell r="C265" t="str">
            <v>NA</v>
          </cell>
          <cell r="D265">
            <v>1</v>
          </cell>
          <cell r="E265">
            <v>0.12909999999999999</v>
          </cell>
          <cell r="F265">
            <v>2.4199999999999999E-2</v>
          </cell>
          <cell r="G265">
            <v>20.087031918332801</v>
          </cell>
          <cell r="H265">
            <v>15.1905521221342</v>
          </cell>
          <cell r="I265">
            <v>9.0232903015207206</v>
          </cell>
          <cell r="J265">
            <v>206638.14314932399</v>
          </cell>
          <cell r="K265">
            <v>121247.089384775</v>
          </cell>
          <cell r="L265">
            <v>1</v>
          </cell>
          <cell r="M265">
            <v>0</v>
          </cell>
        </row>
        <row r="266">
          <cell r="A266">
            <v>265</v>
          </cell>
          <cell r="B266">
            <v>1</v>
          </cell>
          <cell r="C266" t="str">
            <v>NA</v>
          </cell>
          <cell r="D266">
            <v>1</v>
          </cell>
          <cell r="E266">
            <v>0.26019999999999999</v>
          </cell>
          <cell r="F266">
            <v>2.2800000000000001E-2</v>
          </cell>
          <cell r="G266">
            <v>17.2213289294878</v>
          </cell>
          <cell r="H266">
            <v>11.6364355785049</v>
          </cell>
          <cell r="I266">
            <v>6.9263780960122396</v>
          </cell>
          <cell r="J266">
            <v>199263.639601334</v>
          </cell>
          <cell r="K266">
            <v>117022.584375972</v>
          </cell>
          <cell r="L266">
            <v>1</v>
          </cell>
          <cell r="M266">
            <v>0</v>
          </cell>
        </row>
        <row r="267">
          <cell r="A267">
            <v>266</v>
          </cell>
          <cell r="B267">
            <v>1</v>
          </cell>
          <cell r="C267" t="str">
            <v>NA</v>
          </cell>
          <cell r="D267">
            <v>1</v>
          </cell>
          <cell r="E267">
            <v>0.1714</v>
          </cell>
          <cell r="F267">
            <v>2.9100000000000001E-2</v>
          </cell>
          <cell r="G267">
            <v>18.295791732188999</v>
          </cell>
          <cell r="H267">
            <v>14.483567444054099</v>
          </cell>
          <cell r="I267">
            <v>8.7374254411900196</v>
          </cell>
          <cell r="J267">
            <v>204062.919316866</v>
          </cell>
          <cell r="K267">
            <v>121823.9549859</v>
          </cell>
          <cell r="L267">
            <v>1</v>
          </cell>
          <cell r="M267">
            <v>0</v>
          </cell>
        </row>
        <row r="268">
          <cell r="A268">
            <v>267</v>
          </cell>
          <cell r="B268">
            <v>1</v>
          </cell>
          <cell r="C268" t="str">
            <v>NA</v>
          </cell>
          <cell r="D268">
            <v>1</v>
          </cell>
          <cell r="E268">
            <v>0.16059999999999999</v>
          </cell>
          <cell r="F268">
            <v>2.0299999999999999E-2</v>
          </cell>
          <cell r="G268">
            <v>19.265848521270598</v>
          </cell>
          <cell r="H268">
            <v>13.210931155238701</v>
          </cell>
          <cell r="I268">
            <v>7.8780694588775804</v>
          </cell>
          <cell r="J268">
            <v>189541.83765783801</v>
          </cell>
          <cell r="K268">
            <v>112533.30632107799</v>
          </cell>
          <cell r="L268">
            <v>1</v>
          </cell>
          <cell r="M268">
            <v>0</v>
          </cell>
        </row>
        <row r="269">
          <cell r="A269">
            <v>268</v>
          </cell>
          <cell r="B269">
            <v>1</v>
          </cell>
          <cell r="C269" t="str">
            <v>NA</v>
          </cell>
          <cell r="D269">
            <v>1</v>
          </cell>
          <cell r="E269">
            <v>0.1132</v>
          </cell>
          <cell r="F269">
            <v>2.7199999999999998E-2</v>
          </cell>
          <cell r="G269">
            <v>19.815867442150399</v>
          </cell>
          <cell r="H269">
            <v>15.6405783932664</v>
          </cell>
          <cell r="I269">
            <v>9.3611143388001601</v>
          </cell>
          <cell r="J269">
            <v>243611.67839126399</v>
          </cell>
          <cell r="K269">
            <v>143274.49218471599</v>
          </cell>
          <cell r="L269">
            <v>1</v>
          </cell>
          <cell r="M269">
            <v>0</v>
          </cell>
        </row>
        <row r="270">
          <cell r="A270">
            <v>269</v>
          </cell>
          <cell r="B270">
            <v>1</v>
          </cell>
          <cell r="C270" t="str">
            <v>NA</v>
          </cell>
          <cell r="D270">
            <v>1</v>
          </cell>
          <cell r="E270">
            <v>0.12690000000000001</v>
          </cell>
          <cell r="F270">
            <v>2.9700000000000001E-2</v>
          </cell>
          <cell r="G270">
            <v>19.6401412610326</v>
          </cell>
          <cell r="H270">
            <v>11.206179262289799</v>
          </cell>
          <cell r="I270">
            <v>6.6918421170478197</v>
          </cell>
          <cell r="J270">
            <v>198671.61256714401</v>
          </cell>
          <cell r="K270">
            <v>117787.891102443</v>
          </cell>
          <cell r="L270">
            <v>1</v>
          </cell>
          <cell r="M270">
            <v>0</v>
          </cell>
        </row>
        <row r="271">
          <cell r="A271">
            <v>270</v>
          </cell>
          <cell r="B271">
            <v>1</v>
          </cell>
          <cell r="C271" t="str">
            <v>NA</v>
          </cell>
          <cell r="D271">
            <v>1</v>
          </cell>
          <cell r="E271">
            <v>0.13139999999999999</v>
          </cell>
          <cell r="F271">
            <v>2.6200000000000001E-2</v>
          </cell>
          <cell r="G271">
            <v>19.425374805239699</v>
          </cell>
          <cell r="H271">
            <v>13.7453583841453</v>
          </cell>
          <cell r="I271">
            <v>8.2355883274446793</v>
          </cell>
          <cell r="J271">
            <v>199025.170760215</v>
          </cell>
          <cell r="K271">
            <v>118390.47816630499</v>
          </cell>
          <cell r="L271">
            <v>1</v>
          </cell>
          <cell r="M271">
            <v>0</v>
          </cell>
        </row>
        <row r="272">
          <cell r="A272">
            <v>271</v>
          </cell>
          <cell r="B272">
            <v>1</v>
          </cell>
          <cell r="C272" t="str">
            <v>NA</v>
          </cell>
          <cell r="D272">
            <v>1</v>
          </cell>
          <cell r="E272">
            <v>0.19789999999999999</v>
          </cell>
          <cell r="F272">
            <v>0.03</v>
          </cell>
          <cell r="G272">
            <v>18.946998657256898</v>
          </cell>
          <cell r="H272">
            <v>12.6842173729862</v>
          </cell>
          <cell r="I272">
            <v>7.4860808499507199</v>
          </cell>
          <cell r="J272">
            <v>219055.23420285399</v>
          </cell>
          <cell r="K272">
            <v>127047.84906978899</v>
          </cell>
          <cell r="L272">
            <v>1</v>
          </cell>
          <cell r="M272">
            <v>0</v>
          </cell>
        </row>
        <row r="273">
          <cell r="A273">
            <v>272</v>
          </cell>
          <cell r="B273">
            <v>1</v>
          </cell>
          <cell r="C273" t="str">
            <v>NA</v>
          </cell>
          <cell r="D273">
            <v>1</v>
          </cell>
          <cell r="E273">
            <v>0.11940000000000001</v>
          </cell>
          <cell r="F273">
            <v>2.0899999999999998E-2</v>
          </cell>
          <cell r="G273">
            <v>19.947853879799698</v>
          </cell>
          <cell r="H273">
            <v>15.463059458194699</v>
          </cell>
          <cell r="I273">
            <v>9.2539587562619392</v>
          </cell>
          <cell r="J273">
            <v>249081.54099984499</v>
          </cell>
          <cell r="K273">
            <v>146366.546919694</v>
          </cell>
          <cell r="L273">
            <v>1</v>
          </cell>
          <cell r="M273">
            <v>0</v>
          </cell>
        </row>
        <row r="274">
          <cell r="A274">
            <v>273</v>
          </cell>
          <cell r="B274">
            <v>1</v>
          </cell>
          <cell r="C274" t="str">
            <v>NA</v>
          </cell>
          <cell r="D274">
            <v>1</v>
          </cell>
          <cell r="E274">
            <v>8.8300000000000003E-2</v>
          </cell>
          <cell r="F274">
            <v>3.0200000000000001E-2</v>
          </cell>
          <cell r="G274">
            <v>20.523215709304498</v>
          </cell>
          <cell r="H274">
            <v>14.712117189636301</v>
          </cell>
          <cell r="I274">
            <v>8.8110626054706103</v>
          </cell>
          <cell r="J274">
            <v>220039.77626808899</v>
          </cell>
          <cell r="K274">
            <v>130267.545715517</v>
          </cell>
          <cell r="L274">
            <v>1</v>
          </cell>
          <cell r="M274">
            <v>0</v>
          </cell>
        </row>
        <row r="275">
          <cell r="A275">
            <v>274</v>
          </cell>
          <cell r="B275">
            <v>1</v>
          </cell>
          <cell r="C275" t="str">
            <v>NA</v>
          </cell>
          <cell r="D275">
            <v>1</v>
          </cell>
          <cell r="E275">
            <v>0.25359999999999999</v>
          </cell>
          <cell r="F275">
            <v>1.9800000000000002E-2</v>
          </cell>
          <cell r="G275">
            <v>17.711695159437799</v>
          </cell>
          <cell r="H275">
            <v>14.269642608839099</v>
          </cell>
          <cell r="I275">
            <v>8.4997116955693404</v>
          </cell>
          <cell r="J275">
            <v>188382.746104725</v>
          </cell>
          <cell r="K275">
            <v>111306.622643824</v>
          </cell>
          <cell r="L275">
            <v>1</v>
          </cell>
          <cell r="M275">
            <v>0</v>
          </cell>
        </row>
        <row r="276">
          <cell r="A276">
            <v>275</v>
          </cell>
          <cell r="B276">
            <v>1</v>
          </cell>
          <cell r="C276" t="str">
            <v>NA</v>
          </cell>
          <cell r="D276">
            <v>1</v>
          </cell>
          <cell r="E276">
            <v>0.16539999999999999</v>
          </cell>
          <cell r="F276">
            <v>2.5600000000000001E-2</v>
          </cell>
          <cell r="G276">
            <v>18.584229695257601</v>
          </cell>
          <cell r="H276">
            <v>11.17384346783</v>
          </cell>
          <cell r="I276">
            <v>6.7189017022545601</v>
          </cell>
          <cell r="J276">
            <v>201684.51852264101</v>
          </cell>
          <cell r="K276">
            <v>120331.86159165</v>
          </cell>
          <cell r="L276">
            <v>1</v>
          </cell>
          <cell r="M276">
            <v>0</v>
          </cell>
        </row>
        <row r="277">
          <cell r="A277">
            <v>276</v>
          </cell>
          <cell r="B277">
            <v>1</v>
          </cell>
          <cell r="C277" t="str">
            <v>NA</v>
          </cell>
          <cell r="D277">
            <v>1</v>
          </cell>
          <cell r="E277">
            <v>0.255</v>
          </cell>
          <cell r="F277">
            <v>1.6299999999999999E-2</v>
          </cell>
          <cell r="G277">
            <v>16.712171475168098</v>
          </cell>
          <cell r="H277">
            <v>11.832347099658801</v>
          </cell>
          <cell r="I277">
            <v>7.1324848976169397</v>
          </cell>
          <cell r="J277">
            <v>168930.732463964</v>
          </cell>
          <cell r="K277">
            <v>102178.007758928</v>
          </cell>
          <cell r="L277">
            <v>1</v>
          </cell>
          <cell r="M277">
            <v>0</v>
          </cell>
        </row>
        <row r="278">
          <cell r="A278">
            <v>277</v>
          </cell>
          <cell r="B278">
            <v>1</v>
          </cell>
          <cell r="C278" t="str">
            <v>NA</v>
          </cell>
          <cell r="D278">
            <v>1</v>
          </cell>
          <cell r="E278">
            <v>0.2666</v>
          </cell>
          <cell r="F278">
            <v>2.4199999999999999E-2</v>
          </cell>
          <cell r="G278">
            <v>16.444385033359499</v>
          </cell>
          <cell r="H278">
            <v>12.721123755807801</v>
          </cell>
          <cell r="I278">
            <v>7.67497124681661</v>
          </cell>
          <cell r="J278">
            <v>177300.11506094399</v>
          </cell>
          <cell r="K278">
            <v>106638.667671759</v>
          </cell>
          <cell r="L278">
            <v>1</v>
          </cell>
          <cell r="M278">
            <v>0</v>
          </cell>
        </row>
        <row r="279">
          <cell r="A279">
            <v>278</v>
          </cell>
          <cell r="B279">
            <v>1</v>
          </cell>
          <cell r="C279" t="str">
            <v>NA</v>
          </cell>
          <cell r="D279">
            <v>1</v>
          </cell>
          <cell r="E279">
            <v>0.1404</v>
          </cell>
          <cell r="F279">
            <v>2.58E-2</v>
          </cell>
          <cell r="G279">
            <v>19.487512260639601</v>
          </cell>
          <cell r="H279">
            <v>13.157838415079199</v>
          </cell>
          <cell r="I279">
            <v>7.8539668033529697</v>
          </cell>
          <cell r="J279">
            <v>243771.50731830799</v>
          </cell>
          <cell r="K279">
            <v>142592.975983763</v>
          </cell>
          <cell r="L279">
            <v>1</v>
          </cell>
          <cell r="M279">
            <v>0</v>
          </cell>
        </row>
        <row r="280">
          <cell r="A280">
            <v>279</v>
          </cell>
          <cell r="B280">
            <v>1</v>
          </cell>
          <cell r="C280" t="str">
            <v>NA</v>
          </cell>
          <cell r="D280">
            <v>1</v>
          </cell>
          <cell r="E280">
            <v>0.1014</v>
          </cell>
          <cell r="F280">
            <v>2.9399999999999999E-2</v>
          </cell>
          <cell r="G280">
            <v>20.5187074729157</v>
          </cell>
          <cell r="H280">
            <v>15.7409102665421</v>
          </cell>
          <cell r="I280">
            <v>9.3600045761185005</v>
          </cell>
          <cell r="J280">
            <v>195830.29338578801</v>
          </cell>
          <cell r="K280">
            <v>115888.776905516</v>
          </cell>
          <cell r="L280">
            <v>1</v>
          </cell>
          <cell r="M280">
            <v>0</v>
          </cell>
        </row>
        <row r="281">
          <cell r="A281">
            <v>280</v>
          </cell>
          <cell r="B281">
            <v>1</v>
          </cell>
          <cell r="C281" t="str">
            <v>NA</v>
          </cell>
          <cell r="D281">
            <v>1</v>
          </cell>
          <cell r="E281">
            <v>9.9699999999999997E-2</v>
          </cell>
          <cell r="F281">
            <v>2.64E-2</v>
          </cell>
          <cell r="G281">
            <v>21.164090375137899</v>
          </cell>
          <cell r="H281">
            <v>15.694610138312401</v>
          </cell>
          <cell r="I281">
            <v>9.2492031844716998</v>
          </cell>
          <cell r="J281">
            <v>281046.82885273901</v>
          </cell>
          <cell r="K281">
            <v>161164.72979166801</v>
          </cell>
          <cell r="L281">
            <v>1</v>
          </cell>
          <cell r="M281">
            <v>0</v>
          </cell>
        </row>
        <row r="282">
          <cell r="A282">
            <v>281</v>
          </cell>
          <cell r="B282">
            <v>1</v>
          </cell>
          <cell r="C282" t="str">
            <v>NA</v>
          </cell>
          <cell r="D282">
            <v>1</v>
          </cell>
          <cell r="E282">
            <v>0.1142</v>
          </cell>
          <cell r="F282">
            <v>2.75E-2</v>
          </cell>
          <cell r="G282">
            <v>20.0295890832558</v>
          </cell>
          <cell r="H282">
            <v>13.518828013692501</v>
          </cell>
          <cell r="I282">
            <v>8.0448995739123692</v>
          </cell>
          <cell r="J282">
            <v>203813.624414247</v>
          </cell>
          <cell r="K282">
            <v>120014.438996593</v>
          </cell>
          <cell r="L282">
            <v>1</v>
          </cell>
          <cell r="M282">
            <v>0</v>
          </cell>
        </row>
        <row r="283">
          <cell r="A283">
            <v>282</v>
          </cell>
          <cell r="B283">
            <v>1</v>
          </cell>
          <cell r="C283" t="str">
            <v>NA</v>
          </cell>
          <cell r="D283">
            <v>1</v>
          </cell>
          <cell r="E283">
            <v>0.16209999999999999</v>
          </cell>
          <cell r="F283">
            <v>2.23E-2</v>
          </cell>
          <cell r="G283">
            <v>19.645688072645001</v>
          </cell>
          <cell r="H283">
            <v>13.273822156591599</v>
          </cell>
          <cell r="I283">
            <v>7.8568940806552199</v>
          </cell>
          <cell r="J283">
            <v>192785.85351860401</v>
          </cell>
          <cell r="K283">
            <v>113411.07196960101</v>
          </cell>
          <cell r="L283">
            <v>1</v>
          </cell>
          <cell r="M283">
            <v>0</v>
          </cell>
        </row>
        <row r="284">
          <cell r="A284">
            <v>283</v>
          </cell>
          <cell r="B284">
            <v>1</v>
          </cell>
          <cell r="C284" t="str">
            <v>NA</v>
          </cell>
          <cell r="D284">
            <v>1</v>
          </cell>
          <cell r="E284">
            <v>0.10970000000000001</v>
          </cell>
          <cell r="F284">
            <v>2.76E-2</v>
          </cell>
          <cell r="G284">
            <v>19.829446919692401</v>
          </cell>
          <cell r="H284">
            <v>13.899630084977</v>
          </cell>
          <cell r="I284">
            <v>8.3116217418728997</v>
          </cell>
          <cell r="J284">
            <v>215287.10732872901</v>
          </cell>
          <cell r="K284">
            <v>127240.42585662501</v>
          </cell>
          <cell r="L284">
            <v>1</v>
          </cell>
          <cell r="M284">
            <v>0</v>
          </cell>
        </row>
        <row r="285">
          <cell r="A285">
            <v>284</v>
          </cell>
          <cell r="B285">
            <v>1</v>
          </cell>
          <cell r="C285" t="str">
            <v>NA</v>
          </cell>
          <cell r="D285">
            <v>1</v>
          </cell>
          <cell r="E285">
            <v>0.12859999999999999</v>
          </cell>
          <cell r="F285">
            <v>2.3E-2</v>
          </cell>
          <cell r="G285">
            <v>19.370566952751901</v>
          </cell>
          <cell r="H285">
            <v>14.7999337489904</v>
          </cell>
          <cell r="I285">
            <v>8.8726851499139503</v>
          </cell>
          <cell r="J285">
            <v>300422.80264283699</v>
          </cell>
          <cell r="K285">
            <v>175268.49332777201</v>
          </cell>
          <cell r="L285">
            <v>1</v>
          </cell>
          <cell r="M285">
            <v>0</v>
          </cell>
        </row>
        <row r="286">
          <cell r="A286">
            <v>285</v>
          </cell>
          <cell r="B286">
            <v>1</v>
          </cell>
          <cell r="C286" t="str">
            <v>NA</v>
          </cell>
          <cell r="D286">
            <v>1</v>
          </cell>
          <cell r="E286">
            <v>0.16830000000000001</v>
          </cell>
          <cell r="F286">
            <v>2.47E-2</v>
          </cell>
          <cell r="G286">
            <v>19.868437719094299</v>
          </cell>
          <cell r="H286">
            <v>13.5521710054068</v>
          </cell>
          <cell r="I286">
            <v>8.0074293428618297</v>
          </cell>
          <cell r="J286">
            <v>229272.877129275</v>
          </cell>
          <cell r="K286">
            <v>132856.615550255</v>
          </cell>
          <cell r="L286">
            <v>1</v>
          </cell>
          <cell r="M286">
            <v>0</v>
          </cell>
        </row>
        <row r="287">
          <cell r="A287">
            <v>286</v>
          </cell>
          <cell r="B287">
            <v>1</v>
          </cell>
          <cell r="C287" t="str">
            <v>NA</v>
          </cell>
          <cell r="D287">
            <v>1</v>
          </cell>
          <cell r="E287">
            <v>0.15989999999999999</v>
          </cell>
          <cell r="F287">
            <v>1.9699999999999999E-2</v>
          </cell>
          <cell r="G287">
            <v>18.636823154153799</v>
          </cell>
          <cell r="H287">
            <v>13.9998108457225</v>
          </cell>
          <cell r="I287">
            <v>8.4352211059782896</v>
          </cell>
          <cell r="J287">
            <v>171046.74247107501</v>
          </cell>
          <cell r="K287">
            <v>103305.104085211</v>
          </cell>
          <cell r="L287">
            <v>1</v>
          </cell>
          <cell r="M287">
            <v>0</v>
          </cell>
        </row>
        <row r="288">
          <cell r="A288">
            <v>287</v>
          </cell>
          <cell r="B288">
            <v>1</v>
          </cell>
          <cell r="C288" t="str">
            <v>NA</v>
          </cell>
          <cell r="D288">
            <v>1</v>
          </cell>
          <cell r="E288">
            <v>0.2114</v>
          </cell>
          <cell r="F288">
            <v>2.5100000000000001E-2</v>
          </cell>
          <cell r="G288">
            <v>16.782502974041599</v>
          </cell>
          <cell r="H288">
            <v>12.5692485631954</v>
          </cell>
          <cell r="I288">
            <v>7.6774754276516104</v>
          </cell>
          <cell r="J288">
            <v>187411.69119075401</v>
          </cell>
          <cell r="K288">
            <v>114214.721506627</v>
          </cell>
          <cell r="L288">
            <v>1</v>
          </cell>
          <cell r="M288">
            <v>0</v>
          </cell>
        </row>
        <row r="289">
          <cell r="A289">
            <v>288</v>
          </cell>
          <cell r="B289">
            <v>1</v>
          </cell>
          <cell r="C289" t="str">
            <v>NA</v>
          </cell>
          <cell r="D289">
            <v>1</v>
          </cell>
          <cell r="E289">
            <v>0.15579999999999999</v>
          </cell>
          <cell r="F289">
            <v>3.0499999999999999E-2</v>
          </cell>
          <cell r="G289">
            <v>18.121492023490902</v>
          </cell>
          <cell r="H289">
            <v>11.923120816486099</v>
          </cell>
          <cell r="I289">
            <v>7.2040812041512297</v>
          </cell>
          <cell r="J289">
            <v>216681.564360833</v>
          </cell>
          <cell r="K289">
            <v>129702.765203405</v>
          </cell>
          <cell r="L289">
            <v>1</v>
          </cell>
          <cell r="M289">
            <v>0</v>
          </cell>
        </row>
        <row r="290">
          <cell r="A290">
            <v>289</v>
          </cell>
          <cell r="B290">
            <v>1</v>
          </cell>
          <cell r="C290" t="str">
            <v>NA</v>
          </cell>
          <cell r="D290">
            <v>1</v>
          </cell>
          <cell r="E290">
            <v>0.1595</v>
          </cell>
          <cell r="F290">
            <v>2.6499999999999999E-2</v>
          </cell>
          <cell r="G290">
            <v>18.6446137581238</v>
          </cell>
          <cell r="H290">
            <v>12.188032333557</v>
          </cell>
          <cell r="I290">
            <v>7.3317279658483399</v>
          </cell>
          <cell r="J290">
            <v>188247.96505003201</v>
          </cell>
          <cell r="K290">
            <v>112931.090095693</v>
          </cell>
          <cell r="L290">
            <v>1</v>
          </cell>
          <cell r="M290">
            <v>0</v>
          </cell>
        </row>
        <row r="291">
          <cell r="A291">
            <v>290</v>
          </cell>
          <cell r="B291">
            <v>1</v>
          </cell>
          <cell r="C291" t="str">
            <v>NA</v>
          </cell>
          <cell r="D291">
            <v>1</v>
          </cell>
          <cell r="E291">
            <v>0.15989999999999999</v>
          </cell>
          <cell r="F291">
            <v>2.0899999999999998E-2</v>
          </cell>
          <cell r="G291">
            <v>19.668654419289499</v>
          </cell>
          <cell r="H291">
            <v>14.5833207406637</v>
          </cell>
          <cell r="I291">
            <v>8.6560206145774892</v>
          </cell>
          <cell r="J291">
            <v>192915.730888602</v>
          </cell>
          <cell r="K291">
            <v>113656.57504536</v>
          </cell>
          <cell r="L291">
            <v>1</v>
          </cell>
          <cell r="M291">
            <v>0</v>
          </cell>
        </row>
        <row r="292">
          <cell r="A292">
            <v>291</v>
          </cell>
          <cell r="B292">
            <v>1</v>
          </cell>
          <cell r="C292" t="str">
            <v>NA</v>
          </cell>
          <cell r="D292">
            <v>1</v>
          </cell>
          <cell r="E292">
            <v>0.19259999999999999</v>
          </cell>
          <cell r="F292">
            <v>2.2499999999999999E-2</v>
          </cell>
          <cell r="G292">
            <v>18.2661414555668</v>
          </cell>
          <cell r="H292">
            <v>13.100043195785</v>
          </cell>
          <cell r="I292">
            <v>7.87197187436922</v>
          </cell>
          <cell r="J292">
            <v>202401.64561227401</v>
          </cell>
          <cell r="K292">
            <v>120786.72544139301</v>
          </cell>
          <cell r="L292">
            <v>1</v>
          </cell>
          <cell r="M292">
            <v>0</v>
          </cell>
        </row>
        <row r="293">
          <cell r="A293">
            <v>292</v>
          </cell>
          <cell r="B293">
            <v>1</v>
          </cell>
          <cell r="C293" t="str">
            <v>NA</v>
          </cell>
          <cell r="D293">
            <v>1</v>
          </cell>
          <cell r="E293">
            <v>0.1973</v>
          </cell>
          <cell r="F293">
            <v>2.4400000000000002E-2</v>
          </cell>
          <cell r="G293">
            <v>18.171755907355799</v>
          </cell>
          <cell r="H293">
            <v>12.1529090583876</v>
          </cell>
          <cell r="I293">
            <v>7.2922045132898896</v>
          </cell>
          <cell r="J293">
            <v>207304.35698148701</v>
          </cell>
          <cell r="K293">
            <v>122904.51186247601</v>
          </cell>
          <cell r="L293">
            <v>1</v>
          </cell>
          <cell r="M293">
            <v>0</v>
          </cell>
        </row>
        <row r="294">
          <cell r="A294">
            <v>293</v>
          </cell>
          <cell r="B294">
            <v>1</v>
          </cell>
          <cell r="C294" t="str">
            <v>NA</v>
          </cell>
          <cell r="D294">
            <v>1</v>
          </cell>
          <cell r="E294">
            <v>0.21640000000000001</v>
          </cell>
          <cell r="F294">
            <v>2.92E-2</v>
          </cell>
          <cell r="G294">
            <v>17.695321423717498</v>
          </cell>
          <cell r="H294">
            <v>11.801721994847799</v>
          </cell>
          <cell r="I294">
            <v>7.0646035794142099</v>
          </cell>
          <cell r="J294">
            <v>151999.08943306099</v>
          </cell>
          <cell r="K294">
            <v>91848.135406091402</v>
          </cell>
          <cell r="L294">
            <v>1</v>
          </cell>
          <cell r="M294">
            <v>0</v>
          </cell>
        </row>
        <row r="295">
          <cell r="A295">
            <v>294</v>
          </cell>
          <cell r="B295">
            <v>1</v>
          </cell>
          <cell r="C295" t="str">
            <v>NA</v>
          </cell>
          <cell r="D295">
            <v>1</v>
          </cell>
          <cell r="E295">
            <v>0.11609999999999999</v>
          </cell>
          <cell r="F295">
            <v>2.4899999999999999E-2</v>
          </cell>
          <cell r="G295">
            <v>19.449000213661002</v>
          </cell>
          <cell r="H295">
            <v>13.860703738583901</v>
          </cell>
          <cell r="I295">
            <v>8.3337156618370791</v>
          </cell>
          <cell r="J295">
            <v>215663.52421291999</v>
          </cell>
          <cell r="K295">
            <v>128366.966461398</v>
          </cell>
          <cell r="L295">
            <v>1</v>
          </cell>
          <cell r="M295">
            <v>0</v>
          </cell>
        </row>
        <row r="296">
          <cell r="A296">
            <v>295</v>
          </cell>
          <cell r="B296">
            <v>1</v>
          </cell>
          <cell r="C296" t="str">
            <v>NA</v>
          </cell>
          <cell r="D296">
            <v>1</v>
          </cell>
          <cell r="E296">
            <v>0.12839999999999999</v>
          </cell>
          <cell r="F296">
            <v>3.1099999999999999E-2</v>
          </cell>
          <cell r="G296">
            <v>18.507416127304801</v>
          </cell>
          <cell r="H296">
            <v>13.884731012806499</v>
          </cell>
          <cell r="I296">
            <v>8.4158396793612091</v>
          </cell>
          <cell r="J296">
            <v>256626.533941334</v>
          </cell>
          <cell r="K296">
            <v>152863.81124077001</v>
          </cell>
          <cell r="L296">
            <v>1</v>
          </cell>
          <cell r="M296">
            <v>0</v>
          </cell>
        </row>
        <row r="297">
          <cell r="A297">
            <v>296</v>
          </cell>
          <cell r="B297">
            <v>1</v>
          </cell>
          <cell r="C297" t="str">
            <v>NA</v>
          </cell>
          <cell r="D297">
            <v>1</v>
          </cell>
          <cell r="E297">
            <v>0.1915</v>
          </cell>
          <cell r="F297">
            <v>2.3599999999999999E-2</v>
          </cell>
          <cell r="G297">
            <v>18.5132374110465</v>
          </cell>
          <cell r="H297">
            <v>13.2825585998285</v>
          </cell>
          <cell r="I297">
            <v>7.9269427160027197</v>
          </cell>
          <cell r="J297">
            <v>188459.75999284699</v>
          </cell>
          <cell r="K297">
            <v>111847.23141982</v>
          </cell>
          <cell r="L297">
            <v>1</v>
          </cell>
          <cell r="M297">
            <v>0</v>
          </cell>
        </row>
        <row r="298">
          <cell r="A298">
            <v>297</v>
          </cell>
          <cell r="B298">
            <v>1</v>
          </cell>
          <cell r="C298" t="str">
            <v>NA</v>
          </cell>
          <cell r="D298">
            <v>1</v>
          </cell>
          <cell r="E298">
            <v>0.12509999999999999</v>
          </cell>
          <cell r="F298">
            <v>3.0499999999999999E-2</v>
          </cell>
          <cell r="G298">
            <v>18.810679176670099</v>
          </cell>
          <cell r="H298">
            <v>14.508273698656399</v>
          </cell>
          <cell r="I298">
            <v>8.7562097229740896</v>
          </cell>
          <cell r="J298">
            <v>169216.60480216099</v>
          </cell>
          <cell r="K298">
            <v>102783.418560354</v>
          </cell>
          <cell r="L298">
            <v>1</v>
          </cell>
          <cell r="M298">
            <v>0</v>
          </cell>
        </row>
        <row r="299">
          <cell r="A299">
            <v>298</v>
          </cell>
          <cell r="B299">
            <v>1</v>
          </cell>
          <cell r="C299" t="str">
            <v>NA</v>
          </cell>
          <cell r="D299">
            <v>1</v>
          </cell>
          <cell r="E299">
            <v>0.13389999999999999</v>
          </cell>
          <cell r="F299">
            <v>2.75E-2</v>
          </cell>
          <cell r="G299">
            <v>19.1170390378552</v>
          </cell>
          <cell r="H299">
            <v>16.015688995653001</v>
          </cell>
          <cell r="I299">
            <v>9.6255929532048796</v>
          </cell>
          <cell r="J299">
            <v>189391.791740582</v>
          </cell>
          <cell r="K299">
            <v>113547.100718268</v>
          </cell>
          <cell r="L299">
            <v>1</v>
          </cell>
          <cell r="M299">
            <v>0</v>
          </cell>
        </row>
        <row r="300">
          <cell r="A300">
            <v>299</v>
          </cell>
          <cell r="B300">
            <v>1</v>
          </cell>
          <cell r="C300" t="str">
            <v>NA</v>
          </cell>
          <cell r="D300">
            <v>1</v>
          </cell>
          <cell r="E300">
            <v>0.1416</v>
          </cell>
          <cell r="F300">
            <v>2.6599999999999999E-2</v>
          </cell>
          <cell r="G300">
            <v>18.951824123731299</v>
          </cell>
          <cell r="H300">
            <v>11.6497369496578</v>
          </cell>
          <cell r="I300">
            <v>7.0048105422965401</v>
          </cell>
          <cell r="J300">
            <v>213525.16463213001</v>
          </cell>
          <cell r="K300">
            <v>127118.130133395</v>
          </cell>
          <cell r="L300">
            <v>1</v>
          </cell>
          <cell r="M300">
            <v>0</v>
          </cell>
        </row>
        <row r="301">
          <cell r="A301">
            <v>300</v>
          </cell>
          <cell r="B301">
            <v>1</v>
          </cell>
          <cell r="C301" t="str">
            <v>NA</v>
          </cell>
          <cell r="D301">
            <v>1</v>
          </cell>
          <cell r="E301">
            <v>0.12770000000000001</v>
          </cell>
          <cell r="F301">
            <v>3.1199999999999999E-2</v>
          </cell>
          <cell r="G301">
            <v>17.702308643611399</v>
          </cell>
          <cell r="H301">
            <v>12.708808434907899</v>
          </cell>
          <cell r="I301">
            <v>7.8094847002809997</v>
          </cell>
          <cell r="J301">
            <v>214243.64790532301</v>
          </cell>
          <cell r="K301">
            <v>130815.121906285</v>
          </cell>
          <cell r="L301">
            <v>1</v>
          </cell>
          <cell r="M301">
            <v>0</v>
          </cell>
        </row>
        <row r="302">
          <cell r="A302">
            <v>301</v>
          </cell>
          <cell r="B302">
            <v>1</v>
          </cell>
          <cell r="C302" t="str">
            <v>NA</v>
          </cell>
          <cell r="D302">
            <v>1</v>
          </cell>
          <cell r="E302">
            <v>0.11260000000000001</v>
          </cell>
          <cell r="F302">
            <v>2.3199999999999998E-2</v>
          </cell>
          <cell r="G302">
            <v>21.075743948367499</v>
          </cell>
          <cell r="H302">
            <v>14.3873808631099</v>
          </cell>
          <cell r="I302">
            <v>8.4717071664327097</v>
          </cell>
          <cell r="J302">
            <v>245566.175783213</v>
          </cell>
          <cell r="K302">
            <v>141218.795673894</v>
          </cell>
          <cell r="L302">
            <v>1</v>
          </cell>
          <cell r="M302">
            <v>0</v>
          </cell>
        </row>
        <row r="303">
          <cell r="A303">
            <v>302</v>
          </cell>
          <cell r="B303">
            <v>1</v>
          </cell>
          <cell r="C303" t="str">
            <v>NA</v>
          </cell>
          <cell r="D303">
            <v>1</v>
          </cell>
          <cell r="E303">
            <v>0.16669999999999999</v>
          </cell>
          <cell r="F303">
            <v>1.9E-2</v>
          </cell>
          <cell r="G303">
            <v>19.4154421523655</v>
          </cell>
          <cell r="H303">
            <v>12.3329893383819</v>
          </cell>
          <cell r="I303">
            <v>7.3255158616972302</v>
          </cell>
          <cell r="J303">
            <v>184172.41826180401</v>
          </cell>
          <cell r="K303">
            <v>109151.343678323</v>
          </cell>
          <cell r="L303">
            <v>1</v>
          </cell>
          <cell r="M303">
            <v>0</v>
          </cell>
        </row>
        <row r="304">
          <cell r="A304">
            <v>303</v>
          </cell>
          <cell r="B304">
            <v>1</v>
          </cell>
          <cell r="C304" t="str">
            <v>NA</v>
          </cell>
          <cell r="D304">
            <v>1</v>
          </cell>
          <cell r="E304">
            <v>0.30719999999999997</v>
          </cell>
          <cell r="F304">
            <v>1.7100000000000001E-2</v>
          </cell>
          <cell r="G304">
            <v>16.078467040804899</v>
          </cell>
          <cell r="H304">
            <v>10.7569619536816</v>
          </cell>
          <cell r="I304">
            <v>6.4631407233447202</v>
          </cell>
          <cell r="J304">
            <v>231039.82441701301</v>
          </cell>
          <cell r="K304">
            <v>136105.48850689299</v>
          </cell>
          <cell r="L304">
            <v>1</v>
          </cell>
          <cell r="M304">
            <v>0</v>
          </cell>
        </row>
        <row r="305">
          <cell r="A305">
            <v>304</v>
          </cell>
          <cell r="B305">
            <v>1</v>
          </cell>
          <cell r="C305" t="str">
            <v>NA</v>
          </cell>
          <cell r="D305">
            <v>1</v>
          </cell>
          <cell r="E305">
            <v>0.188</v>
          </cell>
          <cell r="F305">
            <v>2.52E-2</v>
          </cell>
          <cell r="G305">
            <v>17.0205593406891</v>
          </cell>
          <cell r="H305">
            <v>11.2074623440599</v>
          </cell>
          <cell r="I305">
            <v>6.8585772497697599</v>
          </cell>
          <cell r="J305">
            <v>184716.19175652601</v>
          </cell>
          <cell r="K305">
            <v>113054.4613585</v>
          </cell>
          <cell r="L305">
            <v>1</v>
          </cell>
          <cell r="M305">
            <v>0</v>
          </cell>
        </row>
        <row r="306">
          <cell r="A306">
            <v>305</v>
          </cell>
          <cell r="B306">
            <v>1</v>
          </cell>
          <cell r="C306" t="str">
            <v>NA</v>
          </cell>
          <cell r="D306">
            <v>1</v>
          </cell>
          <cell r="E306">
            <v>0.18659999999999999</v>
          </cell>
          <cell r="F306">
            <v>2.8000000000000001E-2</v>
          </cell>
          <cell r="G306">
            <v>19.391286251965798</v>
          </cell>
          <cell r="H306">
            <v>13.008532106796</v>
          </cell>
          <cell r="I306">
            <v>7.6737986557814999</v>
          </cell>
          <cell r="J306">
            <v>238164.11343949701</v>
          </cell>
          <cell r="K306">
            <v>137429.362739087</v>
          </cell>
          <cell r="L306">
            <v>1</v>
          </cell>
          <cell r="M306">
            <v>0</v>
          </cell>
        </row>
        <row r="307">
          <cell r="A307">
            <v>306</v>
          </cell>
          <cell r="B307">
            <v>1</v>
          </cell>
          <cell r="C307" t="str">
            <v>NA</v>
          </cell>
          <cell r="D307">
            <v>1</v>
          </cell>
          <cell r="E307">
            <v>0.15390000000000001</v>
          </cell>
          <cell r="F307">
            <v>2.3800000000000002E-2</v>
          </cell>
          <cell r="G307">
            <v>18.671136629374001</v>
          </cell>
          <cell r="H307">
            <v>12.0571695584467</v>
          </cell>
          <cell r="I307">
            <v>7.2685995744077099</v>
          </cell>
          <cell r="J307">
            <v>239125.38902556899</v>
          </cell>
          <cell r="K307">
            <v>141651.823409659</v>
          </cell>
          <cell r="L307">
            <v>1</v>
          </cell>
          <cell r="M307">
            <v>0</v>
          </cell>
        </row>
        <row r="308">
          <cell r="A308">
            <v>307</v>
          </cell>
          <cell r="B308">
            <v>1</v>
          </cell>
          <cell r="C308" t="str">
            <v>NA</v>
          </cell>
          <cell r="D308">
            <v>1</v>
          </cell>
          <cell r="E308">
            <v>9.8100000000000007E-2</v>
          </cell>
          <cell r="F308">
            <v>2.5399999999999999E-2</v>
          </cell>
          <cell r="G308">
            <v>19.276750464457798</v>
          </cell>
          <cell r="H308">
            <v>14.5514295965142</v>
          </cell>
          <cell r="I308">
            <v>8.7938564933997192</v>
          </cell>
          <cell r="J308">
            <v>185825.38780144899</v>
          </cell>
          <cell r="K308">
            <v>112334.869318319</v>
          </cell>
          <cell r="L308">
            <v>1</v>
          </cell>
          <cell r="M308">
            <v>0</v>
          </cell>
        </row>
        <row r="309">
          <cell r="A309">
            <v>308</v>
          </cell>
          <cell r="B309">
            <v>1</v>
          </cell>
          <cell r="C309" t="str">
            <v>NA</v>
          </cell>
          <cell r="D309">
            <v>1</v>
          </cell>
          <cell r="E309">
            <v>0.25209999999999999</v>
          </cell>
          <cell r="F309">
            <v>1.9300000000000001E-2</v>
          </cell>
          <cell r="G309">
            <v>16.326409548531799</v>
          </cell>
          <cell r="H309">
            <v>12.5162441284298</v>
          </cell>
          <cell r="I309">
            <v>7.5966146703164403</v>
          </cell>
          <cell r="J309">
            <v>184625.11762013999</v>
          </cell>
          <cell r="K309">
            <v>111713.47334366001</v>
          </cell>
          <cell r="L309">
            <v>1</v>
          </cell>
          <cell r="M309">
            <v>0</v>
          </cell>
        </row>
        <row r="310">
          <cell r="A310">
            <v>309</v>
          </cell>
          <cell r="B310">
            <v>1</v>
          </cell>
          <cell r="C310" t="str">
            <v>NA</v>
          </cell>
          <cell r="D310">
            <v>1</v>
          </cell>
          <cell r="E310">
            <v>0.11459999999999999</v>
          </cell>
          <cell r="F310">
            <v>2.9100000000000001E-2</v>
          </cell>
          <cell r="G310">
            <v>20.7649657875698</v>
          </cell>
          <cell r="H310">
            <v>16.311196434052899</v>
          </cell>
          <cell r="I310">
            <v>9.6163216793662691</v>
          </cell>
          <cell r="J310">
            <v>260399.11911176101</v>
          </cell>
          <cell r="K310">
            <v>149705.47386138601</v>
          </cell>
          <cell r="L310">
            <v>1</v>
          </cell>
          <cell r="M310">
            <v>0</v>
          </cell>
        </row>
        <row r="311">
          <cell r="A311">
            <v>310</v>
          </cell>
          <cell r="B311">
            <v>1</v>
          </cell>
          <cell r="C311" t="str">
            <v>NA</v>
          </cell>
          <cell r="D311">
            <v>1</v>
          </cell>
          <cell r="E311">
            <v>0.16930000000000001</v>
          </cell>
          <cell r="F311">
            <v>2.1100000000000001E-2</v>
          </cell>
          <cell r="G311">
            <v>19.066777947814298</v>
          </cell>
          <cell r="H311">
            <v>14.8167644665611</v>
          </cell>
          <cell r="I311">
            <v>8.8500798041373994</v>
          </cell>
          <cell r="J311">
            <v>267857.66556664498</v>
          </cell>
          <cell r="K311">
            <v>155892.96966547499</v>
          </cell>
          <cell r="L311">
            <v>1</v>
          </cell>
          <cell r="M311">
            <v>0</v>
          </cell>
        </row>
        <row r="312">
          <cell r="A312">
            <v>311</v>
          </cell>
          <cell r="B312">
            <v>1</v>
          </cell>
          <cell r="C312" t="str">
            <v>NA</v>
          </cell>
          <cell r="D312">
            <v>1</v>
          </cell>
          <cell r="E312">
            <v>0.1593</v>
          </cell>
          <cell r="F312">
            <v>2.4899999999999999E-2</v>
          </cell>
          <cell r="G312">
            <v>18.983927055664999</v>
          </cell>
          <cell r="H312">
            <v>13.607237069822901</v>
          </cell>
          <cell r="I312">
            <v>8.1319641982161404</v>
          </cell>
          <cell r="J312">
            <v>254442.36100949999</v>
          </cell>
          <cell r="K312">
            <v>148669.37244706199</v>
          </cell>
          <cell r="L312">
            <v>1</v>
          </cell>
          <cell r="M312">
            <v>0</v>
          </cell>
        </row>
        <row r="313">
          <cell r="A313">
            <v>312</v>
          </cell>
          <cell r="B313">
            <v>1</v>
          </cell>
          <cell r="C313" t="str">
            <v>NA</v>
          </cell>
          <cell r="D313">
            <v>1</v>
          </cell>
          <cell r="E313">
            <v>0.1502</v>
          </cell>
          <cell r="F313">
            <v>2.63E-2</v>
          </cell>
          <cell r="G313">
            <v>18.3092073863343</v>
          </cell>
          <cell r="H313">
            <v>14.343266367746001</v>
          </cell>
          <cell r="I313">
            <v>8.6712831644755006</v>
          </cell>
          <cell r="J313">
            <v>197918.87616099801</v>
          </cell>
          <cell r="K313">
            <v>118869.834715092</v>
          </cell>
          <cell r="L313">
            <v>1</v>
          </cell>
          <cell r="M313">
            <v>0</v>
          </cell>
        </row>
        <row r="314">
          <cell r="A314">
            <v>313</v>
          </cell>
          <cell r="B314">
            <v>1</v>
          </cell>
          <cell r="C314" t="str">
            <v>NA</v>
          </cell>
          <cell r="D314">
            <v>1</v>
          </cell>
          <cell r="E314">
            <v>0.13320000000000001</v>
          </cell>
          <cell r="F314">
            <v>2.9000000000000001E-2</v>
          </cell>
          <cell r="G314">
            <v>17.194516640614498</v>
          </cell>
          <cell r="H314">
            <v>12.569119573218</v>
          </cell>
          <cell r="I314">
            <v>7.7794798917289798</v>
          </cell>
          <cell r="J314">
            <v>162162.27333898601</v>
          </cell>
          <cell r="K314">
            <v>101606.792147063</v>
          </cell>
          <cell r="L314">
            <v>1</v>
          </cell>
          <cell r="M314">
            <v>0</v>
          </cell>
        </row>
        <row r="315">
          <cell r="A315">
            <v>314</v>
          </cell>
          <cell r="B315">
            <v>1</v>
          </cell>
          <cell r="C315" t="str">
            <v>NA</v>
          </cell>
          <cell r="D315">
            <v>1</v>
          </cell>
          <cell r="E315">
            <v>0.14710000000000001</v>
          </cell>
          <cell r="F315">
            <v>2.8400000000000002E-2</v>
          </cell>
          <cell r="G315">
            <v>20.190023726324998</v>
          </cell>
          <cell r="H315">
            <v>15.7224765738318</v>
          </cell>
          <cell r="I315">
            <v>9.2629619596445405</v>
          </cell>
          <cell r="J315">
            <v>190317.01837202601</v>
          </cell>
          <cell r="K315">
            <v>111234.280370591</v>
          </cell>
          <cell r="L315">
            <v>1</v>
          </cell>
          <cell r="M315">
            <v>0</v>
          </cell>
        </row>
        <row r="316">
          <cell r="A316">
            <v>315</v>
          </cell>
          <cell r="B316">
            <v>1</v>
          </cell>
          <cell r="C316" t="str">
            <v>NA</v>
          </cell>
          <cell r="D316">
            <v>1</v>
          </cell>
          <cell r="E316">
            <v>0.1865</v>
          </cell>
          <cell r="F316">
            <v>1.9900000000000001E-2</v>
          </cell>
          <cell r="G316">
            <v>17.103576862361699</v>
          </cell>
          <cell r="H316">
            <v>13.021525974993599</v>
          </cell>
          <cell r="I316">
            <v>8.0042002195271191</v>
          </cell>
          <cell r="J316">
            <v>145873.81463678699</v>
          </cell>
          <cell r="K316">
            <v>91377.160013335393</v>
          </cell>
          <cell r="L316">
            <v>1</v>
          </cell>
          <cell r="M316">
            <v>0</v>
          </cell>
        </row>
        <row r="317">
          <cell r="A317">
            <v>316</v>
          </cell>
          <cell r="B317">
            <v>1</v>
          </cell>
          <cell r="C317" t="str">
            <v>NA</v>
          </cell>
          <cell r="D317">
            <v>1</v>
          </cell>
          <cell r="E317">
            <v>0.1012</v>
          </cell>
          <cell r="F317">
            <v>2.4799999999999999E-2</v>
          </cell>
          <cell r="G317">
            <v>20.560690776558399</v>
          </cell>
          <cell r="H317">
            <v>14.040628438026101</v>
          </cell>
          <cell r="I317">
            <v>8.3476446597994602</v>
          </cell>
          <cell r="J317">
            <v>241544.42891713299</v>
          </cell>
          <cell r="K317">
            <v>140893.79568417001</v>
          </cell>
          <cell r="L317">
            <v>1</v>
          </cell>
          <cell r="M317">
            <v>0</v>
          </cell>
        </row>
        <row r="318">
          <cell r="A318">
            <v>317</v>
          </cell>
          <cell r="B318">
            <v>1</v>
          </cell>
          <cell r="C318" t="str">
            <v>NA</v>
          </cell>
          <cell r="D318">
            <v>1</v>
          </cell>
          <cell r="E318">
            <v>0.16839999999999999</v>
          </cell>
          <cell r="F318">
            <v>2.2499999999999999E-2</v>
          </cell>
          <cell r="G318">
            <v>18.586075185006599</v>
          </cell>
          <cell r="H318">
            <v>12.5157292243626</v>
          </cell>
          <cell r="I318">
            <v>7.5064052445111198</v>
          </cell>
          <cell r="J318">
            <v>227828.16719319101</v>
          </cell>
          <cell r="K318">
            <v>134530.08644692399</v>
          </cell>
          <cell r="L318">
            <v>1</v>
          </cell>
          <cell r="M318">
            <v>0</v>
          </cell>
        </row>
        <row r="319">
          <cell r="A319">
            <v>318</v>
          </cell>
          <cell r="B319">
            <v>1</v>
          </cell>
          <cell r="C319" t="str">
            <v>NA</v>
          </cell>
          <cell r="D319">
            <v>1</v>
          </cell>
          <cell r="E319">
            <v>0.16589999999999999</v>
          </cell>
          <cell r="F319">
            <v>2.2800000000000001E-2</v>
          </cell>
          <cell r="G319">
            <v>20.167291974705702</v>
          </cell>
          <cell r="H319">
            <v>14.9210843553084</v>
          </cell>
          <cell r="I319">
            <v>8.7628556636669099</v>
          </cell>
          <cell r="J319">
            <v>212570.88755881099</v>
          </cell>
          <cell r="K319">
            <v>122966.037749293</v>
          </cell>
          <cell r="L319">
            <v>1</v>
          </cell>
          <cell r="M319">
            <v>0</v>
          </cell>
        </row>
        <row r="320">
          <cell r="A320">
            <v>319</v>
          </cell>
          <cell r="B320">
            <v>1</v>
          </cell>
          <cell r="C320" t="str">
            <v>NA</v>
          </cell>
          <cell r="D320">
            <v>1</v>
          </cell>
          <cell r="E320">
            <v>0.17019999999999999</v>
          </cell>
          <cell r="F320">
            <v>3.15E-2</v>
          </cell>
          <cell r="G320">
            <v>18.880744549412</v>
          </cell>
          <cell r="H320">
            <v>14.192086623356801</v>
          </cell>
          <cell r="I320">
            <v>8.45579822832471</v>
          </cell>
          <cell r="J320">
            <v>165163.82061829299</v>
          </cell>
          <cell r="K320">
            <v>98863.537770138195</v>
          </cell>
          <cell r="L320">
            <v>1</v>
          </cell>
          <cell r="M320">
            <v>0</v>
          </cell>
        </row>
        <row r="321">
          <cell r="A321">
            <v>320</v>
          </cell>
          <cell r="B321">
            <v>1</v>
          </cell>
          <cell r="C321" t="str">
            <v>NA</v>
          </cell>
          <cell r="D321">
            <v>1</v>
          </cell>
          <cell r="E321">
            <v>0.25480000000000003</v>
          </cell>
          <cell r="F321">
            <v>1.9699999999999999E-2</v>
          </cell>
          <cell r="G321">
            <v>16.999702201778302</v>
          </cell>
          <cell r="H321">
            <v>13.0953143215377</v>
          </cell>
          <cell r="I321">
            <v>7.8744837584869902</v>
          </cell>
          <cell r="J321">
            <v>177718.17270110699</v>
          </cell>
          <cell r="K321">
            <v>106587.945597265</v>
          </cell>
          <cell r="L321">
            <v>1</v>
          </cell>
          <cell r="M321">
            <v>0</v>
          </cell>
        </row>
        <row r="322">
          <cell r="A322">
            <v>321</v>
          </cell>
          <cell r="B322">
            <v>1</v>
          </cell>
          <cell r="C322" t="str">
            <v>NA</v>
          </cell>
          <cell r="D322">
            <v>1</v>
          </cell>
          <cell r="E322">
            <v>0.2094</v>
          </cell>
          <cell r="F322">
            <v>2.75E-2</v>
          </cell>
          <cell r="G322">
            <v>17.169889839277101</v>
          </cell>
          <cell r="H322">
            <v>13.059096571567901</v>
          </cell>
          <cell r="I322">
            <v>7.8989013429977497</v>
          </cell>
          <cell r="J322">
            <v>211788.66141030999</v>
          </cell>
          <cell r="K322">
            <v>126929.91068417</v>
          </cell>
          <cell r="L322">
            <v>1</v>
          </cell>
          <cell r="M322">
            <v>0</v>
          </cell>
        </row>
        <row r="323">
          <cell r="A323">
            <v>322</v>
          </cell>
          <cell r="B323">
            <v>1</v>
          </cell>
          <cell r="C323" t="str">
            <v>NA</v>
          </cell>
          <cell r="D323">
            <v>1</v>
          </cell>
          <cell r="E323">
            <v>0.15890000000000001</v>
          </cell>
          <cell r="F323">
            <v>2.18E-2</v>
          </cell>
          <cell r="G323">
            <v>19.065555620276701</v>
          </cell>
          <cell r="H323">
            <v>13.9707497367366</v>
          </cell>
          <cell r="I323">
            <v>8.3624236529792295</v>
          </cell>
          <cell r="J323">
            <v>191707.49119223599</v>
          </cell>
          <cell r="K323">
            <v>114196.76522965101</v>
          </cell>
          <cell r="L323">
            <v>1</v>
          </cell>
          <cell r="M323">
            <v>0</v>
          </cell>
        </row>
        <row r="324">
          <cell r="A324">
            <v>323</v>
          </cell>
          <cell r="B324">
            <v>1</v>
          </cell>
          <cell r="C324" t="str">
            <v>NA</v>
          </cell>
          <cell r="D324">
            <v>1</v>
          </cell>
          <cell r="E324">
            <v>0.1016</v>
          </cell>
          <cell r="F324">
            <v>2.5700000000000001E-2</v>
          </cell>
          <cell r="G324">
            <v>19.190422295152299</v>
          </cell>
          <cell r="H324">
            <v>12.7529659782819</v>
          </cell>
          <cell r="I324">
            <v>7.7268844171524798</v>
          </cell>
          <cell r="J324">
            <v>208170.87703956701</v>
          </cell>
          <cell r="K324">
            <v>125268.834962512</v>
          </cell>
          <cell r="L324">
            <v>1</v>
          </cell>
          <cell r="M324">
            <v>0</v>
          </cell>
        </row>
        <row r="325">
          <cell r="A325">
            <v>324</v>
          </cell>
          <cell r="B325">
            <v>1</v>
          </cell>
          <cell r="C325" t="str">
            <v>NA</v>
          </cell>
          <cell r="D325">
            <v>1</v>
          </cell>
          <cell r="E325">
            <v>0.1208</v>
          </cell>
          <cell r="F325">
            <v>2.5600000000000001E-2</v>
          </cell>
          <cell r="G325">
            <v>17.944995665720899</v>
          </cell>
          <cell r="H325">
            <v>13.64396234218</v>
          </cell>
          <cell r="I325">
            <v>8.3906550805220395</v>
          </cell>
          <cell r="J325">
            <v>255963.79321146899</v>
          </cell>
          <cell r="K325">
            <v>155094.15185738099</v>
          </cell>
          <cell r="L325">
            <v>1</v>
          </cell>
          <cell r="M325">
            <v>0</v>
          </cell>
        </row>
        <row r="326">
          <cell r="A326">
            <v>325</v>
          </cell>
          <cell r="B326">
            <v>1</v>
          </cell>
          <cell r="C326" t="str">
            <v>NA</v>
          </cell>
          <cell r="D326">
            <v>1</v>
          </cell>
          <cell r="E326">
            <v>0.14410000000000001</v>
          </cell>
          <cell r="F326">
            <v>2.7900000000000001E-2</v>
          </cell>
          <cell r="G326">
            <v>20.476797437212301</v>
          </cell>
          <cell r="H326">
            <v>16.296401263455699</v>
          </cell>
          <cell r="I326">
            <v>9.5922775549197503</v>
          </cell>
          <cell r="J326">
            <v>269434.17858650797</v>
          </cell>
          <cell r="K326">
            <v>154044.16184296701</v>
          </cell>
          <cell r="L326">
            <v>1</v>
          </cell>
          <cell r="M326">
            <v>0</v>
          </cell>
        </row>
        <row r="327">
          <cell r="A327">
            <v>326</v>
          </cell>
          <cell r="B327">
            <v>1</v>
          </cell>
          <cell r="C327" t="str">
            <v>NA</v>
          </cell>
          <cell r="D327">
            <v>1</v>
          </cell>
          <cell r="E327">
            <v>9.5699999999999993E-2</v>
          </cell>
          <cell r="F327">
            <v>2.4799999999999999E-2</v>
          </cell>
          <cell r="G327">
            <v>18.321423778713001</v>
          </cell>
          <cell r="H327">
            <v>12.3873463429754</v>
          </cell>
          <cell r="I327">
            <v>7.60746457048353</v>
          </cell>
          <cell r="J327">
            <v>159810.472437419</v>
          </cell>
          <cell r="K327">
            <v>99522.836093402497</v>
          </cell>
          <cell r="L327">
            <v>1</v>
          </cell>
          <cell r="M327">
            <v>0</v>
          </cell>
        </row>
        <row r="328">
          <cell r="A328">
            <v>327</v>
          </cell>
          <cell r="B328">
            <v>1</v>
          </cell>
          <cell r="C328" t="str">
            <v>NA</v>
          </cell>
          <cell r="D328">
            <v>1</v>
          </cell>
          <cell r="E328">
            <v>0.16350000000000001</v>
          </cell>
          <cell r="F328">
            <v>2.4299999999999999E-2</v>
          </cell>
          <cell r="G328">
            <v>18.912538044446599</v>
          </cell>
          <cell r="H328">
            <v>11.7084249227015</v>
          </cell>
          <cell r="I328">
            <v>7.0002433843304299</v>
          </cell>
          <cell r="J328">
            <v>243195.270841897</v>
          </cell>
          <cell r="K328">
            <v>142249.33021659101</v>
          </cell>
          <cell r="L328">
            <v>1</v>
          </cell>
          <cell r="M328">
            <v>0</v>
          </cell>
        </row>
        <row r="329">
          <cell r="A329">
            <v>328</v>
          </cell>
          <cell r="B329">
            <v>1</v>
          </cell>
          <cell r="C329" t="str">
            <v>NA</v>
          </cell>
          <cell r="D329">
            <v>1</v>
          </cell>
          <cell r="E329">
            <v>0.1658</v>
          </cell>
          <cell r="F329">
            <v>2.5700000000000001E-2</v>
          </cell>
          <cell r="G329">
            <v>18.210055178516001</v>
          </cell>
          <cell r="H329">
            <v>12.215659365307101</v>
          </cell>
          <cell r="I329">
            <v>7.3913324166109904</v>
          </cell>
          <cell r="J329">
            <v>186509.04994530699</v>
          </cell>
          <cell r="K329">
            <v>112694.18962644201</v>
          </cell>
          <cell r="L329">
            <v>1</v>
          </cell>
          <cell r="M329">
            <v>0</v>
          </cell>
        </row>
        <row r="330">
          <cell r="A330">
            <v>329</v>
          </cell>
          <cell r="B330">
            <v>1</v>
          </cell>
          <cell r="C330" t="str">
            <v>NA</v>
          </cell>
          <cell r="D330">
            <v>1</v>
          </cell>
          <cell r="E330">
            <v>0.158</v>
          </cell>
          <cell r="F330">
            <v>2.3900000000000001E-2</v>
          </cell>
          <cell r="G330">
            <v>18.748307744939101</v>
          </cell>
          <cell r="H330">
            <v>14.787600535984801</v>
          </cell>
          <cell r="I330">
            <v>8.9013042684514296</v>
          </cell>
          <cell r="J330">
            <v>205745.263244484</v>
          </cell>
          <cell r="K330">
            <v>122792.89390144301</v>
          </cell>
          <cell r="L330">
            <v>1</v>
          </cell>
          <cell r="M330">
            <v>0</v>
          </cell>
        </row>
        <row r="331">
          <cell r="A331">
            <v>330</v>
          </cell>
          <cell r="B331">
            <v>1</v>
          </cell>
          <cell r="C331" t="str">
            <v>NA</v>
          </cell>
          <cell r="D331">
            <v>1</v>
          </cell>
          <cell r="E331">
            <v>0.21990000000000001</v>
          </cell>
          <cell r="F331">
            <v>2.81E-2</v>
          </cell>
          <cell r="G331">
            <v>18.639708632888301</v>
          </cell>
          <cell r="H331">
            <v>13.774758937695101</v>
          </cell>
          <cell r="I331">
            <v>8.1265404413740701</v>
          </cell>
          <cell r="J331">
            <v>160041.235473648</v>
          </cell>
          <cell r="K331">
            <v>94721.826504585202</v>
          </cell>
          <cell r="L331">
            <v>1</v>
          </cell>
          <cell r="M331">
            <v>0</v>
          </cell>
        </row>
        <row r="332">
          <cell r="A332">
            <v>331</v>
          </cell>
          <cell r="B332">
            <v>1</v>
          </cell>
          <cell r="C332" t="str">
            <v>NA</v>
          </cell>
          <cell r="D332">
            <v>1</v>
          </cell>
          <cell r="E332">
            <v>0.12939999999999999</v>
          </cell>
          <cell r="F332">
            <v>2.3099999999999999E-2</v>
          </cell>
          <cell r="G332">
            <v>20.268212660244298</v>
          </cell>
          <cell r="H332">
            <v>13.192495894884701</v>
          </cell>
          <cell r="I332">
            <v>7.8298742822505902</v>
          </cell>
          <cell r="J332">
            <v>188686.152882686</v>
          </cell>
          <cell r="K332">
            <v>111470.035015656</v>
          </cell>
          <cell r="L332">
            <v>1</v>
          </cell>
          <cell r="M332">
            <v>0</v>
          </cell>
        </row>
        <row r="333">
          <cell r="A333">
            <v>332</v>
          </cell>
          <cell r="B333">
            <v>1</v>
          </cell>
          <cell r="C333" t="str">
            <v>NA</v>
          </cell>
          <cell r="D333">
            <v>1</v>
          </cell>
          <cell r="E333">
            <v>0.14030000000000001</v>
          </cell>
          <cell r="F333">
            <v>2.6100000000000002E-2</v>
          </cell>
          <cell r="G333">
            <v>19.954000259554199</v>
          </cell>
          <cell r="H333">
            <v>14.4732654077002</v>
          </cell>
          <cell r="I333">
            <v>8.5802379167917007</v>
          </cell>
          <cell r="J333">
            <v>229237.03397875</v>
          </cell>
          <cell r="K333">
            <v>133694.096583751</v>
          </cell>
          <cell r="L333">
            <v>1</v>
          </cell>
          <cell r="M333">
            <v>0</v>
          </cell>
        </row>
        <row r="334">
          <cell r="A334">
            <v>333</v>
          </cell>
          <cell r="B334">
            <v>1</v>
          </cell>
          <cell r="C334" t="str">
            <v>NA</v>
          </cell>
          <cell r="D334">
            <v>1</v>
          </cell>
          <cell r="E334">
            <v>0.10489999999999999</v>
          </cell>
          <cell r="F334">
            <v>2.5399999999999999E-2</v>
          </cell>
          <cell r="G334">
            <v>18.751016675021901</v>
          </cell>
          <cell r="H334">
            <v>13.293489812358301</v>
          </cell>
          <cell r="I334">
            <v>8.1123208777789895</v>
          </cell>
          <cell r="J334">
            <v>161831.04511130499</v>
          </cell>
          <cell r="K334">
            <v>99820.383203577003</v>
          </cell>
          <cell r="L334">
            <v>1</v>
          </cell>
          <cell r="M334">
            <v>0</v>
          </cell>
        </row>
        <row r="335">
          <cell r="A335">
            <v>334</v>
          </cell>
          <cell r="B335">
            <v>1</v>
          </cell>
          <cell r="C335" t="str">
            <v>NA</v>
          </cell>
          <cell r="D335">
            <v>1</v>
          </cell>
          <cell r="E335">
            <v>9.0700000000000003E-2</v>
          </cell>
          <cell r="F335">
            <v>2.69E-2</v>
          </cell>
          <cell r="G335">
            <v>20.8057886875002</v>
          </cell>
          <cell r="H335">
            <v>15.226676910377201</v>
          </cell>
          <cell r="I335">
            <v>9.0554541361557792</v>
          </cell>
          <cell r="J335">
            <v>290515.32213936403</v>
          </cell>
          <cell r="K335">
            <v>168112.71322879501</v>
          </cell>
          <cell r="L335">
            <v>1</v>
          </cell>
          <cell r="M335">
            <v>0</v>
          </cell>
        </row>
        <row r="336">
          <cell r="A336">
            <v>335</v>
          </cell>
          <cell r="B336">
            <v>1</v>
          </cell>
          <cell r="C336" t="str">
            <v>NA</v>
          </cell>
          <cell r="D336">
            <v>1</v>
          </cell>
          <cell r="E336">
            <v>0.1187</v>
          </cell>
          <cell r="F336">
            <v>2.7199999999999998E-2</v>
          </cell>
          <cell r="G336">
            <v>20.802118076974999</v>
          </cell>
          <cell r="H336">
            <v>16.3857417940253</v>
          </cell>
          <cell r="I336">
            <v>9.6466053907265099</v>
          </cell>
          <cell r="J336">
            <v>252832.11394781401</v>
          </cell>
          <cell r="K336">
            <v>145419.94016938499</v>
          </cell>
          <cell r="L336">
            <v>1</v>
          </cell>
          <cell r="M336">
            <v>0</v>
          </cell>
        </row>
        <row r="337">
          <cell r="A337">
            <v>336</v>
          </cell>
          <cell r="B337">
            <v>1</v>
          </cell>
          <cell r="C337" t="str">
            <v>NA</v>
          </cell>
          <cell r="D337">
            <v>1</v>
          </cell>
          <cell r="E337">
            <v>0.1721</v>
          </cell>
          <cell r="F337">
            <v>2.5100000000000001E-2</v>
          </cell>
          <cell r="G337">
            <v>17.249886316184298</v>
          </cell>
          <cell r="H337">
            <v>12.810249086812901</v>
          </cell>
          <cell r="I337">
            <v>7.85131670757906</v>
          </cell>
          <cell r="J337">
            <v>156761.29890561901</v>
          </cell>
          <cell r="K337">
            <v>97365.548871334395</v>
          </cell>
          <cell r="L337">
            <v>1</v>
          </cell>
          <cell r="M337">
            <v>0</v>
          </cell>
        </row>
        <row r="338">
          <cell r="A338">
            <v>337</v>
          </cell>
          <cell r="B338">
            <v>1</v>
          </cell>
          <cell r="C338" t="str">
            <v>NA</v>
          </cell>
          <cell r="D338">
            <v>1</v>
          </cell>
          <cell r="E338">
            <v>0.13339999999999999</v>
          </cell>
          <cell r="F338">
            <v>2.9700000000000001E-2</v>
          </cell>
          <cell r="G338">
            <v>19.728839655237699</v>
          </cell>
          <cell r="H338">
            <v>12.729855798329</v>
          </cell>
          <cell r="I338">
            <v>7.5764217048655702</v>
          </cell>
          <cell r="J338">
            <v>202545.108134763</v>
          </cell>
          <cell r="K338">
            <v>119560.99598273</v>
          </cell>
          <cell r="L338">
            <v>1</v>
          </cell>
          <cell r="M338">
            <v>0</v>
          </cell>
        </row>
        <row r="339">
          <cell r="A339">
            <v>338</v>
          </cell>
          <cell r="B339">
            <v>1</v>
          </cell>
          <cell r="C339" t="str">
            <v>NA</v>
          </cell>
          <cell r="D339">
            <v>1</v>
          </cell>
          <cell r="E339">
            <v>0.1832</v>
          </cell>
          <cell r="F339">
            <v>2.4799999999999999E-2</v>
          </cell>
          <cell r="G339">
            <v>18.266255356831699</v>
          </cell>
          <cell r="H339">
            <v>13.93962586934</v>
          </cell>
          <cell r="I339">
            <v>8.3801739541075104</v>
          </cell>
          <cell r="J339">
            <v>196273.18364549201</v>
          </cell>
          <cell r="K339">
            <v>117350.95219733501</v>
          </cell>
          <cell r="L339">
            <v>1</v>
          </cell>
          <cell r="M339">
            <v>0</v>
          </cell>
        </row>
        <row r="340">
          <cell r="A340">
            <v>339</v>
          </cell>
          <cell r="B340">
            <v>1</v>
          </cell>
          <cell r="C340" t="str">
            <v>NA</v>
          </cell>
          <cell r="D340">
            <v>1</v>
          </cell>
          <cell r="E340">
            <v>0.1244</v>
          </cell>
          <cell r="F340">
            <v>2.64E-2</v>
          </cell>
          <cell r="G340">
            <v>18.695869802600299</v>
          </cell>
          <cell r="H340">
            <v>13.432561324377399</v>
          </cell>
          <cell r="I340">
            <v>8.1449995847372794</v>
          </cell>
          <cell r="J340">
            <v>259339.955055428</v>
          </cell>
          <cell r="K340">
            <v>154323.188228327</v>
          </cell>
          <cell r="L340">
            <v>1</v>
          </cell>
          <cell r="M340">
            <v>0</v>
          </cell>
        </row>
        <row r="341">
          <cell r="A341">
            <v>340</v>
          </cell>
          <cell r="B341">
            <v>1</v>
          </cell>
          <cell r="C341" t="str">
            <v>NA</v>
          </cell>
          <cell r="D341">
            <v>1</v>
          </cell>
          <cell r="E341">
            <v>0.13389999999999999</v>
          </cell>
          <cell r="F341">
            <v>2.69E-2</v>
          </cell>
          <cell r="G341">
            <v>18.851595566347001</v>
          </cell>
          <cell r="H341">
            <v>14.100982465643099</v>
          </cell>
          <cell r="I341">
            <v>8.5160516579368704</v>
          </cell>
          <cell r="J341">
            <v>169400.524869999</v>
          </cell>
          <cell r="K341">
            <v>102652.933690333</v>
          </cell>
          <cell r="L341">
            <v>1</v>
          </cell>
          <cell r="M341">
            <v>0</v>
          </cell>
        </row>
        <row r="342">
          <cell r="A342">
            <v>341</v>
          </cell>
          <cell r="B342">
            <v>1</v>
          </cell>
          <cell r="C342" t="str">
            <v>NA</v>
          </cell>
          <cell r="D342">
            <v>1</v>
          </cell>
          <cell r="E342">
            <v>0.20330000000000001</v>
          </cell>
          <cell r="F342">
            <v>2.6599999999999999E-2</v>
          </cell>
          <cell r="G342">
            <v>18.441498181476199</v>
          </cell>
          <cell r="H342">
            <v>13.093370321608599</v>
          </cell>
          <cell r="I342">
            <v>7.8055388404685502</v>
          </cell>
          <cell r="J342">
            <v>190482.283061931</v>
          </cell>
          <cell r="K342">
            <v>112726.92563840401</v>
          </cell>
          <cell r="L342">
            <v>1</v>
          </cell>
          <cell r="M342">
            <v>0</v>
          </cell>
        </row>
        <row r="343">
          <cell r="A343">
            <v>342</v>
          </cell>
          <cell r="B343">
            <v>1</v>
          </cell>
          <cell r="C343" t="str">
            <v>NA</v>
          </cell>
          <cell r="D343">
            <v>1</v>
          </cell>
          <cell r="E343">
            <v>0.1055</v>
          </cell>
          <cell r="F343">
            <v>2.69E-2</v>
          </cell>
          <cell r="G343">
            <v>19.2610653741975</v>
          </cell>
          <cell r="H343">
            <v>13.4264882518398</v>
          </cell>
          <cell r="I343">
            <v>8.1040177828067002</v>
          </cell>
          <cell r="J343">
            <v>250559.97929974899</v>
          </cell>
          <cell r="K343">
            <v>148429.80261322099</v>
          </cell>
          <cell r="L343">
            <v>1</v>
          </cell>
          <cell r="M343">
            <v>0</v>
          </cell>
        </row>
        <row r="344">
          <cell r="A344">
            <v>343</v>
          </cell>
          <cell r="B344">
            <v>1</v>
          </cell>
          <cell r="C344" t="str">
            <v>NA</v>
          </cell>
          <cell r="D344">
            <v>1</v>
          </cell>
          <cell r="E344">
            <v>0.1467</v>
          </cell>
          <cell r="F344">
            <v>2.5999999999999999E-2</v>
          </cell>
          <cell r="G344">
            <v>18.002328036893299</v>
          </cell>
          <cell r="H344">
            <v>11.7549302208272</v>
          </cell>
          <cell r="I344">
            <v>7.1434175578027297</v>
          </cell>
          <cell r="J344">
            <v>201045.50026405699</v>
          </cell>
          <cell r="K344">
            <v>121813.05647183199</v>
          </cell>
          <cell r="L344">
            <v>1</v>
          </cell>
          <cell r="M344">
            <v>0</v>
          </cell>
        </row>
        <row r="345">
          <cell r="A345">
            <v>344</v>
          </cell>
          <cell r="B345">
            <v>1</v>
          </cell>
          <cell r="C345" t="str">
            <v>NA</v>
          </cell>
          <cell r="D345">
            <v>1</v>
          </cell>
          <cell r="E345">
            <v>0.23430000000000001</v>
          </cell>
          <cell r="F345">
            <v>2.2700000000000001E-2</v>
          </cell>
          <cell r="G345">
            <v>17.102128192834801</v>
          </cell>
          <cell r="H345">
            <v>12.401697255248999</v>
          </cell>
          <cell r="I345">
            <v>7.46948558008501</v>
          </cell>
          <cell r="J345">
            <v>186172.24260450399</v>
          </cell>
          <cell r="K345">
            <v>111405.093745698</v>
          </cell>
          <cell r="L345">
            <v>1</v>
          </cell>
          <cell r="M345">
            <v>0</v>
          </cell>
        </row>
        <row r="346">
          <cell r="A346">
            <v>345</v>
          </cell>
          <cell r="B346">
            <v>1</v>
          </cell>
          <cell r="C346" t="str">
            <v>NA</v>
          </cell>
          <cell r="D346">
            <v>1</v>
          </cell>
          <cell r="E346">
            <v>0.17399999999999999</v>
          </cell>
          <cell r="F346">
            <v>2.1000000000000001E-2</v>
          </cell>
          <cell r="G346">
            <v>19.015708856616602</v>
          </cell>
          <cell r="H346">
            <v>12.000199579193801</v>
          </cell>
          <cell r="I346">
            <v>7.1649508688547598</v>
          </cell>
          <cell r="J346">
            <v>209863.09034282301</v>
          </cell>
          <cell r="K346">
            <v>123822.763189786</v>
          </cell>
          <cell r="L346">
            <v>1</v>
          </cell>
          <cell r="M346">
            <v>0</v>
          </cell>
        </row>
        <row r="347">
          <cell r="A347">
            <v>346</v>
          </cell>
          <cell r="B347">
            <v>1</v>
          </cell>
          <cell r="C347" t="str">
            <v>NA</v>
          </cell>
          <cell r="D347">
            <v>1</v>
          </cell>
          <cell r="E347">
            <v>0.14779999999999999</v>
          </cell>
          <cell r="F347">
            <v>2.8299999999999999E-2</v>
          </cell>
          <cell r="G347">
            <v>18.633344886187999</v>
          </cell>
          <cell r="H347">
            <v>13.9924628837783</v>
          </cell>
          <cell r="I347">
            <v>8.4264909436445894</v>
          </cell>
          <cell r="J347">
            <v>214823.987434512</v>
          </cell>
          <cell r="K347">
            <v>128097.52745569</v>
          </cell>
          <cell r="L347">
            <v>1</v>
          </cell>
          <cell r="M347">
            <v>0</v>
          </cell>
        </row>
        <row r="348">
          <cell r="A348">
            <v>347</v>
          </cell>
          <cell r="B348">
            <v>1</v>
          </cell>
          <cell r="C348" t="str">
            <v>NA</v>
          </cell>
          <cell r="D348">
            <v>1</v>
          </cell>
          <cell r="E348">
            <v>0.1179</v>
          </cell>
          <cell r="F348">
            <v>3.3099999999999997E-2</v>
          </cell>
          <cell r="G348">
            <v>19.907584600095301</v>
          </cell>
          <cell r="H348">
            <v>14.494750251683699</v>
          </cell>
          <cell r="I348">
            <v>8.6458309291814999</v>
          </cell>
          <cell r="J348">
            <v>194508.048177736</v>
          </cell>
          <cell r="K348">
            <v>115288.892535879</v>
          </cell>
          <cell r="L348">
            <v>1</v>
          </cell>
          <cell r="M348">
            <v>0</v>
          </cell>
        </row>
        <row r="349">
          <cell r="A349">
            <v>348</v>
          </cell>
          <cell r="B349">
            <v>1</v>
          </cell>
          <cell r="C349" t="str">
            <v>NA</v>
          </cell>
          <cell r="D349">
            <v>1</v>
          </cell>
          <cell r="E349">
            <v>0.12529999999999999</v>
          </cell>
          <cell r="F349">
            <v>2.18E-2</v>
          </cell>
          <cell r="G349">
            <v>17.587449548301599</v>
          </cell>
          <cell r="H349">
            <v>11.8964133402204</v>
          </cell>
          <cell r="I349">
            <v>7.3644479877376998</v>
          </cell>
          <cell r="J349">
            <v>190245.008971209</v>
          </cell>
          <cell r="K349">
            <v>117804.88326142399</v>
          </cell>
          <cell r="L349">
            <v>1</v>
          </cell>
          <cell r="M349">
            <v>0</v>
          </cell>
        </row>
        <row r="350">
          <cell r="A350">
            <v>349</v>
          </cell>
          <cell r="B350">
            <v>1</v>
          </cell>
          <cell r="C350" t="str">
            <v>NA</v>
          </cell>
          <cell r="D350">
            <v>1</v>
          </cell>
          <cell r="E350">
            <v>0.1145</v>
          </cell>
          <cell r="F350">
            <v>2.52E-2</v>
          </cell>
          <cell r="G350">
            <v>18.714010191684299</v>
          </cell>
          <cell r="H350">
            <v>12.6602100502956</v>
          </cell>
          <cell r="I350">
            <v>7.7003518233110197</v>
          </cell>
          <cell r="J350">
            <v>220719.85712780699</v>
          </cell>
          <cell r="K350">
            <v>133322.276738582</v>
          </cell>
          <cell r="L350">
            <v>1</v>
          </cell>
          <cell r="M350">
            <v>0</v>
          </cell>
        </row>
        <row r="351">
          <cell r="A351">
            <v>350</v>
          </cell>
          <cell r="B351">
            <v>1</v>
          </cell>
          <cell r="C351" t="str">
            <v>NA</v>
          </cell>
          <cell r="D351">
            <v>1</v>
          </cell>
          <cell r="E351">
            <v>0.13780000000000001</v>
          </cell>
          <cell r="F351">
            <v>2.5499999999999998E-2</v>
          </cell>
          <cell r="G351">
            <v>17.920766863386</v>
          </cell>
          <cell r="H351">
            <v>13.804759902879701</v>
          </cell>
          <cell r="I351">
            <v>8.4382037540856594</v>
          </cell>
          <cell r="J351">
            <v>176591.778333842</v>
          </cell>
          <cell r="K351">
            <v>108336.729061923</v>
          </cell>
          <cell r="L351">
            <v>1</v>
          </cell>
          <cell r="M351">
            <v>0</v>
          </cell>
        </row>
        <row r="352">
          <cell r="A352">
            <v>351</v>
          </cell>
          <cell r="B352">
            <v>1</v>
          </cell>
          <cell r="C352" t="str">
            <v>NA</v>
          </cell>
          <cell r="D352">
            <v>1</v>
          </cell>
          <cell r="E352">
            <v>0.1459</v>
          </cell>
          <cell r="F352">
            <v>2.3900000000000001E-2</v>
          </cell>
          <cell r="G352">
            <v>18.706287920327199</v>
          </cell>
          <cell r="H352">
            <v>11.6157578767214</v>
          </cell>
          <cell r="I352">
            <v>7.0177057845361901</v>
          </cell>
          <cell r="J352">
            <v>165711.49242835701</v>
          </cell>
          <cell r="K352">
            <v>100833.804247796</v>
          </cell>
          <cell r="L352">
            <v>1</v>
          </cell>
          <cell r="M352">
            <v>0</v>
          </cell>
        </row>
        <row r="353">
          <cell r="A353">
            <v>352</v>
          </cell>
          <cell r="B353">
            <v>1</v>
          </cell>
          <cell r="C353" t="str">
            <v>NA</v>
          </cell>
          <cell r="D353">
            <v>1</v>
          </cell>
          <cell r="E353">
            <v>0.1236</v>
          </cell>
          <cell r="F353">
            <v>2.0199999999999999E-2</v>
          </cell>
          <cell r="G353">
            <v>18.126999223332898</v>
          </cell>
          <cell r="H353">
            <v>12.9910620819533</v>
          </cell>
          <cell r="I353">
            <v>7.9663174913957997</v>
          </cell>
          <cell r="J353">
            <v>187362.00951235401</v>
          </cell>
          <cell r="K353">
            <v>114875.469910985</v>
          </cell>
          <cell r="L353">
            <v>1</v>
          </cell>
          <cell r="M353">
            <v>0</v>
          </cell>
        </row>
        <row r="354">
          <cell r="A354">
            <v>353</v>
          </cell>
          <cell r="B354">
            <v>1</v>
          </cell>
          <cell r="C354" t="str">
            <v>NA</v>
          </cell>
          <cell r="D354">
            <v>1</v>
          </cell>
          <cell r="E354">
            <v>0.13250000000000001</v>
          </cell>
          <cell r="F354">
            <v>2.0400000000000001E-2</v>
          </cell>
          <cell r="G354">
            <v>18.944288754411001</v>
          </cell>
          <cell r="H354">
            <v>13.640545361399001</v>
          </cell>
          <cell r="I354">
            <v>8.2575594378037103</v>
          </cell>
          <cell r="J354">
            <v>236760.60587791601</v>
          </cell>
          <cell r="K354">
            <v>141337.55562545799</v>
          </cell>
          <cell r="L354">
            <v>1</v>
          </cell>
          <cell r="M354">
            <v>0</v>
          </cell>
        </row>
        <row r="355">
          <cell r="A355">
            <v>354</v>
          </cell>
          <cell r="B355">
            <v>1</v>
          </cell>
          <cell r="C355" t="str">
            <v>NA</v>
          </cell>
          <cell r="D355">
            <v>1</v>
          </cell>
          <cell r="E355">
            <v>0.11219999999999999</v>
          </cell>
          <cell r="F355">
            <v>2.9700000000000001E-2</v>
          </cell>
          <cell r="G355">
            <v>19.052162217914599</v>
          </cell>
          <cell r="H355">
            <v>12.9428948988885</v>
          </cell>
          <cell r="I355">
            <v>7.8314134256858097</v>
          </cell>
          <cell r="J355">
            <v>169154.91272657001</v>
          </cell>
          <cell r="K355">
            <v>103146.20500189099</v>
          </cell>
          <cell r="L355">
            <v>1</v>
          </cell>
          <cell r="M355">
            <v>0</v>
          </cell>
        </row>
        <row r="356">
          <cell r="A356">
            <v>355</v>
          </cell>
          <cell r="B356">
            <v>1</v>
          </cell>
          <cell r="C356" t="str">
            <v>NA</v>
          </cell>
          <cell r="D356">
            <v>1</v>
          </cell>
          <cell r="E356">
            <v>0.1484</v>
          </cell>
          <cell r="F356">
            <v>2.0500000000000001E-2</v>
          </cell>
          <cell r="G356">
            <v>18.529250139659698</v>
          </cell>
          <cell r="H356">
            <v>12.7212351274813</v>
          </cell>
          <cell r="I356">
            <v>7.6960754929366502</v>
          </cell>
          <cell r="J356">
            <v>170070.65196722199</v>
          </cell>
          <cell r="K356">
            <v>103487.26474180599</v>
          </cell>
          <cell r="L356">
            <v>1</v>
          </cell>
          <cell r="M356">
            <v>0</v>
          </cell>
        </row>
        <row r="357">
          <cell r="A357">
            <v>356</v>
          </cell>
          <cell r="B357">
            <v>1</v>
          </cell>
          <cell r="C357" t="str">
            <v>NA</v>
          </cell>
          <cell r="D357">
            <v>1</v>
          </cell>
          <cell r="E357">
            <v>0.1331</v>
          </cell>
          <cell r="F357">
            <v>2.7799999999999998E-2</v>
          </cell>
          <cell r="G357">
            <v>20.364875474089601</v>
          </cell>
          <cell r="H357">
            <v>15.5772200676635</v>
          </cell>
          <cell r="I357">
            <v>9.1816780350679892</v>
          </cell>
          <cell r="J357">
            <v>230240.626542499</v>
          </cell>
          <cell r="K357">
            <v>133183.211091345</v>
          </cell>
          <cell r="L357">
            <v>1</v>
          </cell>
          <cell r="M357">
            <v>0</v>
          </cell>
        </row>
        <row r="358">
          <cell r="A358">
            <v>357</v>
          </cell>
          <cell r="B358">
            <v>1</v>
          </cell>
          <cell r="C358" t="str">
            <v>NA</v>
          </cell>
          <cell r="D358">
            <v>1</v>
          </cell>
          <cell r="E358">
            <v>0.13669999999999999</v>
          </cell>
          <cell r="F358">
            <v>2.8299999999999999E-2</v>
          </cell>
          <cell r="G358">
            <v>17.7835577490936</v>
          </cell>
          <cell r="H358">
            <v>11.0489164326343</v>
          </cell>
          <cell r="I358">
            <v>6.7657865992602204</v>
          </cell>
          <cell r="J358">
            <v>149579.13406914601</v>
          </cell>
          <cell r="K358">
            <v>93091.184748198095</v>
          </cell>
          <cell r="L358">
            <v>1</v>
          </cell>
          <cell r="M358">
            <v>0</v>
          </cell>
        </row>
        <row r="359">
          <cell r="A359">
            <v>358</v>
          </cell>
          <cell r="B359">
            <v>1</v>
          </cell>
          <cell r="C359" t="str">
            <v>NA</v>
          </cell>
          <cell r="D359">
            <v>1</v>
          </cell>
          <cell r="E359">
            <v>0.1075</v>
          </cell>
          <cell r="F359">
            <v>2.4899999999999999E-2</v>
          </cell>
          <cell r="G359">
            <v>20.2956914451076</v>
          </cell>
          <cell r="H359">
            <v>13.485207282175001</v>
          </cell>
          <cell r="I359">
            <v>8.0356102495943293</v>
          </cell>
          <cell r="J359">
            <v>261136.66699442401</v>
          </cell>
          <cell r="K359">
            <v>152335.786449281</v>
          </cell>
          <cell r="L359">
            <v>1</v>
          </cell>
          <cell r="M359">
            <v>0</v>
          </cell>
        </row>
        <row r="360">
          <cell r="A360">
            <v>359</v>
          </cell>
          <cell r="B360">
            <v>1</v>
          </cell>
          <cell r="C360" t="str">
            <v>NA</v>
          </cell>
          <cell r="D360">
            <v>1</v>
          </cell>
          <cell r="E360">
            <v>0.13189999999999999</v>
          </cell>
          <cell r="F360">
            <v>2.3699999999999999E-2</v>
          </cell>
          <cell r="G360">
            <v>19.672150769603402</v>
          </cell>
          <cell r="H360">
            <v>12.516318977582101</v>
          </cell>
          <cell r="I360">
            <v>7.4869738877215104</v>
          </cell>
          <cell r="J360">
            <v>247010.86838645299</v>
          </cell>
          <cell r="K360">
            <v>145004.44121169701</v>
          </cell>
          <cell r="L360">
            <v>1</v>
          </cell>
          <cell r="M360">
            <v>0</v>
          </cell>
        </row>
        <row r="361">
          <cell r="A361">
            <v>360</v>
          </cell>
          <cell r="B361">
            <v>1</v>
          </cell>
          <cell r="C361" t="str">
            <v>NA</v>
          </cell>
          <cell r="D361">
            <v>1</v>
          </cell>
          <cell r="E361">
            <v>0.1857</v>
          </cell>
          <cell r="F361">
            <v>2.0899999999999998E-2</v>
          </cell>
          <cell r="G361">
            <v>18.5926004999985</v>
          </cell>
          <cell r="H361">
            <v>13.0570109868115</v>
          </cell>
          <cell r="I361">
            <v>7.8074969966325298</v>
          </cell>
          <cell r="J361">
            <v>196194.716147773</v>
          </cell>
          <cell r="K361">
            <v>116157.008594516</v>
          </cell>
          <cell r="L361">
            <v>1</v>
          </cell>
          <cell r="M361">
            <v>0</v>
          </cell>
        </row>
        <row r="362">
          <cell r="A362">
            <v>361</v>
          </cell>
          <cell r="B362">
            <v>1</v>
          </cell>
          <cell r="C362" t="str">
            <v>NA</v>
          </cell>
          <cell r="D362">
            <v>1</v>
          </cell>
          <cell r="E362">
            <v>0.13800000000000001</v>
          </cell>
          <cell r="F362">
            <v>2.41E-2</v>
          </cell>
          <cell r="G362">
            <v>20.768880711393201</v>
          </cell>
          <cell r="H362">
            <v>13.9171269621412</v>
          </cell>
          <cell r="I362">
            <v>8.1723909959496197</v>
          </cell>
          <cell r="J362">
            <v>257163.213693639</v>
          </cell>
          <cell r="K362">
            <v>146797.01374243101</v>
          </cell>
          <cell r="L362">
            <v>1</v>
          </cell>
          <cell r="M362">
            <v>0</v>
          </cell>
        </row>
        <row r="363">
          <cell r="A363">
            <v>362</v>
          </cell>
          <cell r="B363">
            <v>1</v>
          </cell>
          <cell r="C363" t="str">
            <v>NA</v>
          </cell>
          <cell r="D363">
            <v>1</v>
          </cell>
          <cell r="E363">
            <v>0.13239999999999999</v>
          </cell>
          <cell r="F363">
            <v>2.58E-2</v>
          </cell>
          <cell r="G363">
            <v>19.0982444569844</v>
          </cell>
          <cell r="H363">
            <v>14.218038005778601</v>
          </cell>
          <cell r="I363">
            <v>8.5730623403611101</v>
          </cell>
          <cell r="J363">
            <v>205891.73489099799</v>
          </cell>
          <cell r="K363">
            <v>123302.154513181</v>
          </cell>
          <cell r="L363">
            <v>1</v>
          </cell>
          <cell r="M363">
            <v>0</v>
          </cell>
        </row>
        <row r="364">
          <cell r="A364">
            <v>363</v>
          </cell>
          <cell r="B364">
            <v>1</v>
          </cell>
          <cell r="C364" t="str">
            <v>NA</v>
          </cell>
          <cell r="D364">
            <v>1</v>
          </cell>
          <cell r="E364">
            <v>0.1409</v>
          </cell>
          <cell r="F364">
            <v>3.1800000000000002E-2</v>
          </cell>
          <cell r="G364">
            <v>18.704328047411799</v>
          </cell>
          <cell r="H364">
            <v>12.5467530666886</v>
          </cell>
          <cell r="I364">
            <v>7.5668751155156304</v>
          </cell>
          <cell r="J364">
            <v>230328.18299560901</v>
          </cell>
          <cell r="K364">
            <v>136904.504681794</v>
          </cell>
          <cell r="L364">
            <v>1</v>
          </cell>
          <cell r="M364">
            <v>0</v>
          </cell>
        </row>
        <row r="365">
          <cell r="A365">
            <v>364</v>
          </cell>
          <cell r="B365">
            <v>1</v>
          </cell>
          <cell r="C365" t="str">
            <v>NA</v>
          </cell>
          <cell r="D365">
            <v>1</v>
          </cell>
          <cell r="E365">
            <v>0.17780000000000001</v>
          </cell>
          <cell r="F365">
            <v>2.8000000000000001E-2</v>
          </cell>
          <cell r="G365">
            <v>18.5800770125126</v>
          </cell>
          <cell r="H365">
            <v>13.083353638004301</v>
          </cell>
          <cell r="I365">
            <v>7.8355214511370503</v>
          </cell>
          <cell r="J365">
            <v>203093.03792323</v>
          </cell>
          <cell r="K365">
            <v>120455.00851741301</v>
          </cell>
          <cell r="L365">
            <v>1</v>
          </cell>
          <cell r="M365">
            <v>0</v>
          </cell>
        </row>
        <row r="366">
          <cell r="A366">
            <v>365</v>
          </cell>
          <cell r="B366">
            <v>1</v>
          </cell>
          <cell r="C366" t="str">
            <v>NA</v>
          </cell>
          <cell r="D366">
            <v>1</v>
          </cell>
          <cell r="E366">
            <v>0.12379999999999999</v>
          </cell>
          <cell r="F366">
            <v>2.0799999999999999E-2</v>
          </cell>
          <cell r="G366">
            <v>18.709304321242598</v>
          </cell>
          <cell r="H366">
            <v>13.2730513683345</v>
          </cell>
          <cell r="I366">
            <v>8.0658232552932496</v>
          </cell>
          <cell r="J366">
            <v>187163.67582833901</v>
          </cell>
          <cell r="K366">
            <v>113637.37246567001</v>
          </cell>
          <cell r="L366">
            <v>1</v>
          </cell>
          <cell r="M366">
            <v>0</v>
          </cell>
        </row>
        <row r="367">
          <cell r="A367">
            <v>366</v>
          </cell>
          <cell r="B367">
            <v>1</v>
          </cell>
          <cell r="C367" t="str">
            <v>NA</v>
          </cell>
          <cell r="D367">
            <v>1</v>
          </cell>
          <cell r="E367">
            <v>0.2306</v>
          </cell>
          <cell r="F367">
            <v>2.0199999999999999E-2</v>
          </cell>
          <cell r="G367">
            <v>17.453846610472901</v>
          </cell>
          <cell r="H367">
            <v>10.9037283026585</v>
          </cell>
          <cell r="I367">
            <v>6.5523138699997698</v>
          </cell>
          <cell r="J367">
            <v>188607.91947524899</v>
          </cell>
          <cell r="K367">
            <v>112479.317012942</v>
          </cell>
          <cell r="L367">
            <v>1</v>
          </cell>
          <cell r="M367">
            <v>0</v>
          </cell>
        </row>
        <row r="368">
          <cell r="A368">
            <v>367</v>
          </cell>
          <cell r="B368">
            <v>1</v>
          </cell>
          <cell r="C368" t="str">
            <v>NA</v>
          </cell>
          <cell r="D368">
            <v>1</v>
          </cell>
          <cell r="E368">
            <v>0.15040000000000001</v>
          </cell>
          <cell r="F368">
            <v>2.6599999999999999E-2</v>
          </cell>
          <cell r="G368">
            <v>18.823928007006199</v>
          </cell>
          <cell r="H368">
            <v>12.260118066554201</v>
          </cell>
          <cell r="I368">
            <v>7.34731138592646</v>
          </cell>
          <cell r="J368">
            <v>192228.95808089801</v>
          </cell>
          <cell r="K368">
            <v>114562.633230516</v>
          </cell>
          <cell r="L368">
            <v>1</v>
          </cell>
          <cell r="M368">
            <v>0</v>
          </cell>
        </row>
        <row r="369">
          <cell r="A369">
            <v>368</v>
          </cell>
          <cell r="B369">
            <v>1</v>
          </cell>
          <cell r="C369" t="str">
            <v>NA</v>
          </cell>
          <cell r="D369">
            <v>1</v>
          </cell>
          <cell r="E369">
            <v>0.1129</v>
          </cell>
          <cell r="F369">
            <v>2.8199999999999999E-2</v>
          </cell>
          <cell r="G369">
            <v>19.291033131336601</v>
          </cell>
          <cell r="H369">
            <v>13.872926159165599</v>
          </cell>
          <cell r="I369">
            <v>8.3519979896057492</v>
          </cell>
          <cell r="J369">
            <v>227281.10882895999</v>
          </cell>
          <cell r="K369">
            <v>135108.04747885501</v>
          </cell>
          <cell r="L369">
            <v>1</v>
          </cell>
          <cell r="M369">
            <v>0</v>
          </cell>
        </row>
        <row r="370">
          <cell r="A370">
            <v>369</v>
          </cell>
          <cell r="B370">
            <v>1</v>
          </cell>
          <cell r="C370" t="str">
            <v>NA</v>
          </cell>
          <cell r="D370">
            <v>1</v>
          </cell>
          <cell r="E370">
            <v>0.1467</v>
          </cell>
          <cell r="F370">
            <v>2.63E-2</v>
          </cell>
          <cell r="G370">
            <v>20.368078839680098</v>
          </cell>
          <cell r="H370">
            <v>15.055696690197999</v>
          </cell>
          <cell r="I370">
            <v>8.8949273093142107</v>
          </cell>
          <cell r="J370">
            <v>254823.678078711</v>
          </cell>
          <cell r="K370">
            <v>146906.72880845901</v>
          </cell>
          <cell r="L370">
            <v>1</v>
          </cell>
          <cell r="M370">
            <v>0</v>
          </cell>
        </row>
        <row r="371">
          <cell r="A371">
            <v>370</v>
          </cell>
          <cell r="B371">
            <v>1</v>
          </cell>
          <cell r="C371" t="str">
            <v>NA</v>
          </cell>
          <cell r="D371">
            <v>1</v>
          </cell>
          <cell r="E371">
            <v>0.17960000000000001</v>
          </cell>
          <cell r="F371">
            <v>3.1099999999999999E-2</v>
          </cell>
          <cell r="G371">
            <v>18.624487012811201</v>
          </cell>
          <cell r="H371">
            <v>15.4412164547764</v>
          </cell>
          <cell r="I371">
            <v>9.22542417976174</v>
          </cell>
          <cell r="J371">
            <v>219355.153947691</v>
          </cell>
          <cell r="K371">
            <v>129247.971426333</v>
          </cell>
          <cell r="L371">
            <v>1</v>
          </cell>
          <cell r="M371">
            <v>0</v>
          </cell>
        </row>
        <row r="372">
          <cell r="A372">
            <v>371</v>
          </cell>
          <cell r="B372">
            <v>1</v>
          </cell>
          <cell r="C372" t="str">
            <v>NA</v>
          </cell>
          <cell r="D372">
            <v>1</v>
          </cell>
          <cell r="E372">
            <v>0.16320000000000001</v>
          </cell>
          <cell r="F372">
            <v>2.53E-2</v>
          </cell>
          <cell r="G372">
            <v>17.6974625525081</v>
          </cell>
          <cell r="H372">
            <v>13.629184857752501</v>
          </cell>
          <cell r="I372">
            <v>8.28571593765232</v>
          </cell>
          <cell r="J372">
            <v>180810.05619950601</v>
          </cell>
          <cell r="K372">
            <v>110038.421908276</v>
          </cell>
          <cell r="L372">
            <v>1</v>
          </cell>
          <cell r="M372">
            <v>0</v>
          </cell>
        </row>
        <row r="373">
          <cell r="A373">
            <v>372</v>
          </cell>
          <cell r="B373">
            <v>1</v>
          </cell>
          <cell r="C373" t="str">
            <v>NA</v>
          </cell>
          <cell r="D373">
            <v>1</v>
          </cell>
          <cell r="E373">
            <v>0.14960000000000001</v>
          </cell>
          <cell r="F373">
            <v>2.6599999999999999E-2</v>
          </cell>
          <cell r="G373">
            <v>19.519507660068001</v>
          </cell>
          <cell r="H373">
            <v>13.4184546502328</v>
          </cell>
          <cell r="I373">
            <v>7.9755077989883398</v>
          </cell>
          <cell r="J373">
            <v>226798.87726924999</v>
          </cell>
          <cell r="K373">
            <v>132532.53498847299</v>
          </cell>
          <cell r="L373">
            <v>1</v>
          </cell>
          <cell r="M373">
            <v>0</v>
          </cell>
        </row>
        <row r="374">
          <cell r="A374">
            <v>373</v>
          </cell>
          <cell r="B374">
            <v>1</v>
          </cell>
          <cell r="C374" t="str">
            <v>NA</v>
          </cell>
          <cell r="D374">
            <v>1</v>
          </cell>
          <cell r="E374">
            <v>0.12189999999999999</v>
          </cell>
          <cell r="F374">
            <v>2.4500000000000001E-2</v>
          </cell>
          <cell r="G374">
            <v>19.3720161591032</v>
          </cell>
          <cell r="H374">
            <v>13.8349517483414</v>
          </cell>
          <cell r="I374">
            <v>8.3112015450056393</v>
          </cell>
          <cell r="J374">
            <v>207818.31097738</v>
          </cell>
          <cell r="K374">
            <v>123428.95335616601</v>
          </cell>
          <cell r="L374">
            <v>1</v>
          </cell>
          <cell r="M374">
            <v>0</v>
          </cell>
        </row>
        <row r="375">
          <cell r="A375">
            <v>374</v>
          </cell>
          <cell r="B375">
            <v>1</v>
          </cell>
          <cell r="C375" t="str">
            <v>NA</v>
          </cell>
          <cell r="D375">
            <v>1</v>
          </cell>
          <cell r="E375">
            <v>0.12970000000000001</v>
          </cell>
          <cell r="F375">
            <v>2.5999999999999999E-2</v>
          </cell>
          <cell r="G375">
            <v>18.278814692144401</v>
          </cell>
          <cell r="H375">
            <v>12.306870471148001</v>
          </cell>
          <cell r="I375">
            <v>7.5177706974414296</v>
          </cell>
          <cell r="J375">
            <v>214697.864968154</v>
          </cell>
          <cell r="K375">
            <v>130034.533903754</v>
          </cell>
          <cell r="L375">
            <v>1</v>
          </cell>
          <cell r="M375">
            <v>0</v>
          </cell>
        </row>
        <row r="376">
          <cell r="A376">
            <v>375</v>
          </cell>
          <cell r="B376">
            <v>1</v>
          </cell>
          <cell r="C376" t="str">
            <v>NA</v>
          </cell>
          <cell r="D376">
            <v>1</v>
          </cell>
          <cell r="E376">
            <v>0.17019999999999999</v>
          </cell>
          <cell r="F376">
            <v>2.7900000000000001E-2</v>
          </cell>
          <cell r="G376">
            <v>18.536823936363799</v>
          </cell>
          <cell r="H376">
            <v>10.2016402313557</v>
          </cell>
          <cell r="I376">
            <v>6.1172174172431797</v>
          </cell>
          <cell r="J376">
            <v>171206.31647956101</v>
          </cell>
          <cell r="K376">
            <v>103007.413110108</v>
          </cell>
          <cell r="L376">
            <v>1</v>
          </cell>
          <cell r="M376">
            <v>0</v>
          </cell>
        </row>
        <row r="377">
          <cell r="A377">
            <v>376</v>
          </cell>
          <cell r="B377">
            <v>1</v>
          </cell>
          <cell r="C377" t="str">
            <v>NA</v>
          </cell>
          <cell r="D377">
            <v>1</v>
          </cell>
          <cell r="E377">
            <v>0.14149999999999999</v>
          </cell>
          <cell r="F377">
            <v>2.6700000000000002E-2</v>
          </cell>
          <cell r="G377">
            <v>20.0630346883596</v>
          </cell>
          <cell r="H377">
            <v>13.628860187284401</v>
          </cell>
          <cell r="I377">
            <v>8.0543663617313008</v>
          </cell>
          <cell r="J377">
            <v>239503.36173759701</v>
          </cell>
          <cell r="K377">
            <v>138583.46383923199</v>
          </cell>
          <cell r="L377">
            <v>1</v>
          </cell>
          <cell r="M377">
            <v>0</v>
          </cell>
        </row>
        <row r="378">
          <cell r="A378">
            <v>377</v>
          </cell>
          <cell r="B378">
            <v>1</v>
          </cell>
          <cell r="C378" t="str">
            <v>NA</v>
          </cell>
          <cell r="D378">
            <v>1</v>
          </cell>
          <cell r="E378">
            <v>0.2321</v>
          </cell>
          <cell r="F378">
            <v>2.2700000000000001E-2</v>
          </cell>
          <cell r="G378">
            <v>18.1906092346481</v>
          </cell>
          <cell r="H378">
            <v>13.266549709061801</v>
          </cell>
          <cell r="I378">
            <v>7.8678271518235396</v>
          </cell>
          <cell r="J378">
            <v>216136.747942694</v>
          </cell>
          <cell r="K378">
            <v>126149.495830905</v>
          </cell>
          <cell r="L378">
            <v>1</v>
          </cell>
          <cell r="M378">
            <v>0</v>
          </cell>
        </row>
        <row r="379">
          <cell r="A379">
            <v>378</v>
          </cell>
          <cell r="B379">
            <v>1</v>
          </cell>
          <cell r="C379" t="str">
            <v>NA</v>
          </cell>
          <cell r="D379">
            <v>1</v>
          </cell>
          <cell r="E379">
            <v>0.12690000000000001</v>
          </cell>
          <cell r="F379">
            <v>2.86E-2</v>
          </cell>
          <cell r="G379">
            <v>19.786376519115599</v>
          </cell>
          <cell r="H379">
            <v>14.1253180537941</v>
          </cell>
          <cell r="I379">
            <v>8.4317875048436495</v>
          </cell>
          <cell r="J379">
            <v>243784.91341143701</v>
          </cell>
          <cell r="K379">
            <v>142781.4097627</v>
          </cell>
          <cell r="L379">
            <v>1</v>
          </cell>
          <cell r="M379">
            <v>0</v>
          </cell>
        </row>
        <row r="380">
          <cell r="A380">
            <v>379</v>
          </cell>
          <cell r="B380">
            <v>1</v>
          </cell>
          <cell r="C380" t="str">
            <v>NA</v>
          </cell>
          <cell r="D380">
            <v>1</v>
          </cell>
          <cell r="E380">
            <v>0.13</v>
          </cell>
          <cell r="F380">
            <v>2.6700000000000002E-2</v>
          </cell>
          <cell r="G380">
            <v>17.624386232453801</v>
          </cell>
          <cell r="H380">
            <v>13.5004642959642</v>
          </cell>
          <cell r="I380">
            <v>8.3179500924156393</v>
          </cell>
          <cell r="J380">
            <v>237037.80355510901</v>
          </cell>
          <cell r="K380">
            <v>144308.50118893501</v>
          </cell>
          <cell r="L380">
            <v>1</v>
          </cell>
          <cell r="M380">
            <v>0</v>
          </cell>
        </row>
        <row r="381">
          <cell r="A381">
            <v>380</v>
          </cell>
          <cell r="B381">
            <v>1</v>
          </cell>
          <cell r="C381" t="str">
            <v>NA</v>
          </cell>
          <cell r="D381">
            <v>1</v>
          </cell>
          <cell r="E381">
            <v>0.14319999999999999</v>
          </cell>
          <cell r="F381">
            <v>2.3199999999999998E-2</v>
          </cell>
          <cell r="G381">
            <v>18.1326387617314</v>
          </cell>
          <cell r="H381">
            <v>13.1157911385442</v>
          </cell>
          <cell r="I381">
            <v>7.9862043887369598</v>
          </cell>
          <cell r="J381">
            <v>169949.23181969399</v>
          </cell>
          <cell r="K381">
            <v>104220.178435098</v>
          </cell>
          <cell r="L381">
            <v>1</v>
          </cell>
          <cell r="M381">
            <v>0</v>
          </cell>
        </row>
        <row r="382">
          <cell r="A382">
            <v>381</v>
          </cell>
          <cell r="B382">
            <v>1</v>
          </cell>
          <cell r="C382" t="str">
            <v>NA</v>
          </cell>
          <cell r="D382">
            <v>1</v>
          </cell>
          <cell r="E382">
            <v>0.15079999999999999</v>
          </cell>
          <cell r="F382">
            <v>2.8000000000000001E-2</v>
          </cell>
          <cell r="G382">
            <v>20.082702625082799</v>
          </cell>
          <cell r="H382">
            <v>14.003814836538799</v>
          </cell>
          <cell r="I382">
            <v>8.2523137232886601</v>
          </cell>
          <cell r="J382">
            <v>199120.16978665799</v>
          </cell>
          <cell r="K382">
            <v>116115.87292347501</v>
          </cell>
          <cell r="L382">
            <v>1</v>
          </cell>
          <cell r="M382">
            <v>0</v>
          </cell>
        </row>
        <row r="383">
          <cell r="A383">
            <v>382</v>
          </cell>
          <cell r="B383">
            <v>1</v>
          </cell>
          <cell r="C383" t="str">
            <v>NA</v>
          </cell>
          <cell r="D383">
            <v>1</v>
          </cell>
          <cell r="E383">
            <v>0.19719999999999999</v>
          </cell>
          <cell r="F383">
            <v>2.46E-2</v>
          </cell>
          <cell r="G383">
            <v>17.9161682480003</v>
          </cell>
          <cell r="H383">
            <v>12.8028894194731</v>
          </cell>
          <cell r="I383">
            <v>7.7085357595195996</v>
          </cell>
          <cell r="J383">
            <v>210152.612377699</v>
          </cell>
          <cell r="K383">
            <v>125266.290167643</v>
          </cell>
          <cell r="L383">
            <v>1</v>
          </cell>
          <cell r="M383">
            <v>0</v>
          </cell>
        </row>
        <row r="384">
          <cell r="A384">
            <v>383</v>
          </cell>
          <cell r="B384">
            <v>1</v>
          </cell>
          <cell r="C384" t="str">
            <v>NA</v>
          </cell>
          <cell r="D384">
            <v>1</v>
          </cell>
          <cell r="E384">
            <v>0.1615</v>
          </cell>
          <cell r="F384">
            <v>2.5899999999999999E-2</v>
          </cell>
          <cell r="G384">
            <v>18.314980278640299</v>
          </cell>
          <cell r="H384">
            <v>13.9725957389513</v>
          </cell>
          <cell r="I384">
            <v>8.4251378736260296</v>
          </cell>
          <cell r="J384">
            <v>219924.00157886499</v>
          </cell>
          <cell r="K384">
            <v>130949.849217069</v>
          </cell>
          <cell r="L384">
            <v>1</v>
          </cell>
          <cell r="M384">
            <v>0</v>
          </cell>
        </row>
        <row r="385">
          <cell r="A385">
            <v>384</v>
          </cell>
          <cell r="B385">
            <v>1</v>
          </cell>
          <cell r="C385" t="str">
            <v>NA</v>
          </cell>
          <cell r="D385">
            <v>1</v>
          </cell>
          <cell r="E385">
            <v>9.6100000000000005E-2</v>
          </cell>
          <cell r="F385">
            <v>2.58E-2</v>
          </cell>
          <cell r="G385">
            <v>20.844572481070099</v>
          </cell>
          <cell r="H385">
            <v>15.896040994981799</v>
          </cell>
          <cell r="I385">
            <v>9.4071751015274199</v>
          </cell>
          <cell r="J385">
            <v>202750.09949758599</v>
          </cell>
          <cell r="K385">
            <v>119090.61485459701</v>
          </cell>
          <cell r="L385">
            <v>1</v>
          </cell>
          <cell r="M385">
            <v>0</v>
          </cell>
        </row>
        <row r="386">
          <cell r="A386">
            <v>385</v>
          </cell>
          <cell r="B386">
            <v>1</v>
          </cell>
          <cell r="C386" t="str">
            <v>NA</v>
          </cell>
          <cell r="D386">
            <v>1</v>
          </cell>
          <cell r="E386">
            <v>0.1686</v>
          </cell>
          <cell r="F386">
            <v>2.3400000000000001E-2</v>
          </cell>
          <cell r="G386">
            <v>19.158710423065902</v>
          </cell>
          <cell r="H386">
            <v>15.4512757835894</v>
          </cell>
          <cell r="I386">
            <v>9.2022565449808802</v>
          </cell>
          <cell r="J386">
            <v>159447.45126507201</v>
          </cell>
          <cell r="K386">
            <v>95687.101061309499</v>
          </cell>
          <cell r="L386">
            <v>1</v>
          </cell>
          <cell r="M386">
            <v>0</v>
          </cell>
        </row>
        <row r="387">
          <cell r="A387">
            <v>386</v>
          </cell>
          <cell r="B387">
            <v>1</v>
          </cell>
          <cell r="C387" t="str">
            <v>NA</v>
          </cell>
          <cell r="D387">
            <v>1</v>
          </cell>
          <cell r="E387">
            <v>0.1401</v>
          </cell>
          <cell r="F387">
            <v>2.4299999999999999E-2</v>
          </cell>
          <cell r="G387">
            <v>17.6174771822214</v>
          </cell>
          <cell r="H387">
            <v>11.7568540309586</v>
          </cell>
          <cell r="I387">
            <v>7.2274833718116396</v>
          </cell>
          <cell r="J387">
            <v>200212.54505555399</v>
          </cell>
          <cell r="K387">
            <v>122967.79410729</v>
          </cell>
          <cell r="L387">
            <v>1</v>
          </cell>
          <cell r="M387">
            <v>0</v>
          </cell>
        </row>
        <row r="388">
          <cell r="A388">
            <v>387</v>
          </cell>
          <cell r="B388">
            <v>1</v>
          </cell>
          <cell r="C388" t="str">
            <v>NA</v>
          </cell>
          <cell r="D388">
            <v>1</v>
          </cell>
          <cell r="E388">
            <v>0.1135</v>
          </cell>
          <cell r="F388">
            <v>2.8199999999999999E-2</v>
          </cell>
          <cell r="G388">
            <v>18.693591495248899</v>
          </cell>
          <cell r="H388">
            <v>14.2443479610828</v>
          </cell>
          <cell r="I388">
            <v>8.6834267385141999</v>
          </cell>
          <cell r="J388">
            <v>215569.97132799201</v>
          </cell>
          <cell r="K388">
            <v>130382.643253086</v>
          </cell>
          <cell r="L388">
            <v>1</v>
          </cell>
          <cell r="M388">
            <v>0</v>
          </cell>
        </row>
        <row r="389">
          <cell r="A389">
            <v>388</v>
          </cell>
          <cell r="B389">
            <v>1</v>
          </cell>
          <cell r="C389" t="str">
            <v>NA</v>
          </cell>
          <cell r="D389">
            <v>1</v>
          </cell>
          <cell r="E389">
            <v>0.13289999999999999</v>
          </cell>
          <cell r="F389">
            <v>2.7799999999999998E-2</v>
          </cell>
          <cell r="G389">
            <v>16.9486899365216</v>
          </cell>
          <cell r="H389">
            <v>12.613332017636701</v>
          </cell>
          <cell r="I389">
            <v>7.8306016631789896</v>
          </cell>
          <cell r="J389">
            <v>189160.116501232</v>
          </cell>
          <cell r="K389">
            <v>117572.61297719</v>
          </cell>
          <cell r="L389">
            <v>1</v>
          </cell>
          <cell r="M389">
            <v>0</v>
          </cell>
        </row>
        <row r="390">
          <cell r="A390">
            <v>389</v>
          </cell>
          <cell r="B390">
            <v>1</v>
          </cell>
          <cell r="C390" t="str">
            <v>NA</v>
          </cell>
          <cell r="D390">
            <v>1</v>
          </cell>
          <cell r="E390">
            <v>0.15490000000000001</v>
          </cell>
          <cell r="F390">
            <v>2.4899999999999999E-2</v>
          </cell>
          <cell r="G390">
            <v>18.352134135584599</v>
          </cell>
          <cell r="H390">
            <v>14.028067586792201</v>
          </cell>
          <cell r="I390">
            <v>8.4820323475883708</v>
          </cell>
          <cell r="J390">
            <v>205779.826362336</v>
          </cell>
          <cell r="K390">
            <v>123513.806653008</v>
          </cell>
          <cell r="L390">
            <v>1</v>
          </cell>
          <cell r="M390">
            <v>0</v>
          </cell>
        </row>
        <row r="391">
          <cell r="A391">
            <v>390</v>
          </cell>
          <cell r="B391">
            <v>1</v>
          </cell>
          <cell r="C391" t="str">
            <v>NA</v>
          </cell>
          <cell r="D391">
            <v>1</v>
          </cell>
          <cell r="E391">
            <v>0.1368</v>
          </cell>
          <cell r="F391">
            <v>2.4799999999999999E-2</v>
          </cell>
          <cell r="G391">
            <v>18.445493695326999</v>
          </cell>
          <cell r="H391">
            <v>13.5848391454289</v>
          </cell>
          <cell r="I391">
            <v>8.2454384314485196</v>
          </cell>
          <cell r="J391">
            <v>198477.20039493599</v>
          </cell>
          <cell r="K391">
            <v>119992.802291966</v>
          </cell>
          <cell r="L391">
            <v>1</v>
          </cell>
          <cell r="M391">
            <v>0</v>
          </cell>
        </row>
        <row r="392">
          <cell r="A392">
            <v>391</v>
          </cell>
          <cell r="B392">
            <v>1</v>
          </cell>
          <cell r="C392" t="str">
            <v>NA</v>
          </cell>
          <cell r="D392">
            <v>1</v>
          </cell>
          <cell r="E392">
            <v>0.18940000000000001</v>
          </cell>
          <cell r="F392">
            <v>2.69E-2</v>
          </cell>
          <cell r="G392">
            <v>18.370276718881701</v>
          </cell>
          <cell r="H392">
            <v>12.505928617360301</v>
          </cell>
          <cell r="I392">
            <v>7.4645469869962797</v>
          </cell>
          <cell r="J392">
            <v>238630.54771642899</v>
          </cell>
          <cell r="K392">
            <v>139725.708958473</v>
          </cell>
          <cell r="L392">
            <v>1</v>
          </cell>
          <cell r="M392">
            <v>0</v>
          </cell>
        </row>
        <row r="393">
          <cell r="A393">
            <v>392</v>
          </cell>
          <cell r="B393">
            <v>1</v>
          </cell>
          <cell r="C393" t="str">
            <v>NA</v>
          </cell>
          <cell r="D393">
            <v>1</v>
          </cell>
          <cell r="E393">
            <v>0.2036</v>
          </cell>
          <cell r="F393">
            <v>2.1899999999999999E-2</v>
          </cell>
          <cell r="G393">
            <v>18.5908195811684</v>
          </cell>
          <cell r="H393">
            <v>13.8364247141487</v>
          </cell>
          <cell r="I393">
            <v>8.2312356118154497</v>
          </cell>
          <cell r="J393">
            <v>209078.99948437</v>
          </cell>
          <cell r="K393">
            <v>122824.892288594</v>
          </cell>
          <cell r="L393">
            <v>1</v>
          </cell>
          <cell r="M393">
            <v>0</v>
          </cell>
        </row>
        <row r="394">
          <cell r="A394">
            <v>393</v>
          </cell>
          <cell r="B394">
            <v>1</v>
          </cell>
          <cell r="C394" t="str">
            <v>NA</v>
          </cell>
          <cell r="D394">
            <v>1</v>
          </cell>
          <cell r="E394">
            <v>0.1401</v>
          </cell>
          <cell r="F394">
            <v>2.24E-2</v>
          </cell>
          <cell r="G394">
            <v>19.4989046789524</v>
          </cell>
          <cell r="H394">
            <v>12.723043992252499</v>
          </cell>
          <cell r="I394">
            <v>7.6262027725158399</v>
          </cell>
          <cell r="J394">
            <v>182091.074696747</v>
          </cell>
          <cell r="K394">
            <v>108940.713432727</v>
          </cell>
          <cell r="L394">
            <v>1</v>
          </cell>
          <cell r="M394">
            <v>0</v>
          </cell>
        </row>
        <row r="395">
          <cell r="A395">
            <v>394</v>
          </cell>
          <cell r="B395">
            <v>1</v>
          </cell>
          <cell r="C395" t="str">
            <v>NA</v>
          </cell>
          <cell r="D395">
            <v>1</v>
          </cell>
          <cell r="E395">
            <v>0.19689999999999999</v>
          </cell>
          <cell r="F395">
            <v>2.0199999999999999E-2</v>
          </cell>
          <cell r="G395">
            <v>17.490560553343901</v>
          </cell>
          <cell r="H395">
            <v>11.728802252972001</v>
          </cell>
          <cell r="I395">
            <v>7.1222273328691497</v>
          </cell>
          <cell r="J395">
            <v>256795.15200034299</v>
          </cell>
          <cell r="K395">
            <v>152771.096391178</v>
          </cell>
          <cell r="L395">
            <v>1</v>
          </cell>
          <cell r="M395">
            <v>0</v>
          </cell>
        </row>
        <row r="396">
          <cell r="A396">
            <v>395</v>
          </cell>
          <cell r="B396">
            <v>1</v>
          </cell>
          <cell r="C396" t="str">
            <v>NA</v>
          </cell>
          <cell r="D396">
            <v>1</v>
          </cell>
          <cell r="E396">
            <v>0.1196</v>
          </cell>
          <cell r="F396">
            <v>2.5700000000000001E-2</v>
          </cell>
          <cell r="G396">
            <v>18.090645684013602</v>
          </cell>
          <cell r="H396">
            <v>13.388040889118599</v>
          </cell>
          <cell r="I396">
            <v>8.2063616226170097</v>
          </cell>
          <cell r="J396">
            <v>171763.11183954601</v>
          </cell>
          <cell r="K396">
            <v>105997.771841851</v>
          </cell>
          <cell r="L396">
            <v>1</v>
          </cell>
          <cell r="M396">
            <v>0</v>
          </cell>
        </row>
        <row r="397">
          <cell r="A397">
            <v>396</v>
          </cell>
          <cell r="B397">
            <v>1</v>
          </cell>
          <cell r="C397" t="str">
            <v>NA</v>
          </cell>
          <cell r="D397">
            <v>1</v>
          </cell>
          <cell r="E397">
            <v>0.19320000000000001</v>
          </cell>
          <cell r="F397">
            <v>2.53E-2</v>
          </cell>
          <cell r="G397">
            <v>18.694021655000299</v>
          </cell>
          <cell r="H397">
            <v>12.853574468317801</v>
          </cell>
          <cell r="I397">
            <v>7.6530205886618896</v>
          </cell>
          <cell r="J397">
            <v>190946.15545378099</v>
          </cell>
          <cell r="K397">
            <v>113047.62111610601</v>
          </cell>
          <cell r="L397">
            <v>1</v>
          </cell>
          <cell r="M397">
            <v>0</v>
          </cell>
        </row>
        <row r="398">
          <cell r="A398">
            <v>397</v>
          </cell>
          <cell r="B398">
            <v>1</v>
          </cell>
          <cell r="C398" t="str">
            <v>NA</v>
          </cell>
          <cell r="D398">
            <v>1</v>
          </cell>
          <cell r="E398">
            <v>0.10639999999999999</v>
          </cell>
          <cell r="F398">
            <v>2.86E-2</v>
          </cell>
          <cell r="G398">
            <v>20.405138357286798</v>
          </cell>
          <cell r="H398">
            <v>14.006638181654299</v>
          </cell>
          <cell r="I398">
            <v>8.3346477706762592</v>
          </cell>
          <cell r="J398">
            <v>211491.51594423701</v>
          </cell>
          <cell r="K398">
            <v>124561.920927118</v>
          </cell>
          <cell r="L398">
            <v>1</v>
          </cell>
          <cell r="M398">
            <v>0</v>
          </cell>
        </row>
        <row r="399">
          <cell r="A399">
            <v>398</v>
          </cell>
          <cell r="B399">
            <v>1</v>
          </cell>
          <cell r="C399" t="str">
            <v>NA</v>
          </cell>
          <cell r="D399">
            <v>1</v>
          </cell>
          <cell r="E399">
            <v>9.1600000000000001E-2</v>
          </cell>
          <cell r="F399">
            <v>2.2700000000000001E-2</v>
          </cell>
          <cell r="G399">
            <v>21.222981310989098</v>
          </cell>
          <cell r="H399">
            <v>14.1075021589826</v>
          </cell>
          <cell r="I399">
            <v>8.3307057629055503</v>
          </cell>
          <cell r="J399">
            <v>181860.03802779401</v>
          </cell>
          <cell r="K399">
            <v>107161.696054787</v>
          </cell>
          <cell r="L399">
            <v>1</v>
          </cell>
          <cell r="M399">
            <v>0</v>
          </cell>
        </row>
        <row r="400">
          <cell r="A400">
            <v>399</v>
          </cell>
          <cell r="B400">
            <v>1</v>
          </cell>
          <cell r="C400" t="str">
            <v>NA</v>
          </cell>
          <cell r="D400">
            <v>1</v>
          </cell>
          <cell r="E400">
            <v>0.14349999999999999</v>
          </cell>
          <cell r="F400">
            <v>2.6700000000000002E-2</v>
          </cell>
          <cell r="G400">
            <v>17.7910006526578</v>
          </cell>
          <cell r="H400">
            <v>13.908606823983501</v>
          </cell>
          <cell r="I400">
            <v>8.5003264144922994</v>
          </cell>
          <cell r="J400">
            <v>209877.62154440299</v>
          </cell>
          <cell r="K400">
            <v>127700.096766544</v>
          </cell>
          <cell r="L400">
            <v>1</v>
          </cell>
          <cell r="M400">
            <v>0</v>
          </cell>
        </row>
        <row r="401">
          <cell r="A401">
            <v>400</v>
          </cell>
          <cell r="B401">
            <v>1</v>
          </cell>
          <cell r="C401" t="str">
            <v>NA</v>
          </cell>
          <cell r="D401">
            <v>1</v>
          </cell>
          <cell r="E401">
            <v>0.1578</v>
          </cell>
          <cell r="F401">
            <v>2.0899999999999998E-2</v>
          </cell>
          <cell r="G401">
            <v>18.1044698235007</v>
          </cell>
          <cell r="H401">
            <v>12.1759355935364</v>
          </cell>
          <cell r="I401">
            <v>7.3966073163912798</v>
          </cell>
          <cell r="J401">
            <v>158814.60491513199</v>
          </cell>
          <cell r="K401">
            <v>97440.252200657094</v>
          </cell>
          <cell r="L401">
            <v>1</v>
          </cell>
          <cell r="M401">
            <v>0</v>
          </cell>
        </row>
        <row r="402">
          <cell r="A402">
            <v>401</v>
          </cell>
          <cell r="B402">
            <v>1</v>
          </cell>
          <cell r="C402" t="str">
            <v>NA</v>
          </cell>
          <cell r="D402">
            <v>1</v>
          </cell>
          <cell r="E402">
            <v>0.16520000000000001</v>
          </cell>
          <cell r="F402">
            <v>1.9199999999999998E-2</v>
          </cell>
          <cell r="G402">
            <v>18.8782061075073</v>
          </cell>
          <cell r="H402">
            <v>15.1771610036425</v>
          </cell>
          <cell r="I402">
            <v>9.1122620840283304</v>
          </cell>
          <cell r="J402">
            <v>224004.33284423899</v>
          </cell>
          <cell r="K402">
            <v>132737.734473408</v>
          </cell>
          <cell r="L402">
            <v>1</v>
          </cell>
          <cell r="M402">
            <v>0</v>
          </cell>
        </row>
        <row r="403">
          <cell r="A403">
            <v>402</v>
          </cell>
          <cell r="B403">
            <v>1</v>
          </cell>
          <cell r="C403" t="str">
            <v>NA</v>
          </cell>
          <cell r="D403">
            <v>1</v>
          </cell>
          <cell r="E403">
            <v>0.2077</v>
          </cell>
          <cell r="F403">
            <v>2.1100000000000001E-2</v>
          </cell>
          <cell r="G403">
            <v>17.820639657698099</v>
          </cell>
          <cell r="H403">
            <v>13.3189101843616</v>
          </cell>
          <cell r="I403">
            <v>8.0188021610301607</v>
          </cell>
          <cell r="J403">
            <v>192888.63117161099</v>
          </cell>
          <cell r="K403">
            <v>115141.12928848001</v>
          </cell>
          <cell r="L403">
            <v>1</v>
          </cell>
          <cell r="M403">
            <v>0</v>
          </cell>
        </row>
        <row r="404">
          <cell r="A404">
            <v>403</v>
          </cell>
          <cell r="B404">
            <v>1</v>
          </cell>
          <cell r="C404" t="str">
            <v>NA</v>
          </cell>
          <cell r="D404">
            <v>1</v>
          </cell>
          <cell r="E404">
            <v>0.15559999999999999</v>
          </cell>
          <cell r="F404">
            <v>2.6499999999999999E-2</v>
          </cell>
          <cell r="G404">
            <v>18.980967352910501</v>
          </cell>
          <cell r="H404">
            <v>12.411933958912799</v>
          </cell>
          <cell r="I404">
            <v>7.4376404422601503</v>
          </cell>
          <cell r="J404">
            <v>272650.84873144497</v>
          </cell>
          <cell r="K404">
            <v>159444.175011671</v>
          </cell>
          <cell r="L404">
            <v>1</v>
          </cell>
          <cell r="M404">
            <v>0</v>
          </cell>
        </row>
        <row r="405">
          <cell r="A405">
            <v>404</v>
          </cell>
          <cell r="B405">
            <v>1</v>
          </cell>
          <cell r="C405" t="str">
            <v>NA</v>
          </cell>
          <cell r="D405">
            <v>1</v>
          </cell>
          <cell r="E405">
            <v>0.11</v>
          </cell>
          <cell r="F405">
            <v>2.53E-2</v>
          </cell>
          <cell r="G405">
            <v>19.1134414147126</v>
          </cell>
          <cell r="H405">
            <v>14.434529775342501</v>
          </cell>
          <cell r="I405">
            <v>8.7168642380262504</v>
          </cell>
          <cell r="J405">
            <v>221946.96531801001</v>
          </cell>
          <cell r="K405">
            <v>132613.219705986</v>
          </cell>
          <cell r="L405">
            <v>1</v>
          </cell>
          <cell r="M405">
            <v>0</v>
          </cell>
        </row>
        <row r="406">
          <cell r="A406">
            <v>405</v>
          </cell>
          <cell r="B406">
            <v>1</v>
          </cell>
          <cell r="C406" t="str">
            <v>NA</v>
          </cell>
          <cell r="D406">
            <v>1</v>
          </cell>
          <cell r="E406">
            <v>0.18740000000000001</v>
          </cell>
          <cell r="F406">
            <v>2.18E-2</v>
          </cell>
          <cell r="G406">
            <v>19.8245236373943</v>
          </cell>
          <cell r="H406">
            <v>13.9281933918609</v>
          </cell>
          <cell r="I406">
            <v>8.1977073242660996</v>
          </cell>
          <cell r="J406">
            <v>156693.65855517201</v>
          </cell>
          <cell r="K406">
            <v>92629.348527717797</v>
          </cell>
          <cell r="L406">
            <v>1</v>
          </cell>
          <cell r="M406">
            <v>0</v>
          </cell>
        </row>
        <row r="407">
          <cell r="A407">
            <v>406</v>
          </cell>
          <cell r="B407">
            <v>1</v>
          </cell>
          <cell r="C407" t="str">
            <v>NA</v>
          </cell>
          <cell r="D407">
            <v>1</v>
          </cell>
          <cell r="E407">
            <v>0.1749</v>
          </cell>
          <cell r="F407">
            <v>3.0499999999999999E-2</v>
          </cell>
          <cell r="G407">
            <v>16.712617675013298</v>
          </cell>
          <cell r="H407">
            <v>12.2074692839197</v>
          </cell>
          <cell r="I407">
            <v>7.5059687121087997</v>
          </cell>
          <cell r="J407">
            <v>203582.739255491</v>
          </cell>
          <cell r="K407">
            <v>124611.0355532</v>
          </cell>
          <cell r="L407">
            <v>1</v>
          </cell>
          <cell r="M407">
            <v>0</v>
          </cell>
        </row>
        <row r="408">
          <cell r="A408">
            <v>407</v>
          </cell>
          <cell r="B408">
            <v>1</v>
          </cell>
          <cell r="C408" t="str">
            <v>NA</v>
          </cell>
          <cell r="D408">
            <v>1</v>
          </cell>
          <cell r="E408">
            <v>0.1101</v>
          </cell>
          <cell r="F408">
            <v>2.4E-2</v>
          </cell>
          <cell r="G408">
            <v>19.335598288334999</v>
          </cell>
          <cell r="H408">
            <v>15.3538228859036</v>
          </cell>
          <cell r="I408">
            <v>9.2727809867821502</v>
          </cell>
          <cell r="J408">
            <v>217832.552653619</v>
          </cell>
          <cell r="K408">
            <v>130267.890862022</v>
          </cell>
          <cell r="L408">
            <v>1</v>
          </cell>
          <cell r="M408">
            <v>0</v>
          </cell>
        </row>
        <row r="409">
          <cell r="A409">
            <v>408</v>
          </cell>
          <cell r="B409">
            <v>1</v>
          </cell>
          <cell r="C409" t="str">
            <v>NA</v>
          </cell>
          <cell r="D409">
            <v>1</v>
          </cell>
          <cell r="E409">
            <v>0.15759999999999999</v>
          </cell>
          <cell r="F409">
            <v>2.5999999999999999E-2</v>
          </cell>
          <cell r="G409">
            <v>17.927062435391999</v>
          </cell>
          <cell r="H409">
            <v>14.6873997214041</v>
          </cell>
          <cell r="I409">
            <v>8.9349045918408105</v>
          </cell>
          <cell r="J409">
            <v>173985.26970843301</v>
          </cell>
          <cell r="K409">
            <v>106271.05624468</v>
          </cell>
          <cell r="L409">
            <v>1</v>
          </cell>
          <cell r="M409">
            <v>0</v>
          </cell>
        </row>
        <row r="410">
          <cell r="A410">
            <v>409</v>
          </cell>
          <cell r="B410">
            <v>1</v>
          </cell>
          <cell r="C410" t="str">
            <v>NA</v>
          </cell>
          <cell r="D410">
            <v>1</v>
          </cell>
          <cell r="E410">
            <v>0.14899999999999999</v>
          </cell>
          <cell r="F410">
            <v>2.69E-2</v>
          </cell>
          <cell r="G410">
            <v>18.099660839379201</v>
          </cell>
          <cell r="H410">
            <v>12.999166725897799</v>
          </cell>
          <cell r="I410">
            <v>7.9022370987613204</v>
          </cell>
          <cell r="J410">
            <v>169268.99533584499</v>
          </cell>
          <cell r="K410">
            <v>103503.16608938899</v>
          </cell>
          <cell r="L410">
            <v>1</v>
          </cell>
          <cell r="M410">
            <v>0</v>
          </cell>
        </row>
        <row r="411">
          <cell r="A411">
            <v>410</v>
          </cell>
          <cell r="B411">
            <v>1</v>
          </cell>
          <cell r="C411" t="str">
            <v>NA</v>
          </cell>
          <cell r="D411">
            <v>1</v>
          </cell>
          <cell r="E411">
            <v>9.8000000000000004E-2</v>
          </cell>
          <cell r="F411">
            <v>1.9900000000000001E-2</v>
          </cell>
          <cell r="G411">
            <v>19.1139305138643</v>
          </cell>
          <cell r="H411">
            <v>12.640532434909</v>
          </cell>
          <cell r="I411">
            <v>7.6741060129262904</v>
          </cell>
          <cell r="J411">
            <v>194055.40052086601</v>
          </cell>
          <cell r="K411">
            <v>117727.176329829</v>
          </cell>
          <cell r="L411">
            <v>1</v>
          </cell>
          <cell r="M411">
            <v>0</v>
          </cell>
        </row>
        <row r="412">
          <cell r="A412">
            <v>411</v>
          </cell>
          <cell r="B412">
            <v>1</v>
          </cell>
          <cell r="C412" t="str">
            <v>NA</v>
          </cell>
          <cell r="D412">
            <v>1</v>
          </cell>
          <cell r="E412">
            <v>9.9599999999999994E-2</v>
          </cell>
          <cell r="F412">
            <v>2.9499999999999998E-2</v>
          </cell>
          <cell r="G412">
            <v>19.1476743017503</v>
          </cell>
          <cell r="H412">
            <v>13.2541205395763</v>
          </cell>
          <cell r="I412">
            <v>8.0437861016195509</v>
          </cell>
          <cell r="J412">
            <v>247109.28492067699</v>
          </cell>
          <cell r="K412">
            <v>147719.626312993</v>
          </cell>
          <cell r="L412">
            <v>1</v>
          </cell>
          <cell r="M412">
            <v>0</v>
          </cell>
        </row>
        <row r="413">
          <cell r="A413">
            <v>412</v>
          </cell>
          <cell r="B413">
            <v>1</v>
          </cell>
          <cell r="C413" t="str">
            <v>NA</v>
          </cell>
          <cell r="D413">
            <v>1</v>
          </cell>
          <cell r="E413">
            <v>0.23449999999999999</v>
          </cell>
          <cell r="F413">
            <v>2.24E-2</v>
          </cell>
          <cell r="G413">
            <v>16.0334274536315</v>
          </cell>
          <cell r="H413">
            <v>11.7501916352251</v>
          </cell>
          <cell r="I413">
            <v>7.2208262123412501</v>
          </cell>
          <cell r="J413">
            <v>173250.53040298499</v>
          </cell>
          <cell r="K413">
            <v>106736.004466392</v>
          </cell>
          <cell r="L413">
            <v>1</v>
          </cell>
          <cell r="M413">
            <v>0</v>
          </cell>
        </row>
        <row r="414">
          <cell r="A414">
            <v>413</v>
          </cell>
          <cell r="B414">
            <v>1</v>
          </cell>
          <cell r="C414" t="str">
            <v>NA</v>
          </cell>
          <cell r="D414">
            <v>1</v>
          </cell>
          <cell r="E414">
            <v>0.14360000000000001</v>
          </cell>
          <cell r="F414">
            <v>2.4500000000000001E-2</v>
          </cell>
          <cell r="G414">
            <v>19.256266608364399</v>
          </cell>
          <cell r="H414">
            <v>12.8275846847888</v>
          </cell>
          <cell r="I414">
            <v>7.6937006954410503</v>
          </cell>
          <cell r="J414">
            <v>202921.89608470301</v>
          </cell>
          <cell r="K414">
            <v>120500.779093939</v>
          </cell>
          <cell r="L414">
            <v>1</v>
          </cell>
          <cell r="M414">
            <v>0</v>
          </cell>
        </row>
        <row r="415">
          <cell r="A415">
            <v>414</v>
          </cell>
          <cell r="B415">
            <v>1</v>
          </cell>
          <cell r="C415" t="str">
            <v>NA</v>
          </cell>
          <cell r="D415">
            <v>1</v>
          </cell>
          <cell r="E415">
            <v>0.1159</v>
          </cell>
          <cell r="F415">
            <v>2.3300000000000001E-2</v>
          </cell>
          <cell r="G415">
            <v>18.742286038268201</v>
          </cell>
          <cell r="H415">
            <v>14.090501584346301</v>
          </cell>
          <cell r="I415">
            <v>8.5816578122308904</v>
          </cell>
          <cell r="J415">
            <v>138285.93236921399</v>
          </cell>
          <cell r="K415">
            <v>86119.413783745404</v>
          </cell>
          <cell r="L415">
            <v>1</v>
          </cell>
          <cell r="M415">
            <v>0</v>
          </cell>
        </row>
        <row r="416">
          <cell r="A416">
            <v>415</v>
          </cell>
          <cell r="B416">
            <v>1</v>
          </cell>
          <cell r="C416" t="str">
            <v>NA</v>
          </cell>
          <cell r="D416">
            <v>1</v>
          </cell>
          <cell r="E416">
            <v>0.14399999999999999</v>
          </cell>
          <cell r="F416">
            <v>3.0099999999999998E-2</v>
          </cell>
          <cell r="G416">
            <v>17.211239891181901</v>
          </cell>
          <cell r="H416">
            <v>12.2029614493607</v>
          </cell>
          <cell r="I416">
            <v>7.5333700953945897</v>
          </cell>
          <cell r="J416">
            <v>170196.362261698</v>
          </cell>
          <cell r="K416">
            <v>105725.96916550001</v>
          </cell>
          <cell r="L416">
            <v>1</v>
          </cell>
          <cell r="M416">
            <v>0</v>
          </cell>
        </row>
        <row r="417">
          <cell r="A417">
            <v>416</v>
          </cell>
          <cell r="B417">
            <v>1</v>
          </cell>
          <cell r="C417" t="str">
            <v>NA</v>
          </cell>
          <cell r="D417">
            <v>1</v>
          </cell>
          <cell r="E417">
            <v>0.1366</v>
          </cell>
          <cell r="F417">
            <v>2.5700000000000001E-2</v>
          </cell>
          <cell r="G417">
            <v>19.487117847025299</v>
          </cell>
          <cell r="H417">
            <v>13.8157771595295</v>
          </cell>
          <cell r="I417">
            <v>8.26057469890136</v>
          </cell>
          <cell r="J417">
            <v>205392.11947988</v>
          </cell>
          <cell r="K417">
            <v>121733.95914989999</v>
          </cell>
          <cell r="L417">
            <v>1</v>
          </cell>
          <cell r="M417">
            <v>0</v>
          </cell>
        </row>
        <row r="418">
          <cell r="A418">
            <v>417</v>
          </cell>
          <cell r="B418">
            <v>1</v>
          </cell>
          <cell r="C418" t="str">
            <v>NA</v>
          </cell>
          <cell r="D418">
            <v>1</v>
          </cell>
          <cell r="E418">
            <v>0.14019999999999999</v>
          </cell>
          <cell r="F418">
            <v>2.5399999999999999E-2</v>
          </cell>
          <cell r="G418">
            <v>19.365058997153099</v>
          </cell>
          <cell r="H418">
            <v>13.894249613390601</v>
          </cell>
          <cell r="I418">
            <v>8.3055281651400996</v>
          </cell>
          <cell r="J418">
            <v>229930.06467176101</v>
          </cell>
          <cell r="K418">
            <v>135193.675359371</v>
          </cell>
          <cell r="L418">
            <v>1</v>
          </cell>
          <cell r="M418">
            <v>0</v>
          </cell>
        </row>
        <row r="419">
          <cell r="A419">
            <v>418</v>
          </cell>
          <cell r="B419">
            <v>1</v>
          </cell>
          <cell r="C419" t="str">
            <v>NA</v>
          </cell>
          <cell r="D419">
            <v>1</v>
          </cell>
          <cell r="E419">
            <v>0.18540000000000001</v>
          </cell>
          <cell r="F419">
            <v>2.3599999999999999E-2</v>
          </cell>
          <cell r="G419">
            <v>19.586183458116501</v>
          </cell>
          <cell r="H419">
            <v>14.367720493651101</v>
          </cell>
          <cell r="I419">
            <v>8.4841590822606108</v>
          </cell>
          <cell r="J419">
            <v>160661.94127750999</v>
          </cell>
          <cell r="K419">
            <v>95312.849458046301</v>
          </cell>
          <cell r="L419">
            <v>1</v>
          </cell>
          <cell r="M419">
            <v>0</v>
          </cell>
        </row>
        <row r="420">
          <cell r="A420">
            <v>419</v>
          </cell>
          <cell r="B420">
            <v>1</v>
          </cell>
          <cell r="C420" t="str">
            <v>NA</v>
          </cell>
          <cell r="D420">
            <v>1</v>
          </cell>
          <cell r="E420">
            <v>0.14560000000000001</v>
          </cell>
          <cell r="F420">
            <v>2.7300000000000001E-2</v>
          </cell>
          <cell r="G420">
            <v>19.1755255274233</v>
          </cell>
          <cell r="H420">
            <v>15.067708891215499</v>
          </cell>
          <cell r="I420">
            <v>9.0015130186505594</v>
          </cell>
          <cell r="J420">
            <v>263731.15498809301</v>
          </cell>
          <cell r="K420">
            <v>154083.195522984</v>
          </cell>
          <cell r="L420">
            <v>1</v>
          </cell>
          <cell r="M420">
            <v>0</v>
          </cell>
        </row>
        <row r="421">
          <cell r="A421">
            <v>420</v>
          </cell>
          <cell r="B421">
            <v>1</v>
          </cell>
          <cell r="C421" t="str">
            <v>NA</v>
          </cell>
          <cell r="D421">
            <v>1</v>
          </cell>
          <cell r="E421">
            <v>0.16950000000000001</v>
          </cell>
          <cell r="F421">
            <v>2.24E-2</v>
          </cell>
          <cell r="G421">
            <v>19.577972166655599</v>
          </cell>
          <cell r="H421">
            <v>13.6418030872026</v>
          </cell>
          <cell r="I421">
            <v>8.0607480587745499</v>
          </cell>
          <cell r="J421">
            <v>158818.71736383499</v>
          </cell>
          <cell r="K421">
            <v>94266.9623386975</v>
          </cell>
          <cell r="L421">
            <v>1</v>
          </cell>
          <cell r="M421">
            <v>0</v>
          </cell>
        </row>
        <row r="422">
          <cell r="A422">
            <v>421</v>
          </cell>
          <cell r="B422">
            <v>1</v>
          </cell>
          <cell r="C422" t="str">
            <v>NA</v>
          </cell>
          <cell r="D422">
            <v>1</v>
          </cell>
          <cell r="E422">
            <v>0.2104</v>
          </cell>
          <cell r="F422">
            <v>2.3E-2</v>
          </cell>
          <cell r="G422">
            <v>18.8377447333595</v>
          </cell>
          <cell r="H422">
            <v>13.053629468574099</v>
          </cell>
          <cell r="I422">
            <v>7.7128336162303599</v>
          </cell>
          <cell r="J422">
            <v>184775.05154301101</v>
          </cell>
          <cell r="K422">
            <v>108463.809452273</v>
          </cell>
          <cell r="L422">
            <v>1</v>
          </cell>
          <cell r="M422">
            <v>0</v>
          </cell>
        </row>
        <row r="423">
          <cell r="A423">
            <v>422</v>
          </cell>
          <cell r="B423">
            <v>1</v>
          </cell>
          <cell r="C423" t="str">
            <v>NA</v>
          </cell>
          <cell r="D423">
            <v>1</v>
          </cell>
          <cell r="E423">
            <v>0.1176</v>
          </cell>
          <cell r="F423">
            <v>2.9899999999999999E-2</v>
          </cell>
          <cell r="G423">
            <v>20.3041506795883</v>
          </cell>
          <cell r="H423">
            <v>15.5333774044195</v>
          </cell>
          <cell r="I423">
            <v>9.2125542365807593</v>
          </cell>
          <cell r="J423">
            <v>252306.63613695599</v>
          </cell>
          <cell r="K423">
            <v>146343.10991232301</v>
          </cell>
          <cell r="L423">
            <v>1</v>
          </cell>
          <cell r="M423">
            <v>0</v>
          </cell>
        </row>
        <row r="424">
          <cell r="A424">
            <v>423</v>
          </cell>
          <cell r="B424">
            <v>1</v>
          </cell>
          <cell r="C424" t="str">
            <v>NA</v>
          </cell>
          <cell r="D424">
            <v>1</v>
          </cell>
          <cell r="E424">
            <v>0.1231</v>
          </cell>
          <cell r="F424">
            <v>2.76E-2</v>
          </cell>
          <cell r="G424">
            <v>18.6188194938679</v>
          </cell>
          <cell r="H424">
            <v>14.2646362566395</v>
          </cell>
          <cell r="I424">
            <v>8.6781230449582001</v>
          </cell>
          <cell r="J424">
            <v>277354.94728285802</v>
          </cell>
          <cell r="K424">
            <v>165108.87395642101</v>
          </cell>
          <cell r="L424">
            <v>1</v>
          </cell>
          <cell r="M424">
            <v>0</v>
          </cell>
        </row>
        <row r="425">
          <cell r="A425">
            <v>424</v>
          </cell>
          <cell r="B425">
            <v>1</v>
          </cell>
          <cell r="C425" t="str">
            <v>NA</v>
          </cell>
          <cell r="D425">
            <v>1</v>
          </cell>
          <cell r="E425">
            <v>0.1036</v>
          </cell>
          <cell r="F425">
            <v>2.3400000000000001E-2</v>
          </cell>
          <cell r="G425">
            <v>18.639061777567001</v>
          </cell>
          <cell r="H425">
            <v>12.6852647507089</v>
          </cell>
          <cell r="I425">
            <v>7.7518693800192704</v>
          </cell>
          <cell r="J425">
            <v>194170.34469795701</v>
          </cell>
          <cell r="K425">
            <v>118436.526234805</v>
          </cell>
          <cell r="L425">
            <v>1</v>
          </cell>
          <cell r="M425">
            <v>0</v>
          </cell>
        </row>
        <row r="426">
          <cell r="A426">
            <v>425</v>
          </cell>
          <cell r="B426">
            <v>1</v>
          </cell>
          <cell r="C426" t="str">
            <v>NA</v>
          </cell>
          <cell r="D426">
            <v>1</v>
          </cell>
          <cell r="E426">
            <v>0.1434</v>
          </cell>
          <cell r="F426">
            <v>2.3300000000000001E-2</v>
          </cell>
          <cell r="G426">
            <v>19.761740955370701</v>
          </cell>
          <cell r="H426">
            <v>13.3076770142864</v>
          </cell>
          <cell r="I426">
            <v>7.9551696397537297</v>
          </cell>
          <cell r="J426">
            <v>269235.75241770002</v>
          </cell>
          <cell r="K426">
            <v>157052.63831775601</v>
          </cell>
          <cell r="L426">
            <v>1</v>
          </cell>
          <cell r="M426">
            <v>0</v>
          </cell>
        </row>
        <row r="427">
          <cell r="A427">
            <v>426</v>
          </cell>
          <cell r="B427">
            <v>1</v>
          </cell>
          <cell r="C427" t="str">
            <v>NA</v>
          </cell>
          <cell r="D427">
            <v>1</v>
          </cell>
          <cell r="E427">
            <v>0.24759999999999999</v>
          </cell>
          <cell r="F427">
            <v>2.1100000000000001E-2</v>
          </cell>
          <cell r="G427">
            <v>16.9041433516179</v>
          </cell>
          <cell r="H427">
            <v>12.6971287512206</v>
          </cell>
          <cell r="I427">
            <v>7.6552263095127504</v>
          </cell>
          <cell r="J427">
            <v>171556.248444242</v>
          </cell>
          <cell r="K427">
            <v>103439.54971009601</v>
          </cell>
          <cell r="L427">
            <v>1</v>
          </cell>
          <cell r="M427">
            <v>0</v>
          </cell>
        </row>
        <row r="428">
          <cell r="A428">
            <v>427</v>
          </cell>
          <cell r="B428">
            <v>1</v>
          </cell>
          <cell r="C428" t="str">
            <v>NA</v>
          </cell>
          <cell r="D428">
            <v>1</v>
          </cell>
          <cell r="E428">
            <v>0.12479999999999999</v>
          </cell>
          <cell r="F428">
            <v>2.4799999999999999E-2</v>
          </cell>
          <cell r="G428">
            <v>20.154828044185201</v>
          </cell>
          <cell r="H428">
            <v>13.5673044031905</v>
          </cell>
          <cell r="I428">
            <v>8.0779924212696095</v>
          </cell>
          <cell r="J428">
            <v>289043.82362015301</v>
          </cell>
          <cell r="K428">
            <v>167450.115223901</v>
          </cell>
          <cell r="L428">
            <v>1</v>
          </cell>
          <cell r="M428">
            <v>0</v>
          </cell>
        </row>
        <row r="429">
          <cell r="A429">
            <v>428</v>
          </cell>
          <cell r="B429">
            <v>1</v>
          </cell>
          <cell r="C429" t="str">
            <v>NA</v>
          </cell>
          <cell r="D429">
            <v>1</v>
          </cell>
          <cell r="E429">
            <v>0.21279999999999999</v>
          </cell>
          <cell r="F429">
            <v>2.81E-2</v>
          </cell>
          <cell r="G429">
            <v>17.343943299967801</v>
          </cell>
          <cell r="H429">
            <v>13.9221232005207</v>
          </cell>
          <cell r="I429">
            <v>8.4079473810384808</v>
          </cell>
          <cell r="J429">
            <v>205927.36639394501</v>
          </cell>
          <cell r="K429">
            <v>123254.434277983</v>
          </cell>
          <cell r="L429">
            <v>1</v>
          </cell>
          <cell r="M429">
            <v>0</v>
          </cell>
        </row>
        <row r="430">
          <cell r="A430">
            <v>429</v>
          </cell>
          <cell r="B430">
            <v>1</v>
          </cell>
          <cell r="C430" t="str">
            <v>NA</v>
          </cell>
          <cell r="D430">
            <v>1</v>
          </cell>
          <cell r="E430">
            <v>9.7000000000000003E-2</v>
          </cell>
          <cell r="F430">
            <v>2.46E-2</v>
          </cell>
          <cell r="G430">
            <v>17.997291848426698</v>
          </cell>
          <cell r="H430">
            <v>12.7167307778478</v>
          </cell>
          <cell r="I430">
            <v>7.8372570206600196</v>
          </cell>
          <cell r="J430">
            <v>253807.76238725401</v>
          </cell>
          <cell r="K430">
            <v>154247.73918874</v>
          </cell>
          <cell r="L430">
            <v>1</v>
          </cell>
          <cell r="M430">
            <v>0</v>
          </cell>
        </row>
        <row r="431">
          <cell r="A431">
            <v>430</v>
          </cell>
          <cell r="B431">
            <v>1</v>
          </cell>
          <cell r="C431" t="str">
            <v>NA</v>
          </cell>
          <cell r="D431">
            <v>1</v>
          </cell>
          <cell r="E431">
            <v>0.12239999999999999</v>
          </cell>
          <cell r="F431">
            <v>2.5399999999999999E-2</v>
          </cell>
          <cell r="G431">
            <v>19.852057046699599</v>
          </cell>
          <cell r="H431">
            <v>13.549502264722401</v>
          </cell>
          <cell r="I431">
            <v>8.0919573352189502</v>
          </cell>
          <cell r="J431">
            <v>177621.69626359901</v>
          </cell>
          <cell r="K431">
            <v>106126.998294214</v>
          </cell>
          <cell r="L431">
            <v>1</v>
          </cell>
          <cell r="M431">
            <v>0</v>
          </cell>
        </row>
        <row r="432">
          <cell r="A432">
            <v>431</v>
          </cell>
          <cell r="B432">
            <v>1</v>
          </cell>
          <cell r="C432" t="str">
            <v>NA</v>
          </cell>
          <cell r="D432">
            <v>1</v>
          </cell>
          <cell r="E432">
            <v>0.1246</v>
          </cell>
          <cell r="F432">
            <v>2.7199999999999998E-2</v>
          </cell>
          <cell r="G432">
            <v>20.364279332264399</v>
          </cell>
          <cell r="H432">
            <v>15.1119054927163</v>
          </cell>
          <cell r="I432">
            <v>8.9513159307288799</v>
          </cell>
          <cell r="J432">
            <v>273312.64481988002</v>
          </cell>
          <cell r="K432">
            <v>157662.49920402799</v>
          </cell>
          <cell r="L432">
            <v>1</v>
          </cell>
          <cell r="M432">
            <v>0</v>
          </cell>
        </row>
        <row r="433">
          <cell r="A433">
            <v>432</v>
          </cell>
          <cell r="B433">
            <v>1</v>
          </cell>
          <cell r="C433" t="str">
            <v>NA</v>
          </cell>
          <cell r="D433">
            <v>1</v>
          </cell>
          <cell r="E433">
            <v>0.1613</v>
          </cell>
          <cell r="F433">
            <v>2.2800000000000001E-2</v>
          </cell>
          <cell r="G433">
            <v>18.860750137412701</v>
          </cell>
          <cell r="H433">
            <v>12.7890492441591</v>
          </cell>
          <cell r="I433">
            <v>7.66438186227938</v>
          </cell>
          <cell r="J433">
            <v>173341.835863744</v>
          </cell>
          <cell r="K433">
            <v>104020.79594166399</v>
          </cell>
          <cell r="L433">
            <v>1</v>
          </cell>
          <cell r="M433">
            <v>0</v>
          </cell>
        </row>
        <row r="434">
          <cell r="A434">
            <v>433</v>
          </cell>
          <cell r="B434">
            <v>1</v>
          </cell>
          <cell r="C434" t="str">
            <v>NA</v>
          </cell>
          <cell r="D434">
            <v>1</v>
          </cell>
          <cell r="E434">
            <v>0.14530000000000001</v>
          </cell>
          <cell r="F434">
            <v>2.5700000000000001E-2</v>
          </cell>
          <cell r="G434">
            <v>18.0164517168209</v>
          </cell>
          <cell r="H434">
            <v>14.1287204044795</v>
          </cell>
          <cell r="I434">
            <v>8.6322055184831594</v>
          </cell>
          <cell r="J434">
            <v>172373.98076204801</v>
          </cell>
          <cell r="K434">
            <v>105939.592150002</v>
          </cell>
          <cell r="L434">
            <v>1</v>
          </cell>
          <cell r="M434">
            <v>0</v>
          </cell>
        </row>
        <row r="435">
          <cell r="A435">
            <v>434</v>
          </cell>
          <cell r="B435">
            <v>1</v>
          </cell>
          <cell r="C435" t="str">
            <v>NA</v>
          </cell>
          <cell r="D435">
            <v>1</v>
          </cell>
          <cell r="E435">
            <v>0.13650000000000001</v>
          </cell>
          <cell r="F435">
            <v>2.5899999999999999E-2</v>
          </cell>
          <cell r="G435">
            <v>18.312452659375801</v>
          </cell>
          <cell r="H435">
            <v>11.9871246438698</v>
          </cell>
          <cell r="I435">
            <v>7.2879822394654603</v>
          </cell>
          <cell r="J435">
            <v>181540.28706873499</v>
          </cell>
          <cell r="K435">
            <v>110348.62100607601</v>
          </cell>
          <cell r="L435">
            <v>1</v>
          </cell>
          <cell r="M435">
            <v>0</v>
          </cell>
        </row>
        <row r="436">
          <cell r="A436">
            <v>435</v>
          </cell>
          <cell r="B436">
            <v>1</v>
          </cell>
          <cell r="C436" t="str">
            <v>NA</v>
          </cell>
          <cell r="D436">
            <v>1</v>
          </cell>
          <cell r="E436">
            <v>0.158</v>
          </cell>
          <cell r="F436">
            <v>3.04E-2</v>
          </cell>
          <cell r="G436">
            <v>20.2796727718497</v>
          </cell>
          <cell r="H436">
            <v>14.144594776319</v>
          </cell>
          <cell r="I436">
            <v>8.3194700733316207</v>
          </cell>
          <cell r="J436">
            <v>187494.513494624</v>
          </cell>
          <cell r="K436">
            <v>109389.03426266101</v>
          </cell>
          <cell r="L436">
            <v>1</v>
          </cell>
          <cell r="M436">
            <v>0</v>
          </cell>
        </row>
        <row r="437">
          <cell r="A437">
            <v>436</v>
          </cell>
          <cell r="B437">
            <v>1</v>
          </cell>
          <cell r="C437" t="str">
            <v>NA</v>
          </cell>
          <cell r="D437">
            <v>1</v>
          </cell>
          <cell r="E437">
            <v>0.1226</v>
          </cell>
          <cell r="F437">
            <v>3.0700000000000002E-2</v>
          </cell>
          <cell r="G437">
            <v>19.401912209070598</v>
          </cell>
          <cell r="H437">
            <v>14.694853188031701</v>
          </cell>
          <cell r="I437">
            <v>8.8341878200773696</v>
          </cell>
          <cell r="J437">
            <v>190757.48495004699</v>
          </cell>
          <cell r="K437">
            <v>114359.86737130499</v>
          </cell>
          <cell r="L437">
            <v>1</v>
          </cell>
          <cell r="M437">
            <v>0</v>
          </cell>
        </row>
        <row r="438">
          <cell r="A438">
            <v>437</v>
          </cell>
          <cell r="B438">
            <v>1</v>
          </cell>
          <cell r="C438" t="str">
            <v>NA</v>
          </cell>
          <cell r="D438">
            <v>1</v>
          </cell>
          <cell r="E438">
            <v>0.14729999999999999</v>
          </cell>
          <cell r="F438">
            <v>2.2100000000000002E-2</v>
          </cell>
          <cell r="G438">
            <v>18.124559616492501</v>
          </cell>
          <cell r="H438">
            <v>11.945533116959499</v>
          </cell>
          <cell r="I438">
            <v>7.2679571013011603</v>
          </cell>
          <cell r="J438">
            <v>236644.719878615</v>
          </cell>
          <cell r="K438">
            <v>142065.17503019201</v>
          </cell>
          <cell r="L438">
            <v>1</v>
          </cell>
          <cell r="M438">
            <v>0</v>
          </cell>
        </row>
        <row r="439">
          <cell r="A439">
            <v>438</v>
          </cell>
          <cell r="B439">
            <v>1</v>
          </cell>
          <cell r="C439" t="str">
            <v>NA</v>
          </cell>
          <cell r="D439">
            <v>1</v>
          </cell>
          <cell r="E439">
            <v>0.1203</v>
          </cell>
          <cell r="F439">
            <v>2.4799999999999999E-2</v>
          </cell>
          <cell r="G439">
            <v>19.2963036889095</v>
          </cell>
          <cell r="H439">
            <v>13.337080343336201</v>
          </cell>
          <cell r="I439">
            <v>8.0369153753436802</v>
          </cell>
          <cell r="J439">
            <v>215232.09305955499</v>
          </cell>
          <cell r="K439">
            <v>128473.004646924</v>
          </cell>
          <cell r="L439">
            <v>1</v>
          </cell>
          <cell r="M439">
            <v>0</v>
          </cell>
        </row>
        <row r="440">
          <cell r="A440">
            <v>439</v>
          </cell>
          <cell r="B440">
            <v>1</v>
          </cell>
          <cell r="C440" t="str">
            <v>NA</v>
          </cell>
          <cell r="D440">
            <v>1</v>
          </cell>
          <cell r="E440">
            <v>0.12670000000000001</v>
          </cell>
          <cell r="F440">
            <v>2.6200000000000001E-2</v>
          </cell>
          <cell r="G440">
            <v>18.019113015524901</v>
          </cell>
          <cell r="H440">
            <v>14.1115412911509</v>
          </cell>
          <cell r="I440">
            <v>8.6519547727925907</v>
          </cell>
          <cell r="J440">
            <v>216358.71434462699</v>
          </cell>
          <cell r="K440">
            <v>131498.91774693201</v>
          </cell>
          <cell r="L440">
            <v>1</v>
          </cell>
          <cell r="M440">
            <v>0</v>
          </cell>
        </row>
        <row r="441">
          <cell r="A441">
            <v>440</v>
          </cell>
          <cell r="B441">
            <v>1</v>
          </cell>
          <cell r="C441" t="str">
            <v>NA</v>
          </cell>
          <cell r="D441">
            <v>1</v>
          </cell>
          <cell r="E441">
            <v>0.1143</v>
          </cell>
          <cell r="F441">
            <v>2.6200000000000001E-2</v>
          </cell>
          <cell r="G441">
            <v>20.478296564643099</v>
          </cell>
          <cell r="H441">
            <v>13.4479743431899</v>
          </cell>
          <cell r="I441">
            <v>7.9695672800638899</v>
          </cell>
          <cell r="J441">
            <v>246393.38977340801</v>
          </cell>
          <cell r="K441">
            <v>143241.515862731</v>
          </cell>
          <cell r="L441">
            <v>1</v>
          </cell>
          <cell r="M441">
            <v>0</v>
          </cell>
        </row>
        <row r="442">
          <cell r="A442">
            <v>441</v>
          </cell>
          <cell r="B442">
            <v>1</v>
          </cell>
          <cell r="C442" t="str">
            <v>NA</v>
          </cell>
          <cell r="D442">
            <v>1</v>
          </cell>
          <cell r="E442">
            <v>0.15679999999999999</v>
          </cell>
          <cell r="F442">
            <v>2.58E-2</v>
          </cell>
          <cell r="G442">
            <v>18.2807932934743</v>
          </cell>
          <cell r="H442">
            <v>12.637966973980699</v>
          </cell>
          <cell r="I442">
            <v>7.6332997517757697</v>
          </cell>
          <cell r="J442">
            <v>229891.871354362</v>
          </cell>
          <cell r="K442">
            <v>136879.51218092101</v>
          </cell>
          <cell r="L442">
            <v>1</v>
          </cell>
          <cell r="M442">
            <v>0</v>
          </cell>
        </row>
        <row r="443">
          <cell r="A443">
            <v>442</v>
          </cell>
          <cell r="B443">
            <v>1</v>
          </cell>
          <cell r="C443" t="str">
            <v>NA</v>
          </cell>
          <cell r="D443">
            <v>1</v>
          </cell>
          <cell r="E443">
            <v>0.15840000000000001</v>
          </cell>
          <cell r="F443">
            <v>2.64E-2</v>
          </cell>
          <cell r="G443">
            <v>18.8589076666645</v>
          </cell>
          <cell r="H443">
            <v>13.611798944815201</v>
          </cell>
          <cell r="I443">
            <v>8.1552811473937599</v>
          </cell>
          <cell r="J443">
            <v>242989.46523137501</v>
          </cell>
          <cell r="K443">
            <v>143094.51840669999</v>
          </cell>
          <cell r="L443">
            <v>1</v>
          </cell>
          <cell r="M443">
            <v>0</v>
          </cell>
        </row>
        <row r="444">
          <cell r="A444">
            <v>443</v>
          </cell>
          <cell r="B444">
            <v>1</v>
          </cell>
          <cell r="C444" t="str">
            <v>NA</v>
          </cell>
          <cell r="D444">
            <v>1</v>
          </cell>
          <cell r="E444">
            <v>0.17230000000000001</v>
          </cell>
          <cell r="F444">
            <v>2.3099999999999999E-2</v>
          </cell>
          <cell r="G444">
            <v>17.289430905609201</v>
          </cell>
          <cell r="H444">
            <v>12.8324708123146</v>
          </cell>
          <cell r="I444">
            <v>7.8709825605030499</v>
          </cell>
          <cell r="J444">
            <v>207525.2419465</v>
          </cell>
          <cell r="K444">
            <v>126648.06493563599</v>
          </cell>
          <cell r="L444">
            <v>1</v>
          </cell>
          <cell r="M444">
            <v>0</v>
          </cell>
        </row>
        <row r="445">
          <cell r="A445">
            <v>444</v>
          </cell>
          <cell r="B445">
            <v>1</v>
          </cell>
          <cell r="C445" t="str">
            <v>NA</v>
          </cell>
          <cell r="D445">
            <v>1</v>
          </cell>
          <cell r="E445">
            <v>0.1313</v>
          </cell>
          <cell r="F445">
            <v>2.9100000000000001E-2</v>
          </cell>
          <cell r="G445">
            <v>18.4724145791517</v>
          </cell>
          <cell r="H445">
            <v>15.2549540003135</v>
          </cell>
          <cell r="I445">
            <v>9.2478039006722295</v>
          </cell>
          <cell r="J445">
            <v>211701.00059378799</v>
          </cell>
          <cell r="K445">
            <v>127166.09613237801</v>
          </cell>
          <cell r="L445">
            <v>1</v>
          </cell>
          <cell r="M445">
            <v>0</v>
          </cell>
        </row>
        <row r="446">
          <cell r="A446">
            <v>445</v>
          </cell>
          <cell r="B446">
            <v>1</v>
          </cell>
          <cell r="C446" t="str">
            <v>NA</v>
          </cell>
          <cell r="D446">
            <v>1</v>
          </cell>
          <cell r="E446">
            <v>8.4699999999999998E-2</v>
          </cell>
          <cell r="F446">
            <v>3.1E-2</v>
          </cell>
          <cell r="G446">
            <v>19.1609372635514</v>
          </cell>
          <cell r="H446">
            <v>12.1356842395122</v>
          </cell>
          <cell r="I446">
            <v>7.3819819059606102</v>
          </cell>
          <cell r="J446">
            <v>193569.548785725</v>
          </cell>
          <cell r="K446">
            <v>117273.333042325</v>
          </cell>
          <cell r="L446">
            <v>1</v>
          </cell>
          <cell r="M446">
            <v>0</v>
          </cell>
        </row>
        <row r="447">
          <cell r="A447">
            <v>446</v>
          </cell>
          <cell r="B447">
            <v>1</v>
          </cell>
          <cell r="C447" t="str">
            <v>NA</v>
          </cell>
          <cell r="D447">
            <v>1</v>
          </cell>
          <cell r="E447">
            <v>0.21260000000000001</v>
          </cell>
          <cell r="F447">
            <v>2.7099999999999999E-2</v>
          </cell>
          <cell r="G447">
            <v>18.2297457090155</v>
          </cell>
          <cell r="H447">
            <v>12.6454107459915</v>
          </cell>
          <cell r="I447">
            <v>7.5147381948194401</v>
          </cell>
          <cell r="J447">
            <v>210713.60253964301</v>
          </cell>
          <cell r="K447">
            <v>123473.437780269</v>
          </cell>
          <cell r="L447">
            <v>1</v>
          </cell>
          <cell r="M447">
            <v>0</v>
          </cell>
        </row>
        <row r="448">
          <cell r="A448">
            <v>447</v>
          </cell>
          <cell r="B448">
            <v>1</v>
          </cell>
          <cell r="C448" t="str">
            <v>NA</v>
          </cell>
          <cell r="D448">
            <v>1</v>
          </cell>
          <cell r="E448">
            <v>0.13869999999999999</v>
          </cell>
          <cell r="F448">
            <v>2.7199999999999998E-2</v>
          </cell>
          <cell r="G448">
            <v>19.142219138508999</v>
          </cell>
          <cell r="H448">
            <v>13.594295861171799</v>
          </cell>
          <cell r="I448">
            <v>8.1591617079462608</v>
          </cell>
          <cell r="J448">
            <v>158119.56030812601</v>
          </cell>
          <cell r="K448">
            <v>95898.732674171697</v>
          </cell>
          <cell r="L448">
            <v>1</v>
          </cell>
          <cell r="M448">
            <v>0</v>
          </cell>
        </row>
        <row r="449">
          <cell r="A449">
            <v>448</v>
          </cell>
          <cell r="B449">
            <v>1</v>
          </cell>
          <cell r="C449" t="str">
            <v>NA</v>
          </cell>
          <cell r="D449">
            <v>1</v>
          </cell>
          <cell r="E449">
            <v>0.21310000000000001</v>
          </cell>
          <cell r="F449">
            <v>2.5399999999999999E-2</v>
          </cell>
          <cell r="G449">
            <v>17.9461072594071</v>
          </cell>
          <cell r="H449">
            <v>13.416132765534799</v>
          </cell>
          <cell r="I449">
            <v>8.0227518663671908</v>
          </cell>
          <cell r="J449">
            <v>153041.08312317901</v>
          </cell>
          <cell r="K449">
            <v>92105.915742962199</v>
          </cell>
          <cell r="L449">
            <v>1</v>
          </cell>
          <cell r="M449">
            <v>0</v>
          </cell>
        </row>
        <row r="450">
          <cell r="A450">
            <v>449</v>
          </cell>
          <cell r="B450">
            <v>1</v>
          </cell>
          <cell r="C450" t="str">
            <v>NA</v>
          </cell>
          <cell r="D450">
            <v>1</v>
          </cell>
          <cell r="E450">
            <v>0.13320000000000001</v>
          </cell>
          <cell r="F450">
            <v>2.7099999999999999E-2</v>
          </cell>
          <cell r="G450">
            <v>20.392731914860502</v>
          </cell>
          <cell r="H450">
            <v>14.8972903769323</v>
          </cell>
          <cell r="I450">
            <v>8.7889572254343804</v>
          </cell>
          <cell r="J450">
            <v>259338.17253988</v>
          </cell>
          <cell r="K450">
            <v>148954.09615143799</v>
          </cell>
          <cell r="L450">
            <v>1</v>
          </cell>
          <cell r="M450">
            <v>0</v>
          </cell>
        </row>
        <row r="451">
          <cell r="A451">
            <v>450</v>
          </cell>
          <cell r="B451">
            <v>1</v>
          </cell>
          <cell r="C451" t="str">
            <v>NA</v>
          </cell>
          <cell r="D451">
            <v>1</v>
          </cell>
          <cell r="E451">
            <v>0.2167</v>
          </cell>
          <cell r="F451">
            <v>2.3800000000000002E-2</v>
          </cell>
          <cell r="G451">
            <v>18.065561301255698</v>
          </cell>
          <cell r="H451">
            <v>14.386125612922401</v>
          </cell>
          <cell r="I451">
            <v>8.5749326102161803</v>
          </cell>
          <cell r="J451">
            <v>242153.20896058</v>
          </cell>
          <cell r="K451">
            <v>141200.404109144</v>
          </cell>
          <cell r="L451">
            <v>1</v>
          </cell>
          <cell r="M451">
            <v>0</v>
          </cell>
        </row>
        <row r="452">
          <cell r="A452">
            <v>451</v>
          </cell>
          <cell r="B452">
            <v>1</v>
          </cell>
          <cell r="C452" t="str">
            <v>NA</v>
          </cell>
          <cell r="D452">
            <v>1</v>
          </cell>
          <cell r="E452">
            <v>0.1187</v>
          </cell>
          <cell r="F452">
            <v>2.76E-2</v>
          </cell>
          <cell r="G452">
            <v>18.980511123844199</v>
          </cell>
          <cell r="H452">
            <v>14.745388425518801</v>
          </cell>
          <cell r="I452">
            <v>8.9090990751567407</v>
          </cell>
          <cell r="J452">
            <v>242956.82536158399</v>
          </cell>
          <cell r="K452">
            <v>144317.31145789599</v>
          </cell>
          <cell r="L452">
            <v>1</v>
          </cell>
          <cell r="M452">
            <v>0</v>
          </cell>
        </row>
        <row r="453">
          <cell r="A453">
            <v>452</v>
          </cell>
          <cell r="B453">
            <v>1</v>
          </cell>
          <cell r="C453" t="str">
            <v>NA</v>
          </cell>
          <cell r="D453">
            <v>1</v>
          </cell>
          <cell r="E453">
            <v>0.1409</v>
          </cell>
          <cell r="F453">
            <v>2.5899999999999999E-2</v>
          </cell>
          <cell r="G453">
            <v>21.538588723968001</v>
          </cell>
          <cell r="H453">
            <v>15.548436456020999</v>
          </cell>
          <cell r="I453">
            <v>8.9999957642640194</v>
          </cell>
          <cell r="J453">
            <v>302383.53306306299</v>
          </cell>
          <cell r="K453">
            <v>168500.57605084201</v>
          </cell>
          <cell r="L453">
            <v>1</v>
          </cell>
          <cell r="M453">
            <v>0</v>
          </cell>
        </row>
        <row r="454">
          <cell r="A454">
            <v>453</v>
          </cell>
          <cell r="B454">
            <v>1</v>
          </cell>
          <cell r="C454" t="str">
            <v>NA</v>
          </cell>
          <cell r="D454">
            <v>1</v>
          </cell>
          <cell r="E454">
            <v>0.13539999999999999</v>
          </cell>
          <cell r="F454">
            <v>2.4400000000000002E-2</v>
          </cell>
          <cell r="G454">
            <v>17.891723374430502</v>
          </cell>
          <cell r="H454">
            <v>13.393948523085299</v>
          </cell>
          <cell r="I454">
            <v>8.1964941513629697</v>
          </cell>
          <cell r="J454">
            <v>234200.473009643</v>
          </cell>
          <cell r="K454">
            <v>141595.061666853</v>
          </cell>
          <cell r="L454">
            <v>1</v>
          </cell>
          <cell r="M454">
            <v>0</v>
          </cell>
        </row>
        <row r="455">
          <cell r="A455">
            <v>454</v>
          </cell>
          <cell r="B455">
            <v>1</v>
          </cell>
          <cell r="C455" t="str">
            <v>NA</v>
          </cell>
          <cell r="D455">
            <v>1</v>
          </cell>
          <cell r="E455">
            <v>0.19589999999999999</v>
          </cell>
          <cell r="F455">
            <v>2.2800000000000001E-2</v>
          </cell>
          <cell r="G455">
            <v>18.765941140097699</v>
          </cell>
          <cell r="H455">
            <v>14.3346522241595</v>
          </cell>
          <cell r="I455">
            <v>8.5350414698911496</v>
          </cell>
          <cell r="J455">
            <v>186049.001793142</v>
          </cell>
          <cell r="K455">
            <v>110298.866461197</v>
          </cell>
          <cell r="L455">
            <v>1</v>
          </cell>
          <cell r="M455">
            <v>0</v>
          </cell>
        </row>
        <row r="456">
          <cell r="A456">
            <v>455</v>
          </cell>
          <cell r="B456">
            <v>1</v>
          </cell>
          <cell r="C456" t="str">
            <v>NA</v>
          </cell>
          <cell r="D456">
            <v>1</v>
          </cell>
          <cell r="E456">
            <v>0.12520000000000001</v>
          </cell>
          <cell r="F456">
            <v>2.5499999999999998E-2</v>
          </cell>
          <cell r="G456">
            <v>20.434604105279501</v>
          </cell>
          <cell r="H456">
            <v>15.215739340260299</v>
          </cell>
          <cell r="I456">
            <v>9.0140044365301293</v>
          </cell>
          <cell r="J456">
            <v>234924.49732543199</v>
          </cell>
          <cell r="K456">
            <v>136745.21630744799</v>
          </cell>
          <cell r="L456">
            <v>1</v>
          </cell>
          <cell r="M456">
            <v>0</v>
          </cell>
        </row>
        <row r="457">
          <cell r="A457">
            <v>456</v>
          </cell>
          <cell r="B457">
            <v>1</v>
          </cell>
          <cell r="C457" t="str">
            <v>NA</v>
          </cell>
          <cell r="D457">
            <v>1</v>
          </cell>
          <cell r="E457">
            <v>0.214</v>
          </cell>
          <cell r="F457">
            <v>2.4299999999999999E-2</v>
          </cell>
          <cell r="G457">
            <v>17.924653951907999</v>
          </cell>
          <cell r="H457">
            <v>14.1394087419612</v>
          </cell>
          <cell r="I457">
            <v>8.4501864176008308</v>
          </cell>
          <cell r="J457">
            <v>176789.86438624901</v>
          </cell>
          <cell r="K457">
            <v>105364.20522991099</v>
          </cell>
          <cell r="L457">
            <v>1</v>
          </cell>
          <cell r="M457">
            <v>0</v>
          </cell>
        </row>
        <row r="458">
          <cell r="A458">
            <v>457</v>
          </cell>
          <cell r="B458">
            <v>1</v>
          </cell>
          <cell r="C458" t="str">
            <v>NA</v>
          </cell>
          <cell r="D458">
            <v>1</v>
          </cell>
          <cell r="E458">
            <v>0.12180000000000001</v>
          </cell>
          <cell r="F458">
            <v>2.9899999999999999E-2</v>
          </cell>
          <cell r="G458">
            <v>20.462465727279898</v>
          </cell>
          <cell r="H458">
            <v>15.031017436710201</v>
          </cell>
          <cell r="I458">
            <v>8.8973354951622792</v>
          </cell>
          <cell r="J458">
            <v>264441.949513242</v>
          </cell>
          <cell r="K458">
            <v>152834.347875448</v>
          </cell>
          <cell r="L458">
            <v>1</v>
          </cell>
          <cell r="M458">
            <v>0</v>
          </cell>
        </row>
        <row r="459">
          <cell r="A459">
            <v>458</v>
          </cell>
          <cell r="B459">
            <v>1</v>
          </cell>
          <cell r="C459" t="str">
            <v>NA</v>
          </cell>
          <cell r="D459">
            <v>1</v>
          </cell>
          <cell r="E459">
            <v>0.12280000000000001</v>
          </cell>
          <cell r="F459">
            <v>2.86E-2</v>
          </cell>
          <cell r="G459">
            <v>21.568827188230301</v>
          </cell>
          <cell r="H459">
            <v>13.822182647102901</v>
          </cell>
          <cell r="I459">
            <v>8.0566550158223809</v>
          </cell>
          <cell r="J459">
            <v>264759.70858748199</v>
          </cell>
          <cell r="K459">
            <v>150095.56943609999</v>
          </cell>
          <cell r="L459">
            <v>1</v>
          </cell>
          <cell r="M459">
            <v>0</v>
          </cell>
        </row>
        <row r="460">
          <cell r="A460">
            <v>459</v>
          </cell>
          <cell r="B460">
            <v>1</v>
          </cell>
          <cell r="C460" t="str">
            <v>NA</v>
          </cell>
          <cell r="D460">
            <v>1</v>
          </cell>
          <cell r="E460">
            <v>9.6100000000000005E-2</v>
          </cell>
          <cell r="F460">
            <v>2.4199999999999999E-2</v>
          </cell>
          <cell r="G460">
            <v>20.2971148885498</v>
          </cell>
          <cell r="H460">
            <v>14.403306240096301</v>
          </cell>
          <cell r="I460">
            <v>8.6200293847420308</v>
          </cell>
          <cell r="J460">
            <v>291099.12838181201</v>
          </cell>
          <cell r="K460">
            <v>169639.01818830901</v>
          </cell>
          <cell r="L460">
            <v>1</v>
          </cell>
          <cell r="M460">
            <v>0</v>
          </cell>
        </row>
        <row r="461">
          <cell r="A461">
            <v>460</v>
          </cell>
          <cell r="B461">
            <v>1</v>
          </cell>
          <cell r="C461" t="str">
            <v>NA</v>
          </cell>
          <cell r="D461">
            <v>1</v>
          </cell>
          <cell r="E461">
            <v>0.1258</v>
          </cell>
          <cell r="F461">
            <v>2.52E-2</v>
          </cell>
          <cell r="G461">
            <v>19.279185974127198</v>
          </cell>
          <cell r="H461">
            <v>14.218950538744499</v>
          </cell>
          <cell r="I461">
            <v>8.5590360513579409</v>
          </cell>
          <cell r="J461">
            <v>191769.732519918</v>
          </cell>
          <cell r="K461">
            <v>115251.397910599</v>
          </cell>
          <cell r="L461">
            <v>1</v>
          </cell>
          <cell r="M461">
            <v>0</v>
          </cell>
        </row>
        <row r="462">
          <cell r="A462">
            <v>461</v>
          </cell>
          <cell r="B462">
            <v>1</v>
          </cell>
          <cell r="C462" t="str">
            <v>NA</v>
          </cell>
          <cell r="D462">
            <v>1</v>
          </cell>
          <cell r="E462">
            <v>0.16470000000000001</v>
          </cell>
          <cell r="F462">
            <v>2.1899999999999999E-2</v>
          </cell>
          <cell r="G462">
            <v>17.262046263296099</v>
          </cell>
          <cell r="H462">
            <v>11.537576007433101</v>
          </cell>
          <cell r="I462">
            <v>7.0753391567426496</v>
          </cell>
          <cell r="J462">
            <v>188719.662740623</v>
          </cell>
          <cell r="K462">
            <v>115564.74166612601</v>
          </cell>
          <cell r="L462">
            <v>1</v>
          </cell>
          <cell r="M462">
            <v>0</v>
          </cell>
        </row>
        <row r="463">
          <cell r="A463">
            <v>462</v>
          </cell>
          <cell r="B463">
            <v>1</v>
          </cell>
          <cell r="C463" t="str">
            <v>NA</v>
          </cell>
          <cell r="D463">
            <v>1</v>
          </cell>
          <cell r="E463">
            <v>0.17630000000000001</v>
          </cell>
          <cell r="F463">
            <v>2.86E-2</v>
          </cell>
          <cell r="G463">
            <v>18.1757998391789</v>
          </cell>
          <cell r="H463">
            <v>13.4412934597649</v>
          </cell>
          <cell r="I463">
            <v>8.1121326749224192</v>
          </cell>
          <cell r="J463">
            <v>158495.008006986</v>
          </cell>
          <cell r="K463">
            <v>96471.515069613801</v>
          </cell>
          <cell r="L463">
            <v>1</v>
          </cell>
          <cell r="M463">
            <v>0</v>
          </cell>
        </row>
        <row r="464">
          <cell r="A464">
            <v>463</v>
          </cell>
          <cell r="B464">
            <v>1</v>
          </cell>
          <cell r="C464" t="str">
            <v>NA</v>
          </cell>
          <cell r="D464">
            <v>1</v>
          </cell>
          <cell r="E464">
            <v>7.1999999999999995E-2</v>
          </cell>
          <cell r="F464">
            <v>2.7199999999999998E-2</v>
          </cell>
          <cell r="G464">
            <v>21.1618644063138</v>
          </cell>
          <cell r="H464">
            <v>16.706149342433601</v>
          </cell>
          <cell r="I464">
            <v>9.9256937099106004</v>
          </cell>
          <cell r="J464">
            <v>229051.84976213201</v>
          </cell>
          <cell r="K464">
            <v>134206.34404366399</v>
          </cell>
          <cell r="L464">
            <v>1</v>
          </cell>
          <cell r="M464">
            <v>0</v>
          </cell>
        </row>
        <row r="465">
          <cell r="A465">
            <v>464</v>
          </cell>
          <cell r="B465">
            <v>1</v>
          </cell>
          <cell r="C465" t="str">
            <v>NA</v>
          </cell>
          <cell r="D465">
            <v>1</v>
          </cell>
          <cell r="E465">
            <v>9.0399999999999994E-2</v>
          </cell>
          <cell r="F465">
            <v>3.0200000000000001E-2</v>
          </cell>
          <cell r="G465">
            <v>19.843066919518801</v>
          </cell>
          <cell r="H465">
            <v>14.4335965247095</v>
          </cell>
          <cell r="I465">
            <v>8.6687643852021008</v>
          </cell>
          <cell r="J465">
            <v>256788.171178533</v>
          </cell>
          <cell r="K465">
            <v>151239.87126571799</v>
          </cell>
          <cell r="L465">
            <v>1</v>
          </cell>
          <cell r="M465">
            <v>0</v>
          </cell>
        </row>
        <row r="466">
          <cell r="A466">
            <v>465</v>
          </cell>
          <cell r="B466">
            <v>1</v>
          </cell>
          <cell r="C466" t="str">
            <v>NA</v>
          </cell>
          <cell r="D466">
            <v>1</v>
          </cell>
          <cell r="E466">
            <v>0.22550000000000001</v>
          </cell>
          <cell r="F466">
            <v>2.1600000000000001E-2</v>
          </cell>
          <cell r="G466">
            <v>17.853353995205499</v>
          </cell>
          <cell r="H466">
            <v>14.009910870867399</v>
          </cell>
          <cell r="I466">
            <v>8.3735662852903605</v>
          </cell>
          <cell r="J466">
            <v>177683.453323558</v>
          </cell>
          <cell r="K466">
            <v>105838.113523369</v>
          </cell>
          <cell r="L466">
            <v>1</v>
          </cell>
          <cell r="M466">
            <v>0</v>
          </cell>
        </row>
        <row r="467">
          <cell r="A467">
            <v>466</v>
          </cell>
          <cell r="B467">
            <v>1</v>
          </cell>
          <cell r="C467" t="str">
            <v>NA</v>
          </cell>
          <cell r="D467">
            <v>1</v>
          </cell>
          <cell r="E467">
            <v>0.12039999999999999</v>
          </cell>
          <cell r="F467">
            <v>2.3900000000000001E-2</v>
          </cell>
          <cell r="G467">
            <v>18.937532295977199</v>
          </cell>
          <cell r="H467">
            <v>15.191067439103801</v>
          </cell>
          <cell r="I467">
            <v>9.2099658982373107</v>
          </cell>
          <cell r="J467">
            <v>156192.93001018601</v>
          </cell>
          <cell r="K467">
            <v>95867.201569907498</v>
          </cell>
          <cell r="L467">
            <v>1</v>
          </cell>
          <cell r="M467">
            <v>0</v>
          </cell>
        </row>
        <row r="468">
          <cell r="A468">
            <v>467</v>
          </cell>
          <cell r="B468">
            <v>1</v>
          </cell>
          <cell r="C468" t="str">
            <v>NA</v>
          </cell>
          <cell r="D468">
            <v>1</v>
          </cell>
          <cell r="E468">
            <v>0.10639999999999999</v>
          </cell>
          <cell r="F468">
            <v>2.8799999999999999E-2</v>
          </cell>
          <cell r="G468">
            <v>18.724984084495102</v>
          </cell>
          <cell r="H468">
            <v>14.2387519951033</v>
          </cell>
          <cell r="I468">
            <v>8.6795170621220894</v>
          </cell>
          <cell r="J468">
            <v>165039.03131273499</v>
          </cell>
          <cell r="K468">
            <v>101439.19211937</v>
          </cell>
          <cell r="L468">
            <v>1</v>
          </cell>
          <cell r="M468">
            <v>0</v>
          </cell>
        </row>
        <row r="469">
          <cell r="A469">
            <v>468</v>
          </cell>
          <cell r="B469">
            <v>1</v>
          </cell>
          <cell r="C469" t="str">
            <v>NA</v>
          </cell>
          <cell r="D469">
            <v>1</v>
          </cell>
          <cell r="E469">
            <v>0.17169999999999999</v>
          </cell>
          <cell r="F469">
            <v>2.5999999999999999E-2</v>
          </cell>
          <cell r="G469">
            <v>19.4509402432139</v>
          </cell>
          <cell r="H469">
            <v>12.6520610804605</v>
          </cell>
          <cell r="I469">
            <v>7.4887139082129401</v>
          </cell>
          <cell r="J469">
            <v>261127.855847064</v>
          </cell>
          <cell r="K469">
            <v>150650.68910248901</v>
          </cell>
          <cell r="L469">
            <v>1</v>
          </cell>
          <cell r="M469">
            <v>0</v>
          </cell>
        </row>
        <row r="470">
          <cell r="A470">
            <v>469</v>
          </cell>
          <cell r="B470">
            <v>1</v>
          </cell>
          <cell r="C470" t="str">
            <v>NA</v>
          </cell>
          <cell r="D470">
            <v>1</v>
          </cell>
          <cell r="E470">
            <v>0.12</v>
          </cell>
          <cell r="F470">
            <v>2.6800000000000001E-2</v>
          </cell>
          <cell r="G470">
            <v>20.290012299760701</v>
          </cell>
          <cell r="H470">
            <v>14.725133211862</v>
          </cell>
          <cell r="I470">
            <v>8.7435191171818705</v>
          </cell>
          <cell r="J470">
            <v>264809.30929027899</v>
          </cell>
          <cell r="K470">
            <v>153425.24770247299</v>
          </cell>
          <cell r="L470">
            <v>1</v>
          </cell>
          <cell r="M470">
            <v>0</v>
          </cell>
        </row>
        <row r="471">
          <cell r="A471">
            <v>470</v>
          </cell>
          <cell r="B471">
            <v>1</v>
          </cell>
          <cell r="C471" t="str">
            <v>NA</v>
          </cell>
          <cell r="D471">
            <v>1</v>
          </cell>
          <cell r="E471">
            <v>0.107</v>
          </cell>
          <cell r="F471">
            <v>2.4799999999999999E-2</v>
          </cell>
          <cell r="G471">
            <v>19.338389526142301</v>
          </cell>
          <cell r="H471">
            <v>13.978015661978199</v>
          </cell>
          <cell r="I471">
            <v>8.4457409473612408</v>
          </cell>
          <cell r="J471">
            <v>174183.35440197101</v>
          </cell>
          <cell r="K471">
            <v>105743.94560013</v>
          </cell>
          <cell r="L471">
            <v>1</v>
          </cell>
          <cell r="M471">
            <v>0</v>
          </cell>
        </row>
        <row r="472">
          <cell r="A472">
            <v>471</v>
          </cell>
          <cell r="B472">
            <v>1</v>
          </cell>
          <cell r="C472" t="str">
            <v>NA</v>
          </cell>
          <cell r="D472">
            <v>1</v>
          </cell>
          <cell r="E472">
            <v>0.11459999999999999</v>
          </cell>
          <cell r="F472">
            <v>2.8199999999999999E-2</v>
          </cell>
          <cell r="G472">
            <v>19.747978552868901</v>
          </cell>
          <cell r="H472">
            <v>14.2396473101412</v>
          </cell>
          <cell r="I472">
            <v>8.5109695518238606</v>
          </cell>
          <cell r="J472">
            <v>275974.67776657501</v>
          </cell>
          <cell r="K472">
            <v>161004.939140225</v>
          </cell>
          <cell r="L472">
            <v>1</v>
          </cell>
          <cell r="M472">
            <v>0</v>
          </cell>
        </row>
        <row r="473">
          <cell r="A473">
            <v>472</v>
          </cell>
          <cell r="B473">
            <v>1</v>
          </cell>
          <cell r="C473" t="str">
            <v>NA</v>
          </cell>
          <cell r="D473">
            <v>1</v>
          </cell>
          <cell r="E473">
            <v>0.11559999999999999</v>
          </cell>
          <cell r="F473">
            <v>2.5000000000000001E-2</v>
          </cell>
          <cell r="G473">
            <v>18.799161963049599</v>
          </cell>
          <cell r="H473">
            <v>14.0617372924214</v>
          </cell>
          <cell r="I473">
            <v>8.5421896061490603</v>
          </cell>
          <cell r="J473">
            <v>192286.33362942599</v>
          </cell>
          <cell r="K473">
            <v>116614.823097527</v>
          </cell>
          <cell r="L473">
            <v>1</v>
          </cell>
          <cell r="M473">
            <v>0</v>
          </cell>
        </row>
        <row r="474">
          <cell r="A474">
            <v>473</v>
          </cell>
          <cell r="B474">
            <v>1</v>
          </cell>
          <cell r="C474" t="str">
            <v>NA</v>
          </cell>
          <cell r="D474">
            <v>1</v>
          </cell>
          <cell r="E474">
            <v>0.19900000000000001</v>
          </cell>
          <cell r="F474">
            <v>2.8299999999999999E-2</v>
          </cell>
          <cell r="G474">
            <v>18.481771131348602</v>
          </cell>
          <cell r="H474">
            <v>12.666939673934399</v>
          </cell>
          <cell r="I474">
            <v>7.5489450728865899</v>
          </cell>
          <cell r="J474">
            <v>219299.61041557699</v>
          </cell>
          <cell r="K474">
            <v>128787.295326725</v>
          </cell>
          <cell r="L474">
            <v>1</v>
          </cell>
          <cell r="M474">
            <v>0</v>
          </cell>
        </row>
        <row r="475">
          <cell r="A475">
            <v>474</v>
          </cell>
          <cell r="B475">
            <v>1</v>
          </cell>
          <cell r="C475" t="str">
            <v>NA</v>
          </cell>
          <cell r="D475">
            <v>1</v>
          </cell>
          <cell r="E475">
            <v>0.1704</v>
          </cell>
          <cell r="F475">
            <v>2.4199999999999999E-2</v>
          </cell>
          <cell r="G475">
            <v>19.7058562074292</v>
          </cell>
          <cell r="H475">
            <v>13.8563024262879</v>
          </cell>
          <cell r="I475">
            <v>8.1882977552754301</v>
          </cell>
          <cell r="J475">
            <v>237466.98878379</v>
          </cell>
          <cell r="K475">
            <v>137438.50400746401</v>
          </cell>
          <cell r="L475">
            <v>1</v>
          </cell>
          <cell r="M475">
            <v>0</v>
          </cell>
        </row>
        <row r="476">
          <cell r="A476">
            <v>475</v>
          </cell>
          <cell r="B476">
            <v>1</v>
          </cell>
          <cell r="C476" t="str">
            <v>NA</v>
          </cell>
          <cell r="D476">
            <v>1</v>
          </cell>
          <cell r="E476">
            <v>0.11990000000000001</v>
          </cell>
          <cell r="F476">
            <v>2.9499999999999998E-2</v>
          </cell>
          <cell r="G476">
            <v>19.933671749920201</v>
          </cell>
          <cell r="H476">
            <v>13.543490682003</v>
          </cell>
          <cell r="I476">
            <v>8.0591355600767702</v>
          </cell>
          <cell r="J476">
            <v>179671.26341774501</v>
          </cell>
          <cell r="K476">
            <v>106929.878383875</v>
          </cell>
          <cell r="L476">
            <v>1</v>
          </cell>
          <cell r="M476">
            <v>0</v>
          </cell>
        </row>
        <row r="477">
          <cell r="A477">
            <v>476</v>
          </cell>
          <cell r="B477">
            <v>1</v>
          </cell>
          <cell r="C477" t="str">
            <v>NA</v>
          </cell>
          <cell r="D477">
            <v>1</v>
          </cell>
          <cell r="E477">
            <v>0.1535</v>
          </cell>
          <cell r="F477">
            <v>2.3800000000000002E-2</v>
          </cell>
          <cell r="G477">
            <v>18.1039906592063</v>
          </cell>
          <cell r="H477">
            <v>14.528817174796901</v>
          </cell>
          <cell r="I477">
            <v>8.8205204484745892</v>
          </cell>
          <cell r="J477">
            <v>189217.50111609101</v>
          </cell>
          <cell r="K477">
            <v>114739.508784042</v>
          </cell>
          <cell r="L477">
            <v>1</v>
          </cell>
          <cell r="M477">
            <v>0</v>
          </cell>
        </row>
        <row r="478">
          <cell r="A478">
            <v>477</v>
          </cell>
          <cell r="B478">
            <v>1</v>
          </cell>
          <cell r="C478" t="str">
            <v>NA</v>
          </cell>
          <cell r="D478">
            <v>1</v>
          </cell>
          <cell r="E478">
            <v>0.1381</v>
          </cell>
          <cell r="F478">
            <v>2.3199999999999998E-2</v>
          </cell>
          <cell r="G478">
            <v>21.554124815052599</v>
          </cell>
          <cell r="H478">
            <v>14.2939597871428</v>
          </cell>
          <cell r="I478">
            <v>8.2949243678056295</v>
          </cell>
          <cell r="J478">
            <v>244925.40516430399</v>
          </cell>
          <cell r="K478">
            <v>138433.792287277</v>
          </cell>
          <cell r="L478">
            <v>1</v>
          </cell>
          <cell r="M478">
            <v>0</v>
          </cell>
        </row>
        <row r="479">
          <cell r="A479">
            <v>478</v>
          </cell>
          <cell r="B479">
            <v>1</v>
          </cell>
          <cell r="C479" t="str">
            <v>NA</v>
          </cell>
          <cell r="D479">
            <v>1</v>
          </cell>
          <cell r="E479">
            <v>0.16389999999999999</v>
          </cell>
          <cell r="F479">
            <v>2.53E-2</v>
          </cell>
          <cell r="G479">
            <v>19.037911066978499</v>
          </cell>
          <cell r="H479">
            <v>14.565040167733899</v>
          </cell>
          <cell r="I479">
            <v>8.7189133013529698</v>
          </cell>
          <cell r="J479">
            <v>255769.225227424</v>
          </cell>
          <cell r="K479">
            <v>149680.168399983</v>
          </cell>
          <cell r="L479">
            <v>1</v>
          </cell>
          <cell r="M479">
            <v>0</v>
          </cell>
        </row>
        <row r="480">
          <cell r="A480">
            <v>479</v>
          </cell>
          <cell r="B480">
            <v>1</v>
          </cell>
          <cell r="C480" t="str">
            <v>NA</v>
          </cell>
          <cell r="D480">
            <v>1</v>
          </cell>
          <cell r="E480">
            <v>0.19570000000000001</v>
          </cell>
          <cell r="F480">
            <v>0.02</v>
          </cell>
          <cell r="G480">
            <v>18.445905080576502</v>
          </cell>
          <cell r="H480">
            <v>12.630439310503199</v>
          </cell>
          <cell r="I480">
            <v>7.54659297129471</v>
          </cell>
          <cell r="J480">
            <v>258354.862573247</v>
          </cell>
          <cell r="K480">
            <v>150897.168566468</v>
          </cell>
          <cell r="L480">
            <v>1</v>
          </cell>
          <cell r="M480">
            <v>0</v>
          </cell>
        </row>
        <row r="481">
          <cell r="A481">
            <v>480</v>
          </cell>
          <cell r="B481">
            <v>1</v>
          </cell>
          <cell r="C481" t="str">
            <v>NA</v>
          </cell>
          <cell r="D481">
            <v>1</v>
          </cell>
          <cell r="E481">
            <v>0.18140000000000001</v>
          </cell>
          <cell r="F481">
            <v>2.3E-2</v>
          </cell>
          <cell r="G481">
            <v>17.4819573109225</v>
          </cell>
          <cell r="H481">
            <v>12.8026508421981</v>
          </cell>
          <cell r="I481">
            <v>7.7962042325177201</v>
          </cell>
          <cell r="J481">
            <v>202021.49906932001</v>
          </cell>
          <cell r="K481">
            <v>122186.370124628</v>
          </cell>
          <cell r="L481">
            <v>1</v>
          </cell>
          <cell r="M481">
            <v>0</v>
          </cell>
        </row>
        <row r="482">
          <cell r="A482">
            <v>481</v>
          </cell>
          <cell r="B482">
            <v>1</v>
          </cell>
          <cell r="C482" t="str">
            <v>NA</v>
          </cell>
          <cell r="D482">
            <v>1</v>
          </cell>
          <cell r="E482">
            <v>0.1321</v>
          </cell>
          <cell r="F482">
            <v>2.7300000000000001E-2</v>
          </cell>
          <cell r="G482">
            <v>19.7474537998201</v>
          </cell>
          <cell r="H482">
            <v>12.8842291233934</v>
          </cell>
          <cell r="I482">
            <v>7.6730136532609299</v>
          </cell>
          <cell r="J482">
            <v>354088.32752770098</v>
          </cell>
          <cell r="K482">
            <v>203213.040464622</v>
          </cell>
          <cell r="L482">
            <v>1</v>
          </cell>
          <cell r="M482">
            <v>0</v>
          </cell>
        </row>
        <row r="483">
          <cell r="A483">
            <v>482</v>
          </cell>
          <cell r="B483">
            <v>1</v>
          </cell>
          <cell r="C483" t="str">
            <v>NA</v>
          </cell>
          <cell r="D483">
            <v>1</v>
          </cell>
          <cell r="E483">
            <v>0.1207</v>
          </cell>
          <cell r="F483">
            <v>2.2700000000000001E-2</v>
          </cell>
          <cell r="G483">
            <v>18.089468352191201</v>
          </cell>
          <cell r="H483">
            <v>12.319589461967301</v>
          </cell>
          <cell r="I483">
            <v>7.5533371627876402</v>
          </cell>
          <cell r="J483">
            <v>180217.42770442201</v>
          </cell>
          <cell r="K483">
            <v>111053.480785134</v>
          </cell>
          <cell r="L483">
            <v>1</v>
          </cell>
          <cell r="M483">
            <v>0</v>
          </cell>
        </row>
        <row r="484">
          <cell r="A484">
            <v>483</v>
          </cell>
          <cell r="B484">
            <v>1</v>
          </cell>
          <cell r="C484" t="str">
            <v>NA</v>
          </cell>
          <cell r="D484">
            <v>1</v>
          </cell>
          <cell r="E484">
            <v>0.1694</v>
          </cell>
          <cell r="F484">
            <v>2.3900000000000001E-2</v>
          </cell>
          <cell r="G484">
            <v>18.3581479136467</v>
          </cell>
          <cell r="H484">
            <v>12.7663608791642</v>
          </cell>
          <cell r="I484">
            <v>7.7055703938213496</v>
          </cell>
          <cell r="J484">
            <v>212194.06840098099</v>
          </cell>
          <cell r="K484">
            <v>126628.572902527</v>
          </cell>
          <cell r="L484">
            <v>1</v>
          </cell>
          <cell r="M484">
            <v>0</v>
          </cell>
        </row>
        <row r="485">
          <cell r="A485">
            <v>484</v>
          </cell>
          <cell r="B485">
            <v>1</v>
          </cell>
          <cell r="C485" t="str">
            <v>NA</v>
          </cell>
          <cell r="D485">
            <v>1</v>
          </cell>
          <cell r="E485">
            <v>0.16</v>
          </cell>
          <cell r="F485">
            <v>2.5000000000000001E-2</v>
          </cell>
          <cell r="G485">
            <v>17.9964013637676</v>
          </cell>
          <cell r="H485">
            <v>13.2785380098699</v>
          </cell>
          <cell r="I485">
            <v>8.0719344363319596</v>
          </cell>
          <cell r="J485">
            <v>208033.58091529101</v>
          </cell>
          <cell r="K485">
            <v>125513.992226716</v>
          </cell>
          <cell r="L485">
            <v>1</v>
          </cell>
          <cell r="M485">
            <v>0</v>
          </cell>
        </row>
        <row r="486">
          <cell r="A486">
            <v>485</v>
          </cell>
          <cell r="B486">
            <v>1</v>
          </cell>
          <cell r="C486" t="str">
            <v>NA</v>
          </cell>
          <cell r="D486">
            <v>1</v>
          </cell>
          <cell r="E486">
            <v>0.2198</v>
          </cell>
          <cell r="F486">
            <v>2.41E-2</v>
          </cell>
          <cell r="G486">
            <v>16.155659176281599</v>
          </cell>
          <cell r="H486">
            <v>11.4804886482824</v>
          </cell>
          <cell r="I486">
            <v>7.0338203544714997</v>
          </cell>
          <cell r="J486">
            <v>204393.53195216999</v>
          </cell>
          <cell r="K486">
            <v>124073.944081767</v>
          </cell>
          <cell r="L486">
            <v>1</v>
          </cell>
          <cell r="M486">
            <v>0</v>
          </cell>
        </row>
        <row r="487">
          <cell r="A487">
            <v>486</v>
          </cell>
          <cell r="B487">
            <v>1</v>
          </cell>
          <cell r="C487" t="str">
            <v>NA</v>
          </cell>
          <cell r="D487">
            <v>1</v>
          </cell>
          <cell r="E487">
            <v>0.1913</v>
          </cell>
          <cell r="F487">
            <v>2.5700000000000001E-2</v>
          </cell>
          <cell r="G487">
            <v>18.865852333889901</v>
          </cell>
          <cell r="H487">
            <v>13.0463134123128</v>
          </cell>
          <cell r="I487">
            <v>7.7321216812715496</v>
          </cell>
          <cell r="J487">
            <v>145704.76072185099</v>
          </cell>
          <cell r="K487">
            <v>87614.356077470904</v>
          </cell>
          <cell r="L487">
            <v>1</v>
          </cell>
          <cell r="M487">
            <v>0</v>
          </cell>
        </row>
        <row r="488">
          <cell r="A488">
            <v>487</v>
          </cell>
          <cell r="B488">
            <v>1</v>
          </cell>
          <cell r="C488" t="str">
            <v>NA</v>
          </cell>
          <cell r="D488">
            <v>1</v>
          </cell>
          <cell r="E488">
            <v>0.1207</v>
          </cell>
          <cell r="F488">
            <v>2.8799999999999999E-2</v>
          </cell>
          <cell r="G488">
            <v>18.5994045302043</v>
          </cell>
          <cell r="H488">
            <v>13.3169036356867</v>
          </cell>
          <cell r="I488">
            <v>8.1097135937547993</v>
          </cell>
          <cell r="J488">
            <v>183987.218423121</v>
          </cell>
          <cell r="K488">
            <v>112252.95660247401</v>
          </cell>
          <cell r="L488">
            <v>1</v>
          </cell>
          <cell r="M488">
            <v>0</v>
          </cell>
        </row>
        <row r="489">
          <cell r="A489">
            <v>488</v>
          </cell>
          <cell r="B489">
            <v>1</v>
          </cell>
          <cell r="C489" t="str">
            <v>NA</v>
          </cell>
          <cell r="D489">
            <v>1</v>
          </cell>
          <cell r="E489">
            <v>0.14000000000000001</v>
          </cell>
          <cell r="F489">
            <v>2.7199999999999998E-2</v>
          </cell>
          <cell r="G489">
            <v>18.715206819165299</v>
          </cell>
          <cell r="H489">
            <v>13.5964344592364</v>
          </cell>
          <cell r="I489">
            <v>8.2149058735639802</v>
          </cell>
          <cell r="J489">
            <v>173817.631515977</v>
          </cell>
          <cell r="K489">
            <v>105349.67933600899</v>
          </cell>
          <cell r="L489">
            <v>1</v>
          </cell>
          <cell r="M489">
            <v>0</v>
          </cell>
        </row>
        <row r="490">
          <cell r="A490">
            <v>489</v>
          </cell>
          <cell r="B490">
            <v>1</v>
          </cell>
          <cell r="C490" t="str">
            <v>NA</v>
          </cell>
          <cell r="D490">
            <v>1</v>
          </cell>
          <cell r="E490">
            <v>0.15210000000000001</v>
          </cell>
          <cell r="F490">
            <v>2.7199999999999998E-2</v>
          </cell>
          <cell r="G490">
            <v>17.612229651157101</v>
          </cell>
          <cell r="H490">
            <v>12.3803476698836</v>
          </cell>
          <cell r="I490">
            <v>7.5883647160616698</v>
          </cell>
          <cell r="J490">
            <v>154695.29950780299</v>
          </cell>
          <cell r="K490">
            <v>95884.472033152604</v>
          </cell>
          <cell r="L490">
            <v>1</v>
          </cell>
          <cell r="M490">
            <v>0</v>
          </cell>
        </row>
        <row r="491">
          <cell r="A491">
            <v>490</v>
          </cell>
          <cell r="B491">
            <v>1</v>
          </cell>
          <cell r="C491" t="str">
            <v>NA</v>
          </cell>
          <cell r="D491">
            <v>1</v>
          </cell>
          <cell r="E491">
            <v>0.1148</v>
          </cell>
          <cell r="F491">
            <v>2.3099999999999999E-2</v>
          </cell>
          <cell r="G491">
            <v>18.120962900731801</v>
          </cell>
          <cell r="H491">
            <v>12.9400695430997</v>
          </cell>
          <cell r="I491">
            <v>7.9344100265566597</v>
          </cell>
          <cell r="J491">
            <v>155420.65687631501</v>
          </cell>
          <cell r="K491">
            <v>96687.825129779594</v>
          </cell>
          <cell r="L491">
            <v>1</v>
          </cell>
          <cell r="M491">
            <v>0</v>
          </cell>
        </row>
        <row r="492">
          <cell r="A492">
            <v>491</v>
          </cell>
          <cell r="B492">
            <v>1</v>
          </cell>
          <cell r="C492" t="str">
            <v>NA</v>
          </cell>
          <cell r="D492">
            <v>1</v>
          </cell>
          <cell r="E492">
            <v>0.25969999999999999</v>
          </cell>
          <cell r="F492">
            <v>2.1999999999999999E-2</v>
          </cell>
          <cell r="G492">
            <v>16.362337787474701</v>
          </cell>
          <cell r="H492">
            <v>11.679189410826901</v>
          </cell>
          <cell r="I492">
            <v>7.0379769224252096</v>
          </cell>
          <cell r="J492">
            <v>214300.161599443</v>
          </cell>
          <cell r="K492">
            <v>127359.373805062</v>
          </cell>
          <cell r="L492">
            <v>1</v>
          </cell>
          <cell r="M492">
            <v>0</v>
          </cell>
        </row>
        <row r="493">
          <cell r="A493">
            <v>492</v>
          </cell>
          <cell r="B493">
            <v>1</v>
          </cell>
          <cell r="C493" t="str">
            <v>NA</v>
          </cell>
          <cell r="D493">
            <v>1</v>
          </cell>
          <cell r="E493">
            <v>0.1208</v>
          </cell>
          <cell r="F493">
            <v>3.1800000000000002E-2</v>
          </cell>
          <cell r="G493">
            <v>19.520031332378501</v>
          </cell>
          <cell r="H493">
            <v>14.272393819069899</v>
          </cell>
          <cell r="I493">
            <v>8.5443184699266297</v>
          </cell>
          <cell r="J493">
            <v>280745.81884655298</v>
          </cell>
          <cell r="K493">
            <v>163888.66783050599</v>
          </cell>
          <cell r="L493">
            <v>1</v>
          </cell>
          <cell r="M493">
            <v>0</v>
          </cell>
        </row>
        <row r="494">
          <cell r="A494">
            <v>493</v>
          </cell>
          <cell r="B494">
            <v>1</v>
          </cell>
          <cell r="C494" t="str">
            <v>NA</v>
          </cell>
          <cell r="D494">
            <v>1</v>
          </cell>
          <cell r="E494">
            <v>0.15479999999999999</v>
          </cell>
          <cell r="F494">
            <v>2.35E-2</v>
          </cell>
          <cell r="G494">
            <v>18.021867633897301</v>
          </cell>
          <cell r="H494">
            <v>11.4356836021406</v>
          </cell>
          <cell r="I494">
            <v>6.9568771934374602</v>
          </cell>
          <cell r="J494">
            <v>194956.959226423</v>
          </cell>
          <cell r="K494">
            <v>118295.800637115</v>
          </cell>
          <cell r="L494">
            <v>1</v>
          </cell>
          <cell r="M494">
            <v>0</v>
          </cell>
        </row>
        <row r="495">
          <cell r="A495">
            <v>494</v>
          </cell>
          <cell r="B495">
            <v>1</v>
          </cell>
          <cell r="C495" t="str">
            <v>NA</v>
          </cell>
          <cell r="D495">
            <v>1</v>
          </cell>
          <cell r="E495">
            <v>6.93E-2</v>
          </cell>
          <cell r="F495">
            <v>2.6599999999999999E-2</v>
          </cell>
          <cell r="G495">
            <v>20.616108003178301</v>
          </cell>
          <cell r="H495">
            <v>13.3232510145079</v>
          </cell>
          <cell r="I495">
            <v>7.9742501027539401</v>
          </cell>
          <cell r="J495">
            <v>218085.82795893701</v>
          </cell>
          <cell r="K495">
            <v>129130.627585446</v>
          </cell>
          <cell r="L495">
            <v>1</v>
          </cell>
          <cell r="M495">
            <v>0</v>
          </cell>
        </row>
        <row r="496">
          <cell r="A496">
            <v>495</v>
          </cell>
          <cell r="B496">
            <v>1</v>
          </cell>
          <cell r="C496" t="str">
            <v>NA</v>
          </cell>
          <cell r="D496">
            <v>1</v>
          </cell>
          <cell r="E496">
            <v>0.14249999999999999</v>
          </cell>
          <cell r="F496">
            <v>2.1399999999999999E-2</v>
          </cell>
          <cell r="G496">
            <v>19.821543344235799</v>
          </cell>
          <cell r="H496">
            <v>14.4963148886093</v>
          </cell>
          <cell r="I496">
            <v>8.6474518536607601</v>
          </cell>
          <cell r="J496">
            <v>232648.288663257</v>
          </cell>
          <cell r="K496">
            <v>136428.86256261999</v>
          </cell>
          <cell r="L496">
            <v>1</v>
          </cell>
          <cell r="M496">
            <v>0</v>
          </cell>
        </row>
        <row r="497">
          <cell r="A497">
            <v>496</v>
          </cell>
          <cell r="B497">
            <v>1</v>
          </cell>
          <cell r="C497" t="str">
            <v>NA</v>
          </cell>
          <cell r="D497">
            <v>1</v>
          </cell>
          <cell r="E497">
            <v>0.1053</v>
          </cell>
          <cell r="F497">
            <v>2.75E-2</v>
          </cell>
          <cell r="G497">
            <v>19.302593477586601</v>
          </cell>
          <cell r="H497">
            <v>14.079144766504299</v>
          </cell>
          <cell r="I497">
            <v>8.5068699964946095</v>
          </cell>
          <cell r="J497">
            <v>280341.19393329299</v>
          </cell>
          <cell r="K497">
            <v>165654.53484940299</v>
          </cell>
          <cell r="L497">
            <v>1</v>
          </cell>
          <cell r="M497">
            <v>0</v>
          </cell>
        </row>
        <row r="498">
          <cell r="A498">
            <v>497</v>
          </cell>
          <cell r="B498">
            <v>1</v>
          </cell>
          <cell r="C498" t="str">
            <v>NA</v>
          </cell>
          <cell r="D498">
            <v>1</v>
          </cell>
          <cell r="E498">
            <v>0.17050000000000001</v>
          </cell>
          <cell r="F498">
            <v>2.46E-2</v>
          </cell>
          <cell r="G498">
            <v>16.605962670546798</v>
          </cell>
          <cell r="H498">
            <v>11.6282271073361</v>
          </cell>
          <cell r="I498">
            <v>7.1910339799813796</v>
          </cell>
          <cell r="J498">
            <v>171316.94536539901</v>
          </cell>
          <cell r="K498">
            <v>106677.638588703</v>
          </cell>
          <cell r="L498">
            <v>1</v>
          </cell>
          <cell r="M498">
            <v>0</v>
          </cell>
        </row>
        <row r="499">
          <cell r="A499">
            <v>498</v>
          </cell>
          <cell r="B499">
            <v>1</v>
          </cell>
          <cell r="C499" t="str">
            <v>NA</v>
          </cell>
          <cell r="D499">
            <v>1</v>
          </cell>
          <cell r="E499">
            <v>0.15390000000000001</v>
          </cell>
          <cell r="F499">
            <v>2.29E-2</v>
          </cell>
          <cell r="G499">
            <v>18.136059337400901</v>
          </cell>
          <cell r="H499">
            <v>11.704891434996799</v>
          </cell>
          <cell r="I499">
            <v>7.12751009953503</v>
          </cell>
          <cell r="J499">
            <v>260675.86596436999</v>
          </cell>
          <cell r="K499">
            <v>155596.664283199</v>
          </cell>
          <cell r="L499">
            <v>1</v>
          </cell>
          <cell r="M499">
            <v>0</v>
          </cell>
        </row>
        <row r="500">
          <cell r="A500">
            <v>499</v>
          </cell>
          <cell r="B500">
            <v>1</v>
          </cell>
          <cell r="C500" t="str">
            <v>NA</v>
          </cell>
          <cell r="D500">
            <v>1</v>
          </cell>
          <cell r="E500">
            <v>0.23430000000000001</v>
          </cell>
          <cell r="F500">
            <v>2.5899999999999999E-2</v>
          </cell>
          <cell r="G500">
            <v>16.989496117536</v>
          </cell>
          <cell r="H500">
            <v>13.2978486735768</v>
          </cell>
          <cell r="I500">
            <v>8.0592833836862798</v>
          </cell>
          <cell r="J500">
            <v>245525.882082839</v>
          </cell>
          <cell r="K500">
            <v>145860.654732041</v>
          </cell>
          <cell r="L500">
            <v>1</v>
          </cell>
          <cell r="M500">
            <v>0</v>
          </cell>
        </row>
        <row r="501">
          <cell r="A501">
            <v>500</v>
          </cell>
          <cell r="B501">
            <v>1</v>
          </cell>
          <cell r="C501" t="str">
            <v>NA</v>
          </cell>
          <cell r="D501">
            <v>1</v>
          </cell>
          <cell r="E501">
            <v>0.15090000000000001</v>
          </cell>
          <cell r="F501">
            <v>2.41E-2</v>
          </cell>
          <cell r="G501">
            <v>19.743022304148301</v>
          </cell>
          <cell r="H501">
            <v>13.442271801035099</v>
          </cell>
          <cell r="I501">
            <v>7.9988286261052597</v>
          </cell>
          <cell r="J501">
            <v>270139.72887383797</v>
          </cell>
          <cell r="K501">
            <v>156804.444953147</v>
          </cell>
          <cell r="L501">
            <v>1</v>
          </cell>
          <cell r="M50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5233-73FA-4382-BEC4-2A5AF995C0B4}">
  <sheetPr codeName="Sheet1"/>
  <dimension ref="A4:B11"/>
  <sheetViews>
    <sheetView workbookViewId="0">
      <selection activeCell="B4" sqref="B4"/>
    </sheetView>
  </sheetViews>
  <sheetFormatPr defaultRowHeight="15" x14ac:dyDescent="0.25"/>
  <sheetData>
    <row r="4" spans="1:2" x14ac:dyDescent="0.25">
      <c r="A4" t="s">
        <v>8</v>
      </c>
      <c r="B4">
        <v>50000</v>
      </c>
    </row>
    <row r="8" spans="1:2" x14ac:dyDescent="0.25">
      <c r="A8" t="s">
        <v>16</v>
      </c>
    </row>
    <row r="9" spans="1:2" x14ac:dyDescent="0.25">
      <c r="A9">
        <v>-2</v>
      </c>
      <c r="B9">
        <f>A9*20000</f>
        <v>-40000</v>
      </c>
    </row>
    <row r="10" spans="1:2" x14ac:dyDescent="0.25">
      <c r="A10">
        <v>0</v>
      </c>
      <c r="B10">
        <f t="shared" ref="B10:B11" si="0">A10*20000</f>
        <v>0</v>
      </c>
    </row>
    <row r="11" spans="1:2" x14ac:dyDescent="0.25">
      <c r="A11">
        <v>2</v>
      </c>
      <c r="B11">
        <f t="shared" si="0"/>
        <v>40000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CAF2B-6209-4C42-9FC8-398B04529154}">
  <sheetPr codeName="Sheet2"/>
  <dimension ref="A1:M501"/>
  <sheetViews>
    <sheetView workbookViewId="0">
      <selection activeCell="P10" sqref="P10"/>
    </sheetView>
  </sheetViews>
  <sheetFormatPr defaultRowHeight="15" x14ac:dyDescent="0.25"/>
  <cols>
    <col min="1" max="1" width="15.42578125" bestFit="1" customWidth="1"/>
    <col min="7" max="7" width="11.140625" bestFit="1" customWidth="1"/>
    <col min="8" max="8" width="19.85546875" bestFit="1" customWidth="1"/>
    <col min="9" max="9" width="17.5703125" bestFit="1" customWidth="1"/>
  </cols>
  <sheetData>
    <row r="1" spans="1:13" x14ac:dyDescent="0.25">
      <c r="A1" t="s">
        <v>1</v>
      </c>
      <c r="B1" t="str">
        <f>[2]sens_100_spec_10_PSA!B1</f>
        <v>Sens_DR</v>
      </c>
      <c r="C1" t="str">
        <f>[2]sens_100_spec_10_PSA!C1</f>
        <v>Spec_DR</v>
      </c>
      <c r="D1" t="str">
        <f>[2]sens_100_spec_10_PSA!D1</f>
        <v>Number_recieving_MTC_care</v>
      </c>
      <c r="E1" t="str">
        <f>[2]sens_100_spec_10_PSA!E1</f>
        <v>proportion_died_before_discharge</v>
      </c>
      <c r="F1" t="str">
        <f>[2]sens_100_spec_10_PSA!F1</f>
        <v>proportion_died_between_discharge_and_1_year</v>
      </c>
      <c r="G1" t="str">
        <f>[2]sens_100_spec_10_PSA!G1</f>
        <v>Years_lived</v>
      </c>
      <c r="H1" t="str">
        <f>[2]sens_100_spec_10_PSA!H1</f>
        <v>undiscounted_QALYs</v>
      </c>
      <c r="I1" t="str">
        <f>[2]sens_100_spec_10_PSA!I1</f>
        <v>discounted_QALYs</v>
      </c>
      <c r="J1" t="str">
        <f>[2]sens_100_spec_10_PSA!J1</f>
        <v>undiscounted_Costs</v>
      </c>
      <c r="K1" t="str">
        <f>[2]sens_100_spec_10_PSA!K1</f>
        <v>discounted_Costs</v>
      </c>
      <c r="L1" t="str">
        <f>[2]sens_100_spec_10_PSA!L1</f>
        <v>proportion_ISS_over_16</v>
      </c>
      <c r="M1" t="str">
        <f>[2]sens_100_spec_10_PSA!M1</f>
        <v>proportion_ISS_over_8_under_16</v>
      </c>
    </row>
    <row r="2" spans="1:13" x14ac:dyDescent="0.25">
      <c r="A2">
        <f>[2]sens_100_spec_10_PSA!A2</f>
        <v>1</v>
      </c>
      <c r="B2">
        <f>[2]sens_100_spec_10_PSA!B2</f>
        <v>1</v>
      </c>
      <c r="C2" t="str">
        <f>[2]sens_100_spec_10_PSA!C2</f>
        <v>NA</v>
      </c>
      <c r="D2">
        <f>[2]sens_100_spec_10_PSA!D2</f>
        <v>1</v>
      </c>
      <c r="E2" s="1">
        <f>[2]sens_100_spec_10_PSA!E2</f>
        <v>0.17630000000000001</v>
      </c>
      <c r="F2" s="1">
        <f>[2]sens_100_spec_10_PSA!F2</f>
        <v>2.2100000000000002E-2</v>
      </c>
      <c r="G2" s="2">
        <f>[2]sens_100_spec_10_PSA!G2</f>
        <v>18.8453513991448</v>
      </c>
      <c r="H2" s="2">
        <f>[2]sens_100_spec_10_PSA!H2</f>
        <v>13.4379651043898</v>
      </c>
      <c r="I2" s="2">
        <f>[2]sens_100_spec_10_PSA!I2</f>
        <v>8.0214473083461098</v>
      </c>
      <c r="J2" s="3">
        <f>[2]sens_100_spec_10_PSA!J2</f>
        <v>194726.156353967</v>
      </c>
      <c r="K2" s="3">
        <f>[2]sens_100_spec_10_PSA!K2</f>
        <v>115274.601516942</v>
      </c>
      <c r="L2">
        <f>[2]sens_100_spec_10_PSA!L2</f>
        <v>1</v>
      </c>
      <c r="M2">
        <f>[2]sens_100_spec_10_PSA!M2</f>
        <v>0</v>
      </c>
    </row>
    <row r="3" spans="1:13" x14ac:dyDescent="0.25">
      <c r="A3">
        <f>[2]sens_100_spec_10_PSA!A3</f>
        <v>2</v>
      </c>
      <c r="B3">
        <f>[2]sens_100_spec_10_PSA!B3</f>
        <v>1</v>
      </c>
      <c r="C3" t="str">
        <f>[2]sens_100_spec_10_PSA!C3</f>
        <v>NA</v>
      </c>
      <c r="D3">
        <f>[2]sens_100_spec_10_PSA!D3</f>
        <v>1</v>
      </c>
      <c r="E3" s="1">
        <f>[2]sens_100_spec_10_PSA!E3</f>
        <v>0.15939999999999999</v>
      </c>
      <c r="F3" s="1">
        <f>[2]sens_100_spec_10_PSA!F3</f>
        <v>2.3099999999999999E-2</v>
      </c>
      <c r="G3" s="2">
        <f>[2]sens_100_spec_10_PSA!G3</f>
        <v>17.714223291111502</v>
      </c>
      <c r="H3" s="2">
        <f>[2]sens_100_spec_10_PSA!H3</f>
        <v>13.946244632269099</v>
      </c>
      <c r="I3" s="2">
        <f>[2]sens_100_spec_10_PSA!I3</f>
        <v>8.5030756028219603</v>
      </c>
      <c r="J3" s="3">
        <f>[2]sens_100_spec_10_PSA!J3</f>
        <v>172314.506860683</v>
      </c>
      <c r="K3" s="3">
        <f>[2]sens_100_spec_10_PSA!K3</f>
        <v>105797.95558785299</v>
      </c>
      <c r="L3">
        <f>[2]sens_100_spec_10_PSA!L3</f>
        <v>1</v>
      </c>
      <c r="M3">
        <f>[2]sens_100_spec_10_PSA!M3</f>
        <v>0</v>
      </c>
    </row>
    <row r="4" spans="1:13" x14ac:dyDescent="0.25">
      <c r="A4">
        <f>[2]sens_100_spec_10_PSA!A4</f>
        <v>3</v>
      </c>
      <c r="B4">
        <f>[2]sens_100_spec_10_PSA!B4</f>
        <v>1</v>
      </c>
      <c r="C4" t="str">
        <f>[2]sens_100_spec_10_PSA!C4</f>
        <v>NA</v>
      </c>
      <c r="D4">
        <f>[2]sens_100_spec_10_PSA!D4</f>
        <v>1</v>
      </c>
      <c r="E4" s="1">
        <f>[2]sens_100_spec_10_PSA!E4</f>
        <v>0.1598</v>
      </c>
      <c r="F4" s="1">
        <f>[2]sens_100_spec_10_PSA!F4</f>
        <v>2.64E-2</v>
      </c>
      <c r="G4" s="2">
        <f>[2]sens_100_spec_10_PSA!G4</f>
        <v>17.287081897803802</v>
      </c>
      <c r="H4" s="2">
        <f>[2]sens_100_spec_10_PSA!H4</f>
        <v>12.512979739982701</v>
      </c>
      <c r="I4" s="2">
        <f>[2]sens_100_spec_10_PSA!I4</f>
        <v>7.7133534104733403</v>
      </c>
      <c r="J4" s="3">
        <f>[2]sens_100_spec_10_PSA!J4</f>
        <v>185359.29863363801</v>
      </c>
      <c r="K4" s="3">
        <f>[2]sens_100_spec_10_PSA!K4</f>
        <v>114447.85611545001</v>
      </c>
      <c r="L4">
        <f>[2]sens_100_spec_10_PSA!L4</f>
        <v>1</v>
      </c>
      <c r="M4">
        <f>[2]sens_100_spec_10_PSA!M4</f>
        <v>0</v>
      </c>
    </row>
    <row r="5" spans="1:13" x14ac:dyDescent="0.25">
      <c r="A5">
        <f>[2]sens_100_spec_10_PSA!A5</f>
        <v>4</v>
      </c>
      <c r="B5">
        <f>[2]sens_100_spec_10_PSA!B5</f>
        <v>1</v>
      </c>
      <c r="C5" t="str">
        <f>[2]sens_100_spec_10_PSA!C5</f>
        <v>NA</v>
      </c>
      <c r="D5">
        <f>[2]sens_100_spec_10_PSA!D5</f>
        <v>1</v>
      </c>
      <c r="E5" s="1">
        <f>[2]sens_100_spec_10_PSA!E5</f>
        <v>0.12529999999999999</v>
      </c>
      <c r="F5" s="1">
        <f>[2]sens_100_spec_10_PSA!F5</f>
        <v>2.7300000000000001E-2</v>
      </c>
      <c r="G5" s="2">
        <f>[2]sens_100_spec_10_PSA!G5</f>
        <v>19.4351823644297</v>
      </c>
      <c r="H5" s="2">
        <f>[2]sens_100_spec_10_PSA!H5</f>
        <v>14.241338973063501</v>
      </c>
      <c r="I5" s="2">
        <f>[2]sens_100_spec_10_PSA!I5</f>
        <v>8.5441762712485207</v>
      </c>
      <c r="J5" s="3">
        <f>[2]sens_100_spec_10_PSA!J5</f>
        <v>293019.86683398101</v>
      </c>
      <c r="K5" s="3">
        <f>[2]sens_100_spec_10_PSA!K5</f>
        <v>170984.91512819499</v>
      </c>
      <c r="L5">
        <f>[2]sens_100_spec_10_PSA!L5</f>
        <v>1</v>
      </c>
      <c r="M5">
        <f>[2]sens_100_spec_10_PSA!M5</f>
        <v>0</v>
      </c>
    </row>
    <row r="6" spans="1:13" x14ac:dyDescent="0.25">
      <c r="A6">
        <f>[2]sens_100_spec_10_PSA!A6</f>
        <v>5</v>
      </c>
      <c r="B6">
        <f>[2]sens_100_spec_10_PSA!B6</f>
        <v>1</v>
      </c>
      <c r="C6" t="str">
        <f>[2]sens_100_spec_10_PSA!C6</f>
        <v>NA</v>
      </c>
      <c r="D6">
        <f>[2]sens_100_spec_10_PSA!D6</f>
        <v>1</v>
      </c>
      <c r="E6" s="1">
        <f>[2]sens_100_spec_10_PSA!E6</f>
        <v>0.13739999999999999</v>
      </c>
      <c r="F6" s="1">
        <f>[2]sens_100_spec_10_PSA!F6</f>
        <v>2.5399999999999999E-2</v>
      </c>
      <c r="G6" s="2">
        <f>[2]sens_100_spec_10_PSA!G6</f>
        <v>19.414505441188101</v>
      </c>
      <c r="H6" s="2">
        <f>[2]sens_100_spec_10_PSA!H6</f>
        <v>14.620078926156401</v>
      </c>
      <c r="I6" s="2">
        <f>[2]sens_100_spec_10_PSA!I6</f>
        <v>8.7533952799996797</v>
      </c>
      <c r="J6" s="3">
        <f>[2]sens_100_spec_10_PSA!J6</f>
        <v>264855.49972529302</v>
      </c>
      <c r="K6" s="3">
        <f>[2]sens_100_spec_10_PSA!K6</f>
        <v>154798.17643044199</v>
      </c>
      <c r="L6">
        <f>[2]sens_100_spec_10_PSA!L6</f>
        <v>1</v>
      </c>
      <c r="M6">
        <f>[2]sens_100_spec_10_PSA!M6</f>
        <v>0</v>
      </c>
    </row>
    <row r="7" spans="1:13" x14ac:dyDescent="0.25">
      <c r="A7">
        <f>[2]sens_100_spec_10_PSA!A7</f>
        <v>6</v>
      </c>
      <c r="B7">
        <f>[2]sens_100_spec_10_PSA!B7</f>
        <v>1</v>
      </c>
      <c r="C7" t="str">
        <f>[2]sens_100_spec_10_PSA!C7</f>
        <v>NA</v>
      </c>
      <c r="D7">
        <f>[2]sens_100_spec_10_PSA!D7</f>
        <v>1</v>
      </c>
      <c r="E7" s="1">
        <f>[2]sens_100_spec_10_PSA!E7</f>
        <v>0.17069999999999999</v>
      </c>
      <c r="F7" s="1">
        <f>[2]sens_100_spec_10_PSA!F7</f>
        <v>2.6800000000000001E-2</v>
      </c>
      <c r="G7" s="2">
        <f>[2]sens_100_spec_10_PSA!G7</f>
        <v>18.453988358204299</v>
      </c>
      <c r="H7" s="2">
        <f>[2]sens_100_spec_10_PSA!H7</f>
        <v>14.5421430357629</v>
      </c>
      <c r="I7" s="2">
        <f>[2]sens_100_spec_10_PSA!I7</f>
        <v>8.7510868390971197</v>
      </c>
      <c r="J7" s="3">
        <f>[2]sens_100_spec_10_PSA!J7</f>
        <v>184209.171871406</v>
      </c>
      <c r="K7" s="3">
        <f>[2]sens_100_spec_10_PSA!K7</f>
        <v>110561.062907046</v>
      </c>
      <c r="L7">
        <f>[2]sens_100_spec_10_PSA!L7</f>
        <v>1</v>
      </c>
      <c r="M7">
        <f>[2]sens_100_spec_10_PSA!M7</f>
        <v>0</v>
      </c>
    </row>
    <row r="8" spans="1:13" x14ac:dyDescent="0.25">
      <c r="A8">
        <f>[2]sens_100_spec_10_PSA!A8</f>
        <v>7</v>
      </c>
      <c r="B8">
        <f>[2]sens_100_spec_10_PSA!B8</f>
        <v>1</v>
      </c>
      <c r="C8" t="str">
        <f>[2]sens_100_spec_10_PSA!C8</f>
        <v>NA</v>
      </c>
      <c r="D8">
        <f>[2]sens_100_spec_10_PSA!D8</f>
        <v>1</v>
      </c>
      <c r="E8" s="1">
        <f>[2]sens_100_spec_10_PSA!E8</f>
        <v>0.1285</v>
      </c>
      <c r="F8" s="1">
        <f>[2]sens_100_spec_10_PSA!F8</f>
        <v>2.93E-2</v>
      </c>
      <c r="G8" s="2">
        <f>[2]sens_100_spec_10_PSA!G8</f>
        <v>19.311179442390198</v>
      </c>
      <c r="H8" s="2">
        <f>[2]sens_100_spec_10_PSA!H8</f>
        <v>14.384857343756</v>
      </c>
      <c r="I8" s="2">
        <f>[2]sens_100_spec_10_PSA!I8</f>
        <v>8.6409349851977293</v>
      </c>
      <c r="J8" s="3">
        <f>[2]sens_100_spec_10_PSA!J8</f>
        <v>192003.33719432901</v>
      </c>
      <c r="K8" s="3">
        <f>[2]sens_100_spec_10_PSA!K8</f>
        <v>114914.67152156599</v>
      </c>
      <c r="L8">
        <f>[2]sens_100_spec_10_PSA!L8</f>
        <v>1</v>
      </c>
      <c r="M8">
        <f>[2]sens_100_spec_10_PSA!M8</f>
        <v>0</v>
      </c>
    </row>
    <row r="9" spans="1:13" x14ac:dyDescent="0.25">
      <c r="A9">
        <f>[2]sens_100_spec_10_PSA!A9</f>
        <v>8</v>
      </c>
      <c r="B9">
        <f>[2]sens_100_spec_10_PSA!B9</f>
        <v>1</v>
      </c>
      <c r="C9" t="str">
        <f>[2]sens_100_spec_10_PSA!C9</f>
        <v>NA</v>
      </c>
      <c r="D9">
        <f>[2]sens_100_spec_10_PSA!D9</f>
        <v>1</v>
      </c>
      <c r="E9" s="1">
        <f>[2]sens_100_spec_10_PSA!E9</f>
        <v>0.21479999999999999</v>
      </c>
      <c r="F9" s="1">
        <f>[2]sens_100_spec_10_PSA!F9</f>
        <v>1.9E-2</v>
      </c>
      <c r="G9" s="2">
        <f>[2]sens_100_spec_10_PSA!G9</f>
        <v>17.733043164457001</v>
      </c>
      <c r="H9" s="2">
        <f>[2]sens_100_spec_10_PSA!H9</f>
        <v>12.132289312988901</v>
      </c>
      <c r="I9" s="2">
        <f>[2]sens_100_spec_10_PSA!I9</f>
        <v>7.2892824047515896</v>
      </c>
      <c r="J9" s="3">
        <f>[2]sens_100_spec_10_PSA!J9</f>
        <v>184609.05936979601</v>
      </c>
      <c r="K9" s="3">
        <f>[2]sens_100_spec_10_PSA!K9</f>
        <v>110645.110823095</v>
      </c>
      <c r="L9">
        <f>[2]sens_100_spec_10_PSA!L9</f>
        <v>1</v>
      </c>
      <c r="M9">
        <f>[2]sens_100_spec_10_PSA!M9</f>
        <v>0</v>
      </c>
    </row>
    <row r="10" spans="1:13" x14ac:dyDescent="0.25">
      <c r="A10">
        <f>[2]sens_100_spec_10_PSA!A10</f>
        <v>9</v>
      </c>
      <c r="B10">
        <f>[2]sens_100_spec_10_PSA!B10</f>
        <v>1</v>
      </c>
      <c r="C10" t="str">
        <f>[2]sens_100_spec_10_PSA!C10</f>
        <v>NA</v>
      </c>
      <c r="D10">
        <f>[2]sens_100_spec_10_PSA!D10</f>
        <v>1</v>
      </c>
      <c r="E10" s="1">
        <f>[2]sens_100_spec_10_PSA!E10</f>
        <v>9.7299999999999998E-2</v>
      </c>
      <c r="F10" s="1">
        <f>[2]sens_100_spec_10_PSA!F10</f>
        <v>2.29E-2</v>
      </c>
      <c r="G10" s="2">
        <f>[2]sens_100_spec_10_PSA!G10</f>
        <v>21.207297404138799</v>
      </c>
      <c r="H10" s="2">
        <f>[2]sens_100_spec_10_PSA!H10</f>
        <v>15.014058432077499</v>
      </c>
      <c r="I10" s="2">
        <f>[2]sens_100_spec_10_PSA!I10</f>
        <v>8.8752581297113196</v>
      </c>
      <c r="J10" s="3">
        <f>[2]sens_100_spec_10_PSA!J10</f>
        <v>252110.97093687399</v>
      </c>
      <c r="K10" s="3">
        <f>[2]sens_100_spec_10_PSA!K10</f>
        <v>145581.90791006599</v>
      </c>
      <c r="L10">
        <f>[2]sens_100_spec_10_PSA!L10</f>
        <v>1</v>
      </c>
      <c r="M10">
        <f>[2]sens_100_spec_10_PSA!M10</f>
        <v>0</v>
      </c>
    </row>
    <row r="11" spans="1:13" x14ac:dyDescent="0.25">
      <c r="A11">
        <f>[2]sens_100_spec_10_PSA!A11</f>
        <v>10</v>
      </c>
      <c r="B11">
        <f>[2]sens_100_spec_10_PSA!B11</f>
        <v>1</v>
      </c>
      <c r="C11" t="str">
        <f>[2]sens_100_spec_10_PSA!C11</f>
        <v>NA</v>
      </c>
      <c r="D11">
        <f>[2]sens_100_spec_10_PSA!D11</f>
        <v>1</v>
      </c>
      <c r="E11" s="1">
        <f>[2]sens_100_spec_10_PSA!E11</f>
        <v>0.24249999999999999</v>
      </c>
      <c r="F11" s="1">
        <f>[2]sens_100_spec_10_PSA!F11</f>
        <v>2.58E-2</v>
      </c>
      <c r="G11" s="2">
        <f>[2]sens_100_spec_10_PSA!G11</f>
        <v>17.2955357274768</v>
      </c>
      <c r="H11" s="2">
        <f>[2]sens_100_spec_10_PSA!H11</f>
        <v>11.572496356319</v>
      </c>
      <c r="I11" s="2">
        <f>[2]sens_100_spec_10_PSA!I11</f>
        <v>6.9409630898077301</v>
      </c>
      <c r="J11" s="3">
        <f>[2]sens_100_spec_10_PSA!J11</f>
        <v>163962.59436040599</v>
      </c>
      <c r="K11" s="3">
        <f>[2]sens_100_spec_10_PSA!K11</f>
        <v>98839.637707992006</v>
      </c>
      <c r="L11">
        <f>[2]sens_100_spec_10_PSA!L11</f>
        <v>1</v>
      </c>
      <c r="M11">
        <f>[2]sens_100_spec_10_PSA!M11</f>
        <v>0</v>
      </c>
    </row>
    <row r="12" spans="1:13" x14ac:dyDescent="0.25">
      <c r="A12">
        <f>[2]sens_100_spec_10_PSA!A12</f>
        <v>11</v>
      </c>
      <c r="B12">
        <f>[2]sens_100_spec_10_PSA!B12</f>
        <v>1</v>
      </c>
      <c r="C12" t="str">
        <f>[2]sens_100_spec_10_PSA!C12</f>
        <v>NA</v>
      </c>
      <c r="D12">
        <f>[2]sens_100_spec_10_PSA!D12</f>
        <v>1</v>
      </c>
      <c r="E12" s="1">
        <f>[2]sens_100_spec_10_PSA!E12</f>
        <v>0.1007</v>
      </c>
      <c r="F12" s="1">
        <f>[2]sens_100_spec_10_PSA!F12</f>
        <v>3.1300000000000001E-2</v>
      </c>
      <c r="G12" s="2">
        <f>[2]sens_100_spec_10_PSA!G12</f>
        <v>19.7347345200847</v>
      </c>
      <c r="H12" s="2">
        <f>[2]sens_100_spec_10_PSA!H12</f>
        <v>14.7796754754629</v>
      </c>
      <c r="I12" s="2">
        <f>[2]sens_100_spec_10_PSA!I12</f>
        <v>8.8701496186625803</v>
      </c>
      <c r="J12" s="3">
        <f>[2]sens_100_spec_10_PSA!J12</f>
        <v>226989.70116986599</v>
      </c>
      <c r="K12" s="3">
        <f>[2]sens_100_spec_10_PSA!K12</f>
        <v>134352.16552770199</v>
      </c>
      <c r="L12">
        <f>[2]sens_100_spec_10_PSA!L12</f>
        <v>1</v>
      </c>
      <c r="M12">
        <f>[2]sens_100_spec_10_PSA!M12</f>
        <v>0</v>
      </c>
    </row>
    <row r="13" spans="1:13" x14ac:dyDescent="0.25">
      <c r="A13">
        <f>[2]sens_100_spec_10_PSA!A13</f>
        <v>12</v>
      </c>
      <c r="B13">
        <f>[2]sens_100_spec_10_PSA!B13</f>
        <v>1</v>
      </c>
      <c r="C13" t="str">
        <f>[2]sens_100_spec_10_PSA!C13</f>
        <v>NA</v>
      </c>
      <c r="D13">
        <f>[2]sens_100_spec_10_PSA!D13</f>
        <v>1</v>
      </c>
      <c r="E13" s="1">
        <f>[2]sens_100_spec_10_PSA!E13</f>
        <v>0.19020000000000001</v>
      </c>
      <c r="F13" s="1">
        <f>[2]sens_100_spec_10_PSA!F13</f>
        <v>2.2599999999999999E-2</v>
      </c>
      <c r="G13" s="2">
        <f>[2]sens_100_spec_10_PSA!G13</f>
        <v>17.554819629938201</v>
      </c>
      <c r="H13" s="2">
        <f>[2]sens_100_spec_10_PSA!H13</f>
        <v>11.0052989163609</v>
      </c>
      <c r="I13" s="2">
        <f>[2]sens_100_spec_10_PSA!I13</f>
        <v>6.6762719317161601</v>
      </c>
      <c r="J13" s="3">
        <f>[2]sens_100_spec_10_PSA!J13</f>
        <v>194378.59355805599</v>
      </c>
      <c r="K13" s="3">
        <f>[2]sens_100_spec_10_PSA!K13</f>
        <v>117412.253555594</v>
      </c>
      <c r="L13">
        <f>[2]sens_100_spec_10_PSA!L13</f>
        <v>1</v>
      </c>
      <c r="M13">
        <f>[2]sens_100_spec_10_PSA!M13</f>
        <v>0</v>
      </c>
    </row>
    <row r="14" spans="1:13" x14ac:dyDescent="0.25">
      <c r="A14">
        <f>[2]sens_100_spec_10_PSA!A14</f>
        <v>13</v>
      </c>
      <c r="B14">
        <f>[2]sens_100_spec_10_PSA!B14</f>
        <v>1</v>
      </c>
      <c r="C14" t="str">
        <f>[2]sens_100_spec_10_PSA!C14</f>
        <v>NA</v>
      </c>
      <c r="D14">
        <f>[2]sens_100_spec_10_PSA!D14</f>
        <v>1</v>
      </c>
      <c r="E14" s="1">
        <f>[2]sens_100_spec_10_PSA!E14</f>
        <v>0.1308</v>
      </c>
      <c r="F14" s="1">
        <f>[2]sens_100_spec_10_PSA!F14</f>
        <v>2.7400000000000001E-2</v>
      </c>
      <c r="G14" s="2">
        <f>[2]sens_100_spec_10_PSA!G14</f>
        <v>20.653309717495699</v>
      </c>
      <c r="H14" s="2">
        <f>[2]sens_100_spec_10_PSA!H14</f>
        <v>14.7784176823289</v>
      </c>
      <c r="I14" s="2">
        <f>[2]sens_100_spec_10_PSA!I14</f>
        <v>8.7127921036539302</v>
      </c>
      <c r="J14" s="3">
        <f>[2]sens_100_spec_10_PSA!J14</f>
        <v>217210.05917514599</v>
      </c>
      <c r="K14" s="3">
        <f>[2]sens_100_spec_10_PSA!K14</f>
        <v>125963.140969389</v>
      </c>
      <c r="L14">
        <f>[2]sens_100_spec_10_PSA!L14</f>
        <v>1</v>
      </c>
      <c r="M14">
        <f>[2]sens_100_spec_10_PSA!M14</f>
        <v>0</v>
      </c>
    </row>
    <row r="15" spans="1:13" x14ac:dyDescent="0.25">
      <c r="A15">
        <f>[2]sens_100_spec_10_PSA!A15</f>
        <v>14</v>
      </c>
      <c r="B15">
        <f>[2]sens_100_spec_10_PSA!B15</f>
        <v>1</v>
      </c>
      <c r="C15" t="str">
        <f>[2]sens_100_spec_10_PSA!C15</f>
        <v>NA</v>
      </c>
      <c r="D15">
        <f>[2]sens_100_spec_10_PSA!D15</f>
        <v>1</v>
      </c>
      <c r="E15" s="1">
        <f>[2]sens_100_spec_10_PSA!E15</f>
        <v>0.2757</v>
      </c>
      <c r="F15" s="1">
        <f>[2]sens_100_spec_10_PSA!F15</f>
        <v>2.4500000000000001E-2</v>
      </c>
      <c r="G15" s="2">
        <f>[2]sens_100_spec_10_PSA!G15</f>
        <v>15.311270134780999</v>
      </c>
      <c r="H15" s="2">
        <f>[2]sens_100_spec_10_PSA!H15</f>
        <v>10.853727155791301</v>
      </c>
      <c r="I15" s="2">
        <f>[2]sens_100_spec_10_PSA!I15</f>
        <v>6.6930528930683204</v>
      </c>
      <c r="J15" s="3">
        <f>[2]sens_100_spec_10_PSA!J15</f>
        <v>137994.33542632399</v>
      </c>
      <c r="K15" s="3">
        <f>[2]sens_100_spec_10_PSA!K15</f>
        <v>86652.835241822206</v>
      </c>
      <c r="L15">
        <f>[2]sens_100_spec_10_PSA!L15</f>
        <v>1</v>
      </c>
      <c r="M15">
        <f>[2]sens_100_spec_10_PSA!M15</f>
        <v>0</v>
      </c>
    </row>
    <row r="16" spans="1:13" x14ac:dyDescent="0.25">
      <c r="A16">
        <f>[2]sens_100_spec_10_PSA!A16</f>
        <v>15</v>
      </c>
      <c r="B16">
        <f>[2]sens_100_spec_10_PSA!B16</f>
        <v>1</v>
      </c>
      <c r="C16" t="str">
        <f>[2]sens_100_spec_10_PSA!C16</f>
        <v>NA</v>
      </c>
      <c r="D16">
        <f>[2]sens_100_spec_10_PSA!D16</f>
        <v>1</v>
      </c>
      <c r="E16" s="1">
        <f>[2]sens_100_spec_10_PSA!E16</f>
        <v>0.10780000000000001</v>
      </c>
      <c r="F16" s="1">
        <f>[2]sens_100_spec_10_PSA!F16</f>
        <v>2.81E-2</v>
      </c>
      <c r="G16" s="2">
        <f>[2]sens_100_spec_10_PSA!G16</f>
        <v>19.098441216646201</v>
      </c>
      <c r="H16" s="2">
        <f>[2]sens_100_spec_10_PSA!H16</f>
        <v>12.931552829232601</v>
      </c>
      <c r="I16" s="2">
        <f>[2]sens_100_spec_10_PSA!I16</f>
        <v>7.8330813744268601</v>
      </c>
      <c r="J16" s="3">
        <f>[2]sens_100_spec_10_PSA!J16</f>
        <v>201186.31811588499</v>
      </c>
      <c r="K16" s="3">
        <f>[2]sens_100_spec_10_PSA!K16</f>
        <v>121369.996045967</v>
      </c>
      <c r="L16">
        <f>[2]sens_100_spec_10_PSA!L16</f>
        <v>1</v>
      </c>
      <c r="M16">
        <f>[2]sens_100_spec_10_PSA!M16</f>
        <v>0</v>
      </c>
    </row>
    <row r="17" spans="1:13" x14ac:dyDescent="0.25">
      <c r="A17">
        <f>[2]sens_100_spec_10_PSA!A17</f>
        <v>16</v>
      </c>
      <c r="B17">
        <f>[2]sens_100_spec_10_PSA!B17</f>
        <v>1</v>
      </c>
      <c r="C17" t="str">
        <f>[2]sens_100_spec_10_PSA!C17</f>
        <v>NA</v>
      </c>
      <c r="D17">
        <f>[2]sens_100_spec_10_PSA!D17</f>
        <v>1</v>
      </c>
      <c r="E17" s="1">
        <f>[2]sens_100_spec_10_PSA!E17</f>
        <v>0.1086</v>
      </c>
      <c r="F17" s="1">
        <f>[2]sens_100_spec_10_PSA!F17</f>
        <v>2.7799999999999998E-2</v>
      </c>
      <c r="G17" s="2">
        <f>[2]sens_100_spec_10_PSA!G17</f>
        <v>19.6535019200291</v>
      </c>
      <c r="H17" s="2">
        <f>[2]sens_100_spec_10_PSA!H17</f>
        <v>14.561350445682899</v>
      </c>
      <c r="I17" s="2">
        <f>[2]sens_100_spec_10_PSA!I17</f>
        <v>8.7584538521275093</v>
      </c>
      <c r="J17" s="3">
        <f>[2]sens_100_spec_10_PSA!J17</f>
        <v>193142.54449116101</v>
      </c>
      <c r="K17" s="3">
        <f>[2]sens_100_spec_10_PSA!K17</f>
        <v>115832.26142874701</v>
      </c>
      <c r="L17">
        <f>[2]sens_100_spec_10_PSA!L17</f>
        <v>1</v>
      </c>
      <c r="M17">
        <f>[2]sens_100_spec_10_PSA!M17</f>
        <v>0</v>
      </c>
    </row>
    <row r="18" spans="1:13" x14ac:dyDescent="0.25">
      <c r="A18">
        <f>[2]sens_100_spec_10_PSA!A18</f>
        <v>17</v>
      </c>
      <c r="B18">
        <f>[2]sens_100_spec_10_PSA!B18</f>
        <v>1</v>
      </c>
      <c r="C18" t="str">
        <f>[2]sens_100_spec_10_PSA!C18</f>
        <v>NA</v>
      </c>
      <c r="D18">
        <f>[2]sens_100_spec_10_PSA!D18</f>
        <v>1</v>
      </c>
      <c r="E18" s="1">
        <f>[2]sens_100_spec_10_PSA!E18</f>
        <v>0.1628</v>
      </c>
      <c r="F18" s="1">
        <f>[2]sens_100_spec_10_PSA!F18</f>
        <v>2.4500000000000001E-2</v>
      </c>
      <c r="G18" s="2">
        <f>[2]sens_100_spec_10_PSA!G18</f>
        <v>19.457926038306599</v>
      </c>
      <c r="H18" s="2">
        <f>[2]sens_100_spec_10_PSA!H18</f>
        <v>12.794225829515799</v>
      </c>
      <c r="I18" s="2">
        <f>[2]sens_100_spec_10_PSA!I18</f>
        <v>7.5854791424451697</v>
      </c>
      <c r="J18" s="3">
        <f>[2]sens_100_spec_10_PSA!J18</f>
        <v>188399.34731925401</v>
      </c>
      <c r="K18" s="3">
        <f>[2]sens_100_spec_10_PSA!K18</f>
        <v>111278.669105062</v>
      </c>
      <c r="L18">
        <f>[2]sens_100_spec_10_PSA!L18</f>
        <v>1</v>
      </c>
      <c r="M18">
        <f>[2]sens_100_spec_10_PSA!M18</f>
        <v>0</v>
      </c>
    </row>
    <row r="19" spans="1:13" x14ac:dyDescent="0.25">
      <c r="A19">
        <f>[2]sens_100_spec_10_PSA!A19</f>
        <v>18</v>
      </c>
      <c r="B19">
        <f>[2]sens_100_spec_10_PSA!B19</f>
        <v>1</v>
      </c>
      <c r="C19" t="str">
        <f>[2]sens_100_spec_10_PSA!C19</f>
        <v>NA</v>
      </c>
      <c r="D19">
        <f>[2]sens_100_spec_10_PSA!D19</f>
        <v>1</v>
      </c>
      <c r="E19" s="1">
        <f>[2]sens_100_spec_10_PSA!E19</f>
        <v>0.13769999999999999</v>
      </c>
      <c r="F19" s="1">
        <f>[2]sens_100_spec_10_PSA!F19</f>
        <v>2.9499999999999998E-2</v>
      </c>
      <c r="G19" s="2">
        <f>[2]sens_100_spec_10_PSA!G19</f>
        <v>18.388964355810199</v>
      </c>
      <c r="H19" s="2">
        <f>[2]sens_100_spec_10_PSA!H19</f>
        <v>13.5306380700488</v>
      </c>
      <c r="I19" s="2">
        <f>[2]sens_100_spec_10_PSA!I19</f>
        <v>8.1983679551063293</v>
      </c>
      <c r="J19" s="3">
        <f>[2]sens_100_spec_10_PSA!J19</f>
        <v>182569.94218698301</v>
      </c>
      <c r="K19" s="3">
        <f>[2]sens_100_spec_10_PSA!K19</f>
        <v>110852.18413244899</v>
      </c>
      <c r="L19">
        <f>[2]sens_100_spec_10_PSA!L19</f>
        <v>1</v>
      </c>
      <c r="M19">
        <f>[2]sens_100_spec_10_PSA!M19</f>
        <v>0</v>
      </c>
    </row>
    <row r="20" spans="1:13" x14ac:dyDescent="0.25">
      <c r="A20">
        <f>[2]sens_100_spec_10_PSA!A20</f>
        <v>19</v>
      </c>
      <c r="B20">
        <f>[2]sens_100_spec_10_PSA!B20</f>
        <v>1</v>
      </c>
      <c r="C20" t="str">
        <f>[2]sens_100_spec_10_PSA!C20</f>
        <v>NA</v>
      </c>
      <c r="D20">
        <f>[2]sens_100_spec_10_PSA!D20</f>
        <v>1</v>
      </c>
      <c r="E20" s="1">
        <f>[2]sens_100_spec_10_PSA!E20</f>
        <v>0.13550000000000001</v>
      </c>
      <c r="F20" s="1">
        <f>[2]sens_100_spec_10_PSA!F20</f>
        <v>2.5600000000000001E-2</v>
      </c>
      <c r="G20" s="2">
        <f>[2]sens_100_spec_10_PSA!G20</f>
        <v>19.162604770372901</v>
      </c>
      <c r="H20" s="2">
        <f>[2]sens_100_spec_10_PSA!H20</f>
        <v>14.697973588983301</v>
      </c>
      <c r="I20" s="2">
        <f>[2]sens_100_spec_10_PSA!I20</f>
        <v>8.8292343251725107</v>
      </c>
      <c r="J20" s="3">
        <f>[2]sens_100_spec_10_PSA!J20</f>
        <v>197528.38040465699</v>
      </c>
      <c r="K20" s="3">
        <f>[2]sens_100_spec_10_PSA!K20</f>
        <v>118219.601616418</v>
      </c>
      <c r="L20">
        <f>[2]sens_100_spec_10_PSA!L20</f>
        <v>1</v>
      </c>
      <c r="M20">
        <f>[2]sens_100_spec_10_PSA!M20</f>
        <v>0</v>
      </c>
    </row>
    <row r="21" spans="1:13" x14ac:dyDescent="0.25">
      <c r="A21">
        <f>[2]sens_100_spec_10_PSA!A21</f>
        <v>20</v>
      </c>
      <c r="B21">
        <f>[2]sens_100_spec_10_PSA!B21</f>
        <v>1</v>
      </c>
      <c r="C21" t="str">
        <f>[2]sens_100_spec_10_PSA!C21</f>
        <v>NA</v>
      </c>
      <c r="D21">
        <f>[2]sens_100_spec_10_PSA!D21</f>
        <v>1</v>
      </c>
      <c r="E21" s="1">
        <f>[2]sens_100_spec_10_PSA!E21</f>
        <v>0.2031</v>
      </c>
      <c r="F21" s="1">
        <f>[2]sens_100_spec_10_PSA!F21</f>
        <v>2.92E-2</v>
      </c>
      <c r="G21" s="2">
        <f>[2]sens_100_spec_10_PSA!G21</f>
        <v>18.070901310557801</v>
      </c>
      <c r="H21" s="2">
        <f>[2]sens_100_spec_10_PSA!H21</f>
        <v>12.102720793775401</v>
      </c>
      <c r="I21" s="2">
        <f>[2]sens_100_spec_10_PSA!I21</f>
        <v>7.2576047067592198</v>
      </c>
      <c r="J21" s="3">
        <f>[2]sens_100_spec_10_PSA!J21</f>
        <v>171815.38340480201</v>
      </c>
      <c r="K21" s="3">
        <f>[2]sens_100_spec_10_PSA!K21</f>
        <v>103232.105953166</v>
      </c>
      <c r="L21">
        <f>[2]sens_100_spec_10_PSA!L21</f>
        <v>1</v>
      </c>
      <c r="M21">
        <f>[2]sens_100_spec_10_PSA!M21</f>
        <v>0</v>
      </c>
    </row>
    <row r="22" spans="1:13" x14ac:dyDescent="0.25">
      <c r="A22">
        <f>[2]sens_100_spec_10_PSA!A22</f>
        <v>21</v>
      </c>
      <c r="B22">
        <f>[2]sens_100_spec_10_PSA!B22</f>
        <v>1</v>
      </c>
      <c r="C22" t="str">
        <f>[2]sens_100_spec_10_PSA!C22</f>
        <v>NA</v>
      </c>
      <c r="D22">
        <f>[2]sens_100_spec_10_PSA!D22</f>
        <v>1</v>
      </c>
      <c r="E22" s="1">
        <f>[2]sens_100_spec_10_PSA!E22</f>
        <v>0.18709999999999999</v>
      </c>
      <c r="F22" s="1">
        <f>[2]sens_100_spec_10_PSA!F22</f>
        <v>2.46E-2</v>
      </c>
      <c r="G22" s="2">
        <f>[2]sens_100_spec_10_PSA!G22</f>
        <v>17.345560848786899</v>
      </c>
      <c r="H22" s="2">
        <f>[2]sens_100_spec_10_PSA!H22</f>
        <v>12.6283255954341</v>
      </c>
      <c r="I22" s="2">
        <f>[2]sens_100_spec_10_PSA!I22</f>
        <v>7.6582573849514297</v>
      </c>
      <c r="J22" s="3">
        <f>[2]sens_100_spec_10_PSA!J22</f>
        <v>206076.265407753</v>
      </c>
      <c r="K22" s="3">
        <f>[2]sens_100_spec_10_PSA!K22</f>
        <v>123897.513490927</v>
      </c>
      <c r="L22">
        <f>[2]sens_100_spec_10_PSA!L22</f>
        <v>1</v>
      </c>
      <c r="M22">
        <f>[2]sens_100_spec_10_PSA!M22</f>
        <v>0</v>
      </c>
    </row>
    <row r="23" spans="1:13" x14ac:dyDescent="0.25">
      <c r="A23">
        <f>[2]sens_100_spec_10_PSA!A23</f>
        <v>22</v>
      </c>
      <c r="B23">
        <f>[2]sens_100_spec_10_PSA!B23</f>
        <v>1</v>
      </c>
      <c r="C23" t="str">
        <f>[2]sens_100_spec_10_PSA!C23</f>
        <v>NA</v>
      </c>
      <c r="D23">
        <f>[2]sens_100_spec_10_PSA!D23</f>
        <v>1</v>
      </c>
      <c r="E23" s="1">
        <f>[2]sens_100_spec_10_PSA!E23</f>
        <v>0.23849999999999999</v>
      </c>
      <c r="F23" s="1">
        <f>[2]sens_100_spec_10_PSA!F23</f>
        <v>1.9400000000000001E-2</v>
      </c>
      <c r="G23" s="2">
        <f>[2]sens_100_spec_10_PSA!G23</f>
        <v>16.640132874146701</v>
      </c>
      <c r="H23" s="2">
        <f>[2]sens_100_spec_10_PSA!H23</f>
        <v>12.830019808772899</v>
      </c>
      <c r="I23" s="2">
        <f>[2]sens_100_spec_10_PSA!I23</f>
        <v>7.7823406327587499</v>
      </c>
      <c r="J23" s="3">
        <f>[2]sens_100_spec_10_PSA!J23</f>
        <v>212708.93963383799</v>
      </c>
      <c r="K23" s="3">
        <f>[2]sens_100_spec_10_PSA!K23</f>
        <v>127767.640543919</v>
      </c>
      <c r="L23">
        <f>[2]sens_100_spec_10_PSA!L23</f>
        <v>1</v>
      </c>
      <c r="M23">
        <f>[2]sens_100_spec_10_PSA!M23</f>
        <v>0</v>
      </c>
    </row>
    <row r="24" spans="1:13" x14ac:dyDescent="0.25">
      <c r="A24">
        <f>[2]sens_100_spec_10_PSA!A24</f>
        <v>23</v>
      </c>
      <c r="B24">
        <f>[2]sens_100_spec_10_PSA!B24</f>
        <v>1</v>
      </c>
      <c r="C24" t="str">
        <f>[2]sens_100_spec_10_PSA!C24</f>
        <v>NA</v>
      </c>
      <c r="D24">
        <f>[2]sens_100_spec_10_PSA!D24</f>
        <v>1</v>
      </c>
      <c r="E24" s="1">
        <f>[2]sens_100_spec_10_PSA!E24</f>
        <v>0.20019999999999999</v>
      </c>
      <c r="F24" s="1">
        <f>[2]sens_100_spec_10_PSA!F24</f>
        <v>2.1499999999999998E-2</v>
      </c>
      <c r="G24" s="2">
        <f>[2]sens_100_spec_10_PSA!G24</f>
        <v>17.438724825375001</v>
      </c>
      <c r="H24" s="2">
        <f>[2]sens_100_spec_10_PSA!H24</f>
        <v>12.375133814770001</v>
      </c>
      <c r="I24" s="2">
        <f>[2]sens_100_spec_10_PSA!I24</f>
        <v>7.4769533926870304</v>
      </c>
      <c r="J24" s="3">
        <f>[2]sens_100_spec_10_PSA!J24</f>
        <v>191798.20968897399</v>
      </c>
      <c r="K24" s="3">
        <f>[2]sens_100_spec_10_PSA!K24</f>
        <v>115295.699653068</v>
      </c>
      <c r="L24">
        <f>[2]sens_100_spec_10_PSA!L24</f>
        <v>1</v>
      </c>
      <c r="M24">
        <f>[2]sens_100_spec_10_PSA!M24</f>
        <v>0</v>
      </c>
    </row>
    <row r="25" spans="1:13" x14ac:dyDescent="0.25">
      <c r="A25">
        <f>[2]sens_100_spec_10_PSA!A25</f>
        <v>24</v>
      </c>
      <c r="B25">
        <f>[2]sens_100_spec_10_PSA!B25</f>
        <v>1</v>
      </c>
      <c r="C25" t="str">
        <f>[2]sens_100_spec_10_PSA!C25</f>
        <v>NA</v>
      </c>
      <c r="D25">
        <f>[2]sens_100_spec_10_PSA!D25</f>
        <v>1</v>
      </c>
      <c r="E25" s="1">
        <f>[2]sens_100_spec_10_PSA!E25</f>
        <v>0.16789999999999999</v>
      </c>
      <c r="F25" s="1">
        <f>[2]sens_100_spec_10_PSA!F25</f>
        <v>2.3400000000000001E-2</v>
      </c>
      <c r="G25" s="2">
        <f>[2]sens_100_spec_10_PSA!G25</f>
        <v>17.9964943695961</v>
      </c>
      <c r="H25" s="2">
        <f>[2]sens_100_spec_10_PSA!H25</f>
        <v>12.154892364121901</v>
      </c>
      <c r="I25" s="2">
        <f>[2]sens_100_spec_10_PSA!I25</f>
        <v>7.3763508409798098</v>
      </c>
      <c r="J25" s="3">
        <f>[2]sens_100_spec_10_PSA!J25</f>
        <v>255799.93936851999</v>
      </c>
      <c r="K25" s="3">
        <f>[2]sens_100_spec_10_PSA!K25</f>
        <v>152290.59120916901</v>
      </c>
      <c r="L25">
        <f>[2]sens_100_spec_10_PSA!L25</f>
        <v>1</v>
      </c>
      <c r="M25">
        <f>[2]sens_100_spec_10_PSA!M25</f>
        <v>0</v>
      </c>
    </row>
    <row r="26" spans="1:13" x14ac:dyDescent="0.25">
      <c r="A26">
        <f>[2]sens_100_spec_10_PSA!A26</f>
        <v>25</v>
      </c>
      <c r="B26">
        <f>[2]sens_100_spec_10_PSA!B26</f>
        <v>1</v>
      </c>
      <c r="C26" t="str">
        <f>[2]sens_100_spec_10_PSA!C26</f>
        <v>NA</v>
      </c>
      <c r="D26">
        <f>[2]sens_100_spec_10_PSA!D26</f>
        <v>1</v>
      </c>
      <c r="E26" s="1">
        <f>[2]sens_100_spec_10_PSA!E26</f>
        <v>0.1318</v>
      </c>
      <c r="F26" s="1">
        <f>[2]sens_100_spec_10_PSA!F26</f>
        <v>2.2599999999999999E-2</v>
      </c>
      <c r="G26" s="2">
        <f>[2]sens_100_spec_10_PSA!G26</f>
        <v>19.681395380177701</v>
      </c>
      <c r="H26" s="2">
        <f>[2]sens_100_spec_10_PSA!H26</f>
        <v>15.7705835321701</v>
      </c>
      <c r="I26" s="2">
        <f>[2]sens_100_spec_10_PSA!I26</f>
        <v>9.4351166363800498</v>
      </c>
      <c r="J26" s="3">
        <f>[2]sens_100_spec_10_PSA!J26</f>
        <v>235004.81352252301</v>
      </c>
      <c r="K26" s="3">
        <f>[2]sens_100_spec_10_PSA!K26</f>
        <v>138436.25904889801</v>
      </c>
      <c r="L26">
        <f>[2]sens_100_spec_10_PSA!L26</f>
        <v>1</v>
      </c>
      <c r="M26">
        <f>[2]sens_100_spec_10_PSA!M26</f>
        <v>0</v>
      </c>
    </row>
    <row r="27" spans="1:13" x14ac:dyDescent="0.25">
      <c r="A27">
        <f>[2]sens_100_spec_10_PSA!A27</f>
        <v>26</v>
      </c>
      <c r="B27">
        <f>[2]sens_100_spec_10_PSA!B27</f>
        <v>1</v>
      </c>
      <c r="C27" t="str">
        <f>[2]sens_100_spec_10_PSA!C27</f>
        <v>NA</v>
      </c>
      <c r="D27">
        <f>[2]sens_100_spec_10_PSA!D27</f>
        <v>1</v>
      </c>
      <c r="E27" s="1">
        <f>[2]sens_100_spec_10_PSA!E27</f>
        <v>9.2499999999999999E-2</v>
      </c>
      <c r="F27" s="1">
        <f>[2]sens_100_spec_10_PSA!F27</f>
        <v>3.1E-2</v>
      </c>
      <c r="G27" s="2">
        <f>[2]sens_100_spec_10_PSA!G27</f>
        <v>20.274864292459601</v>
      </c>
      <c r="H27" s="2">
        <f>[2]sens_100_spec_10_PSA!H27</f>
        <v>14.5791040864683</v>
      </c>
      <c r="I27" s="2">
        <f>[2]sens_100_spec_10_PSA!I27</f>
        <v>8.7190333809987894</v>
      </c>
      <c r="J27" s="3">
        <f>[2]sens_100_spec_10_PSA!J27</f>
        <v>256530.00870248201</v>
      </c>
      <c r="K27" s="3">
        <f>[2]sens_100_spec_10_PSA!K27</f>
        <v>150167.388001769</v>
      </c>
      <c r="L27">
        <f>[2]sens_100_spec_10_PSA!L27</f>
        <v>1</v>
      </c>
      <c r="M27">
        <f>[2]sens_100_spec_10_PSA!M27</f>
        <v>0</v>
      </c>
    </row>
    <row r="28" spans="1:13" x14ac:dyDescent="0.25">
      <c r="A28">
        <f>[2]sens_100_spec_10_PSA!A28</f>
        <v>27</v>
      </c>
      <c r="B28">
        <f>[2]sens_100_spec_10_PSA!B28</f>
        <v>1</v>
      </c>
      <c r="C28" t="str">
        <f>[2]sens_100_spec_10_PSA!C28</f>
        <v>NA</v>
      </c>
      <c r="D28">
        <f>[2]sens_100_spec_10_PSA!D28</f>
        <v>1</v>
      </c>
      <c r="E28" s="1">
        <f>[2]sens_100_spec_10_PSA!E28</f>
        <v>0.13109999999999999</v>
      </c>
      <c r="F28" s="1">
        <f>[2]sens_100_spec_10_PSA!F28</f>
        <v>0.03</v>
      </c>
      <c r="G28" s="2">
        <f>[2]sens_100_spec_10_PSA!G28</f>
        <v>18.717449916788102</v>
      </c>
      <c r="H28" s="2">
        <f>[2]sens_100_spec_10_PSA!H28</f>
        <v>14.773915804297401</v>
      </c>
      <c r="I28" s="2">
        <f>[2]sens_100_spec_10_PSA!I28</f>
        <v>8.9545027088740206</v>
      </c>
      <c r="J28" s="3">
        <f>[2]sens_100_spec_10_PSA!J28</f>
        <v>141709.732784436</v>
      </c>
      <c r="K28" s="3">
        <f>[2]sens_100_spec_10_PSA!K28</f>
        <v>87484.977713879096</v>
      </c>
      <c r="L28">
        <f>[2]sens_100_spec_10_PSA!L28</f>
        <v>1</v>
      </c>
      <c r="M28">
        <f>[2]sens_100_spec_10_PSA!M28</f>
        <v>0</v>
      </c>
    </row>
    <row r="29" spans="1:13" x14ac:dyDescent="0.25">
      <c r="A29">
        <f>[2]sens_100_spec_10_PSA!A29</f>
        <v>28</v>
      </c>
      <c r="B29">
        <f>[2]sens_100_spec_10_PSA!B29</f>
        <v>1</v>
      </c>
      <c r="C29" t="str">
        <f>[2]sens_100_spec_10_PSA!C29</f>
        <v>NA</v>
      </c>
      <c r="D29">
        <f>[2]sens_100_spec_10_PSA!D29</f>
        <v>1</v>
      </c>
      <c r="E29" s="1">
        <f>[2]sens_100_spec_10_PSA!E29</f>
        <v>0.1196</v>
      </c>
      <c r="F29" s="1">
        <f>[2]sens_100_spec_10_PSA!F29</f>
        <v>2.5100000000000001E-2</v>
      </c>
      <c r="G29" s="2">
        <f>[2]sens_100_spec_10_PSA!G29</f>
        <v>19.569197193472998</v>
      </c>
      <c r="H29" s="2">
        <f>[2]sens_100_spec_10_PSA!H29</f>
        <v>13.5819774897278</v>
      </c>
      <c r="I29" s="2">
        <f>[2]sens_100_spec_10_PSA!I29</f>
        <v>8.1496124262087299</v>
      </c>
      <c r="J29" s="3">
        <f>[2]sens_100_spec_10_PSA!J29</f>
        <v>199702.60942039499</v>
      </c>
      <c r="K29" s="3">
        <f>[2]sens_100_spec_10_PSA!K29</f>
        <v>119060.252759788</v>
      </c>
      <c r="L29">
        <f>[2]sens_100_spec_10_PSA!L29</f>
        <v>1</v>
      </c>
      <c r="M29">
        <f>[2]sens_100_spec_10_PSA!M29</f>
        <v>0</v>
      </c>
    </row>
    <row r="30" spans="1:13" x14ac:dyDescent="0.25">
      <c r="A30">
        <f>[2]sens_100_spec_10_PSA!A30</f>
        <v>29</v>
      </c>
      <c r="B30">
        <f>[2]sens_100_spec_10_PSA!B30</f>
        <v>1</v>
      </c>
      <c r="C30" t="str">
        <f>[2]sens_100_spec_10_PSA!C30</f>
        <v>NA</v>
      </c>
      <c r="D30">
        <f>[2]sens_100_spec_10_PSA!D30</f>
        <v>1</v>
      </c>
      <c r="E30" s="1">
        <f>[2]sens_100_spec_10_PSA!E30</f>
        <v>0.19600000000000001</v>
      </c>
      <c r="F30" s="1">
        <f>[2]sens_100_spec_10_PSA!F30</f>
        <v>2.4500000000000001E-2</v>
      </c>
      <c r="G30" s="2">
        <f>[2]sens_100_spec_10_PSA!G30</f>
        <v>18.587056728148301</v>
      </c>
      <c r="H30" s="2">
        <f>[2]sens_100_spec_10_PSA!H30</f>
        <v>10.966066667846301</v>
      </c>
      <c r="I30" s="2">
        <f>[2]sens_100_spec_10_PSA!I30</f>
        <v>6.5239554862304301</v>
      </c>
      <c r="J30" s="3">
        <f>[2]sens_100_spec_10_PSA!J30</f>
        <v>172976.53680842801</v>
      </c>
      <c r="K30" s="3">
        <f>[2]sens_100_spec_10_PSA!K30</f>
        <v>102909.429320152</v>
      </c>
      <c r="L30">
        <f>[2]sens_100_spec_10_PSA!L30</f>
        <v>1</v>
      </c>
      <c r="M30">
        <f>[2]sens_100_spec_10_PSA!M30</f>
        <v>0</v>
      </c>
    </row>
    <row r="31" spans="1:13" x14ac:dyDescent="0.25">
      <c r="A31">
        <f>[2]sens_100_spec_10_PSA!A31</f>
        <v>30</v>
      </c>
      <c r="B31">
        <f>[2]sens_100_spec_10_PSA!B31</f>
        <v>1</v>
      </c>
      <c r="C31" t="str">
        <f>[2]sens_100_spec_10_PSA!C31</f>
        <v>NA</v>
      </c>
      <c r="D31">
        <f>[2]sens_100_spec_10_PSA!D31</f>
        <v>1</v>
      </c>
      <c r="E31" s="1">
        <f>[2]sens_100_spec_10_PSA!E31</f>
        <v>0.14910000000000001</v>
      </c>
      <c r="F31" s="1">
        <f>[2]sens_100_spec_10_PSA!F31</f>
        <v>2.2700000000000001E-2</v>
      </c>
      <c r="G31" s="2">
        <f>[2]sens_100_spec_10_PSA!G31</f>
        <v>18.481398007894299</v>
      </c>
      <c r="H31" s="2">
        <f>[2]sens_100_spec_10_PSA!H31</f>
        <v>13.3949583909264</v>
      </c>
      <c r="I31" s="2">
        <f>[2]sens_100_spec_10_PSA!I31</f>
        <v>8.0957788210166601</v>
      </c>
      <c r="J31" s="3">
        <f>[2]sens_100_spec_10_PSA!J31</f>
        <v>188413.53743660601</v>
      </c>
      <c r="K31" s="3">
        <f>[2]sens_100_spec_10_PSA!K31</f>
        <v>113758.489887813</v>
      </c>
      <c r="L31">
        <f>[2]sens_100_spec_10_PSA!L31</f>
        <v>1</v>
      </c>
      <c r="M31">
        <f>[2]sens_100_spec_10_PSA!M31</f>
        <v>0</v>
      </c>
    </row>
    <row r="32" spans="1:13" x14ac:dyDescent="0.25">
      <c r="A32">
        <f>[2]sens_100_spec_10_PSA!A32</f>
        <v>31</v>
      </c>
      <c r="B32">
        <f>[2]sens_100_spec_10_PSA!B32</f>
        <v>1</v>
      </c>
      <c r="C32" t="str">
        <f>[2]sens_100_spec_10_PSA!C32</f>
        <v>NA</v>
      </c>
      <c r="D32">
        <f>[2]sens_100_spec_10_PSA!D32</f>
        <v>1</v>
      </c>
      <c r="E32" s="1">
        <f>[2]sens_100_spec_10_PSA!E32</f>
        <v>0.1076</v>
      </c>
      <c r="F32" s="1">
        <f>[2]sens_100_spec_10_PSA!F32</f>
        <v>2.4899999999999999E-2</v>
      </c>
      <c r="G32" s="2">
        <f>[2]sens_100_spec_10_PSA!G32</f>
        <v>19.1920464209161</v>
      </c>
      <c r="H32" s="2">
        <f>[2]sens_100_spec_10_PSA!H32</f>
        <v>14.7645254209045</v>
      </c>
      <c r="I32" s="2">
        <f>[2]sens_100_spec_10_PSA!I32</f>
        <v>8.9432119237354701</v>
      </c>
      <c r="J32" s="3">
        <f>[2]sens_100_spec_10_PSA!J32</f>
        <v>238320.93917981</v>
      </c>
      <c r="K32" s="3">
        <f>[2]sens_100_spec_10_PSA!K32</f>
        <v>142310.81726932101</v>
      </c>
      <c r="L32">
        <f>[2]sens_100_spec_10_PSA!L32</f>
        <v>1</v>
      </c>
      <c r="M32">
        <f>[2]sens_100_spec_10_PSA!M32</f>
        <v>0</v>
      </c>
    </row>
    <row r="33" spans="1:13" x14ac:dyDescent="0.25">
      <c r="A33">
        <f>[2]sens_100_spec_10_PSA!A33</f>
        <v>32</v>
      </c>
      <c r="B33">
        <f>[2]sens_100_spec_10_PSA!B33</f>
        <v>1</v>
      </c>
      <c r="C33" t="str">
        <f>[2]sens_100_spec_10_PSA!C33</f>
        <v>NA</v>
      </c>
      <c r="D33">
        <f>[2]sens_100_spec_10_PSA!D33</f>
        <v>1</v>
      </c>
      <c r="E33" s="1">
        <f>[2]sens_100_spec_10_PSA!E33</f>
        <v>0.20760000000000001</v>
      </c>
      <c r="F33" s="1">
        <f>[2]sens_100_spec_10_PSA!F33</f>
        <v>2.4299999999999999E-2</v>
      </c>
      <c r="G33" s="2">
        <f>[2]sens_100_spec_10_PSA!G33</f>
        <v>18.990001840609601</v>
      </c>
      <c r="H33" s="2">
        <f>[2]sens_100_spec_10_PSA!H33</f>
        <v>11.476073950702601</v>
      </c>
      <c r="I33" s="2">
        <f>[2]sens_100_spec_10_PSA!I33</f>
        <v>6.7738380115680101</v>
      </c>
      <c r="J33" s="3">
        <f>[2]sens_100_spec_10_PSA!J33</f>
        <v>180046.528556901</v>
      </c>
      <c r="K33" s="3">
        <f>[2]sens_100_spec_10_PSA!K33</f>
        <v>105825.394316843</v>
      </c>
      <c r="L33">
        <f>[2]sens_100_spec_10_PSA!L33</f>
        <v>1</v>
      </c>
      <c r="M33">
        <f>[2]sens_100_spec_10_PSA!M33</f>
        <v>0</v>
      </c>
    </row>
    <row r="34" spans="1:13" x14ac:dyDescent="0.25">
      <c r="A34">
        <f>[2]sens_100_spec_10_PSA!A34</f>
        <v>33</v>
      </c>
      <c r="B34">
        <f>[2]sens_100_spec_10_PSA!B34</f>
        <v>1</v>
      </c>
      <c r="C34" t="str">
        <f>[2]sens_100_spec_10_PSA!C34</f>
        <v>NA</v>
      </c>
      <c r="D34">
        <f>[2]sens_100_spec_10_PSA!D34</f>
        <v>1</v>
      </c>
      <c r="E34" s="1">
        <f>[2]sens_100_spec_10_PSA!E34</f>
        <v>0.1628</v>
      </c>
      <c r="F34" s="1">
        <f>[2]sens_100_spec_10_PSA!F34</f>
        <v>2.2200000000000001E-2</v>
      </c>
      <c r="G34" s="2">
        <f>[2]sens_100_spec_10_PSA!G34</f>
        <v>20.705904675347199</v>
      </c>
      <c r="H34" s="2">
        <f>[2]sens_100_spec_10_PSA!H34</f>
        <v>15.333677384944</v>
      </c>
      <c r="I34" s="2">
        <f>[2]sens_100_spec_10_PSA!I34</f>
        <v>8.9617455051268209</v>
      </c>
      <c r="J34" s="3">
        <f>[2]sens_100_spec_10_PSA!J34</f>
        <v>187769.73230494099</v>
      </c>
      <c r="K34" s="3">
        <f>[2]sens_100_spec_10_PSA!K34</f>
        <v>108991.677372506</v>
      </c>
      <c r="L34">
        <f>[2]sens_100_spec_10_PSA!L34</f>
        <v>1</v>
      </c>
      <c r="M34">
        <f>[2]sens_100_spec_10_PSA!M34</f>
        <v>0</v>
      </c>
    </row>
    <row r="35" spans="1:13" x14ac:dyDescent="0.25">
      <c r="A35">
        <f>[2]sens_100_spec_10_PSA!A35</f>
        <v>34</v>
      </c>
      <c r="B35">
        <f>[2]sens_100_spec_10_PSA!B35</f>
        <v>1</v>
      </c>
      <c r="C35" t="str">
        <f>[2]sens_100_spec_10_PSA!C35</f>
        <v>NA</v>
      </c>
      <c r="D35">
        <f>[2]sens_100_spec_10_PSA!D35</f>
        <v>1</v>
      </c>
      <c r="E35" s="1">
        <f>[2]sens_100_spec_10_PSA!E35</f>
        <v>0.11940000000000001</v>
      </c>
      <c r="F35" s="1">
        <f>[2]sens_100_spec_10_PSA!F35</f>
        <v>2.75E-2</v>
      </c>
      <c r="G35" s="2">
        <f>[2]sens_100_spec_10_PSA!G35</f>
        <v>19.7379718052599</v>
      </c>
      <c r="H35" s="2">
        <f>[2]sens_100_spec_10_PSA!H35</f>
        <v>15.247484815113101</v>
      </c>
      <c r="I35" s="2">
        <f>[2]sens_100_spec_10_PSA!I35</f>
        <v>9.1365077177090495</v>
      </c>
      <c r="J35" s="3">
        <f>[2]sens_100_spec_10_PSA!J35</f>
        <v>272443.75207394001</v>
      </c>
      <c r="K35" s="3">
        <f>[2]sens_100_spec_10_PSA!K35</f>
        <v>159627.59610242199</v>
      </c>
      <c r="L35">
        <f>[2]sens_100_spec_10_PSA!L35</f>
        <v>1</v>
      </c>
      <c r="M35">
        <f>[2]sens_100_spec_10_PSA!M35</f>
        <v>0</v>
      </c>
    </row>
    <row r="36" spans="1:13" x14ac:dyDescent="0.25">
      <c r="A36">
        <f>[2]sens_100_spec_10_PSA!A36</f>
        <v>35</v>
      </c>
      <c r="B36">
        <f>[2]sens_100_spec_10_PSA!B36</f>
        <v>1</v>
      </c>
      <c r="C36" t="str">
        <f>[2]sens_100_spec_10_PSA!C36</f>
        <v>NA</v>
      </c>
      <c r="D36">
        <f>[2]sens_100_spec_10_PSA!D36</f>
        <v>1</v>
      </c>
      <c r="E36" s="1">
        <f>[2]sens_100_spec_10_PSA!E36</f>
        <v>0.1515</v>
      </c>
      <c r="F36" s="1">
        <f>[2]sens_100_spec_10_PSA!F36</f>
        <v>2.4199999999999999E-2</v>
      </c>
      <c r="G36" s="2">
        <f>[2]sens_100_spec_10_PSA!G36</f>
        <v>20.960137479073499</v>
      </c>
      <c r="H36" s="2">
        <f>[2]sens_100_spec_10_PSA!H36</f>
        <v>15.778246302314001</v>
      </c>
      <c r="I36" s="2">
        <f>[2]sens_100_spec_10_PSA!I36</f>
        <v>9.2060079188694992</v>
      </c>
      <c r="J36" s="3">
        <f>[2]sens_100_spec_10_PSA!J36</f>
        <v>181345.03314237201</v>
      </c>
      <c r="K36" s="3">
        <f>[2]sens_100_spec_10_PSA!K36</f>
        <v>105153.200933562</v>
      </c>
      <c r="L36">
        <f>[2]sens_100_spec_10_PSA!L36</f>
        <v>1</v>
      </c>
      <c r="M36">
        <f>[2]sens_100_spec_10_PSA!M36</f>
        <v>0</v>
      </c>
    </row>
    <row r="37" spans="1:13" x14ac:dyDescent="0.25">
      <c r="A37">
        <f>[2]sens_100_spec_10_PSA!A37</f>
        <v>36</v>
      </c>
      <c r="B37">
        <f>[2]sens_100_spec_10_PSA!B37</f>
        <v>1</v>
      </c>
      <c r="C37" t="str">
        <f>[2]sens_100_spec_10_PSA!C37</f>
        <v>NA</v>
      </c>
      <c r="D37">
        <f>[2]sens_100_spec_10_PSA!D37</f>
        <v>1</v>
      </c>
      <c r="E37" s="1">
        <f>[2]sens_100_spec_10_PSA!E37</f>
        <v>0.12529999999999999</v>
      </c>
      <c r="F37" s="1">
        <f>[2]sens_100_spec_10_PSA!F37</f>
        <v>2.6599999999999999E-2</v>
      </c>
      <c r="G37" s="2">
        <f>[2]sens_100_spec_10_PSA!G37</f>
        <v>20.5681420093686</v>
      </c>
      <c r="H37" s="2">
        <f>[2]sens_100_spec_10_PSA!H37</f>
        <v>14.786739685439001</v>
      </c>
      <c r="I37" s="2">
        <f>[2]sens_100_spec_10_PSA!I37</f>
        <v>8.7442393846439099</v>
      </c>
      <c r="J37" s="3">
        <f>[2]sens_100_spec_10_PSA!J37</f>
        <v>236944.40811600501</v>
      </c>
      <c r="K37" s="3">
        <f>[2]sens_100_spec_10_PSA!K37</f>
        <v>137529.73375165899</v>
      </c>
      <c r="L37">
        <f>[2]sens_100_spec_10_PSA!L37</f>
        <v>1</v>
      </c>
      <c r="M37">
        <f>[2]sens_100_spec_10_PSA!M37</f>
        <v>0</v>
      </c>
    </row>
    <row r="38" spans="1:13" x14ac:dyDescent="0.25">
      <c r="A38">
        <f>[2]sens_100_spec_10_PSA!A38</f>
        <v>37</v>
      </c>
      <c r="B38">
        <f>[2]sens_100_spec_10_PSA!B38</f>
        <v>1</v>
      </c>
      <c r="C38" t="str">
        <f>[2]sens_100_spec_10_PSA!C38</f>
        <v>NA</v>
      </c>
      <c r="D38">
        <f>[2]sens_100_spec_10_PSA!D38</f>
        <v>1</v>
      </c>
      <c r="E38" s="1">
        <f>[2]sens_100_spec_10_PSA!E38</f>
        <v>0.13020000000000001</v>
      </c>
      <c r="F38" s="1">
        <f>[2]sens_100_spec_10_PSA!F38</f>
        <v>2.1100000000000001E-2</v>
      </c>
      <c r="G38" s="2">
        <f>[2]sens_100_spec_10_PSA!G38</f>
        <v>21.3164863189625</v>
      </c>
      <c r="H38" s="2">
        <f>[2]sens_100_spec_10_PSA!H38</f>
        <v>16.549829848613602</v>
      </c>
      <c r="I38" s="2">
        <f>[2]sens_100_spec_10_PSA!I38</f>
        <v>9.68334033147298</v>
      </c>
      <c r="J38" s="3">
        <f>[2]sens_100_spec_10_PSA!J38</f>
        <v>237811.494629692</v>
      </c>
      <c r="K38" s="3">
        <f>[2]sens_100_spec_10_PSA!K38</f>
        <v>136043.60720037401</v>
      </c>
      <c r="L38">
        <f>[2]sens_100_spec_10_PSA!L38</f>
        <v>1</v>
      </c>
      <c r="M38">
        <f>[2]sens_100_spec_10_PSA!M38</f>
        <v>0</v>
      </c>
    </row>
    <row r="39" spans="1:13" x14ac:dyDescent="0.25">
      <c r="A39">
        <f>[2]sens_100_spec_10_PSA!A39</f>
        <v>38</v>
      </c>
      <c r="B39">
        <f>[2]sens_100_spec_10_PSA!B39</f>
        <v>1</v>
      </c>
      <c r="C39" t="str">
        <f>[2]sens_100_spec_10_PSA!C39</f>
        <v>NA</v>
      </c>
      <c r="D39">
        <f>[2]sens_100_spec_10_PSA!D39</f>
        <v>1</v>
      </c>
      <c r="E39" s="1">
        <f>[2]sens_100_spec_10_PSA!E39</f>
        <v>0.1231</v>
      </c>
      <c r="F39" s="1">
        <f>[2]sens_100_spec_10_PSA!F39</f>
        <v>2.6200000000000001E-2</v>
      </c>
      <c r="G39" s="2">
        <f>[2]sens_100_spec_10_PSA!G39</f>
        <v>19.3268448332567</v>
      </c>
      <c r="H39" s="2">
        <f>[2]sens_100_spec_10_PSA!H39</f>
        <v>13.778689344093801</v>
      </c>
      <c r="I39" s="2">
        <f>[2]sens_100_spec_10_PSA!I39</f>
        <v>8.2979360553007595</v>
      </c>
      <c r="J39" s="3">
        <f>[2]sens_100_spec_10_PSA!J39</f>
        <v>237995.414522993</v>
      </c>
      <c r="K39" s="3">
        <f>[2]sens_100_spec_10_PSA!K39</f>
        <v>141136.180941642</v>
      </c>
      <c r="L39">
        <f>[2]sens_100_spec_10_PSA!L39</f>
        <v>1</v>
      </c>
      <c r="M39">
        <f>[2]sens_100_spec_10_PSA!M39</f>
        <v>0</v>
      </c>
    </row>
    <row r="40" spans="1:13" x14ac:dyDescent="0.25">
      <c r="A40">
        <f>[2]sens_100_spec_10_PSA!A40</f>
        <v>39</v>
      </c>
      <c r="B40">
        <f>[2]sens_100_spec_10_PSA!B40</f>
        <v>1</v>
      </c>
      <c r="C40" t="str">
        <f>[2]sens_100_spec_10_PSA!C40</f>
        <v>NA</v>
      </c>
      <c r="D40">
        <f>[2]sens_100_spec_10_PSA!D40</f>
        <v>1</v>
      </c>
      <c r="E40" s="1">
        <f>[2]sens_100_spec_10_PSA!E40</f>
        <v>0.11609999999999999</v>
      </c>
      <c r="F40" s="1">
        <f>[2]sens_100_spec_10_PSA!F40</f>
        <v>2.18E-2</v>
      </c>
      <c r="G40" s="2">
        <f>[2]sens_100_spec_10_PSA!G40</f>
        <v>18.155064881270398</v>
      </c>
      <c r="H40" s="2">
        <f>[2]sens_100_spec_10_PSA!H40</f>
        <v>11.3529861539467</v>
      </c>
      <c r="I40" s="2">
        <f>[2]sens_100_spec_10_PSA!I40</f>
        <v>6.9745972356947803</v>
      </c>
      <c r="J40" s="3">
        <f>[2]sens_100_spec_10_PSA!J40</f>
        <v>174197.200805081</v>
      </c>
      <c r="K40" s="3">
        <f>[2]sens_100_spec_10_PSA!K40</f>
        <v>107820.21306251999</v>
      </c>
      <c r="L40">
        <f>[2]sens_100_spec_10_PSA!L40</f>
        <v>1</v>
      </c>
      <c r="M40">
        <f>[2]sens_100_spec_10_PSA!M40</f>
        <v>0</v>
      </c>
    </row>
    <row r="41" spans="1:13" x14ac:dyDescent="0.25">
      <c r="A41">
        <f>[2]sens_100_spec_10_PSA!A41</f>
        <v>40</v>
      </c>
      <c r="B41">
        <f>[2]sens_100_spec_10_PSA!B41</f>
        <v>1</v>
      </c>
      <c r="C41" t="str">
        <f>[2]sens_100_spec_10_PSA!C41</f>
        <v>NA</v>
      </c>
      <c r="D41">
        <f>[2]sens_100_spec_10_PSA!D41</f>
        <v>1</v>
      </c>
      <c r="E41" s="1">
        <f>[2]sens_100_spec_10_PSA!E41</f>
        <v>0.16719999999999999</v>
      </c>
      <c r="F41" s="1">
        <f>[2]sens_100_spec_10_PSA!F41</f>
        <v>2.18E-2</v>
      </c>
      <c r="G41" s="2">
        <f>[2]sens_100_spec_10_PSA!G41</f>
        <v>19.575659538365599</v>
      </c>
      <c r="H41" s="2">
        <f>[2]sens_100_spec_10_PSA!H41</f>
        <v>14.4287975676116</v>
      </c>
      <c r="I41" s="2">
        <f>[2]sens_100_spec_10_PSA!I41</f>
        <v>8.54193415926078</v>
      </c>
      <c r="J41" s="3">
        <f>[2]sens_100_spec_10_PSA!J41</f>
        <v>324223.67585454002</v>
      </c>
      <c r="K41" s="3">
        <f>[2]sens_100_spec_10_PSA!K41</f>
        <v>185494.75916565201</v>
      </c>
      <c r="L41">
        <f>[2]sens_100_spec_10_PSA!L41</f>
        <v>1</v>
      </c>
      <c r="M41">
        <f>[2]sens_100_spec_10_PSA!M41</f>
        <v>0</v>
      </c>
    </row>
    <row r="42" spans="1:13" x14ac:dyDescent="0.25">
      <c r="A42">
        <f>[2]sens_100_spec_10_PSA!A42</f>
        <v>41</v>
      </c>
      <c r="B42">
        <f>[2]sens_100_spec_10_PSA!B42</f>
        <v>1</v>
      </c>
      <c r="C42" t="str">
        <f>[2]sens_100_spec_10_PSA!C42</f>
        <v>NA</v>
      </c>
      <c r="D42">
        <f>[2]sens_100_spec_10_PSA!D42</f>
        <v>1</v>
      </c>
      <c r="E42" s="1">
        <f>[2]sens_100_spec_10_PSA!E42</f>
        <v>0.13109999999999999</v>
      </c>
      <c r="F42" s="1">
        <f>[2]sens_100_spec_10_PSA!F42</f>
        <v>2.5499999999999998E-2</v>
      </c>
      <c r="G42" s="2">
        <f>[2]sens_100_spec_10_PSA!G42</f>
        <v>19.836680290461899</v>
      </c>
      <c r="H42" s="2">
        <f>[2]sens_100_spec_10_PSA!H42</f>
        <v>13.216041523832899</v>
      </c>
      <c r="I42" s="2">
        <f>[2]sens_100_spec_10_PSA!I42</f>
        <v>7.89681404982188</v>
      </c>
      <c r="J42" s="3">
        <f>[2]sens_100_spec_10_PSA!J42</f>
        <v>155323.38216864201</v>
      </c>
      <c r="K42" s="3">
        <f>[2]sens_100_spec_10_PSA!K42</f>
        <v>93992.942893219195</v>
      </c>
      <c r="L42">
        <f>[2]sens_100_spec_10_PSA!L42</f>
        <v>1</v>
      </c>
      <c r="M42">
        <f>[2]sens_100_spec_10_PSA!M42</f>
        <v>0</v>
      </c>
    </row>
    <row r="43" spans="1:13" x14ac:dyDescent="0.25">
      <c r="A43">
        <f>[2]sens_100_spec_10_PSA!A43</f>
        <v>42</v>
      </c>
      <c r="B43">
        <f>[2]sens_100_spec_10_PSA!B43</f>
        <v>1</v>
      </c>
      <c r="C43" t="str">
        <f>[2]sens_100_spec_10_PSA!C43</f>
        <v>NA</v>
      </c>
      <c r="D43">
        <f>[2]sens_100_spec_10_PSA!D43</f>
        <v>1</v>
      </c>
      <c r="E43" s="1">
        <f>[2]sens_100_spec_10_PSA!E43</f>
        <v>0.1832</v>
      </c>
      <c r="F43" s="1">
        <f>[2]sens_100_spec_10_PSA!F43</f>
        <v>2.0899999999999998E-2</v>
      </c>
      <c r="G43" s="2">
        <f>[2]sens_100_spec_10_PSA!G43</f>
        <v>18.7874685795523</v>
      </c>
      <c r="H43" s="2">
        <f>[2]sens_100_spec_10_PSA!H43</f>
        <v>13.3595206440487</v>
      </c>
      <c r="I43" s="2">
        <f>[2]sens_100_spec_10_PSA!I43</f>
        <v>7.9806961467578201</v>
      </c>
      <c r="J43" s="3">
        <f>[2]sens_100_spec_10_PSA!J43</f>
        <v>160101.79175797201</v>
      </c>
      <c r="K43" s="3">
        <f>[2]sens_100_spec_10_PSA!K43</f>
        <v>96089.108303046902</v>
      </c>
      <c r="L43">
        <f>[2]sens_100_spec_10_PSA!L43</f>
        <v>1</v>
      </c>
      <c r="M43">
        <f>[2]sens_100_spec_10_PSA!M43</f>
        <v>0</v>
      </c>
    </row>
    <row r="44" spans="1:13" x14ac:dyDescent="0.25">
      <c r="A44">
        <f>[2]sens_100_spec_10_PSA!A44</f>
        <v>43</v>
      </c>
      <c r="B44">
        <f>[2]sens_100_spec_10_PSA!B44</f>
        <v>1</v>
      </c>
      <c r="C44" t="str">
        <f>[2]sens_100_spec_10_PSA!C44</f>
        <v>NA</v>
      </c>
      <c r="D44">
        <f>[2]sens_100_spec_10_PSA!D44</f>
        <v>1</v>
      </c>
      <c r="E44" s="1">
        <f>[2]sens_100_spec_10_PSA!E44</f>
        <v>0.1066</v>
      </c>
      <c r="F44" s="1">
        <f>[2]sens_100_spec_10_PSA!F44</f>
        <v>2.7799999999999998E-2</v>
      </c>
      <c r="G44" s="2">
        <f>[2]sens_100_spec_10_PSA!G44</f>
        <v>20.3059811667421</v>
      </c>
      <c r="H44" s="2">
        <f>[2]sens_100_spec_10_PSA!H44</f>
        <v>14.0718968190333</v>
      </c>
      <c r="I44" s="2">
        <f>[2]sens_100_spec_10_PSA!I44</f>
        <v>8.3755578331902107</v>
      </c>
      <c r="J44" s="3">
        <f>[2]sens_100_spec_10_PSA!J44</f>
        <v>262420.94445351302</v>
      </c>
      <c r="K44" s="3">
        <f>[2]sens_100_spec_10_PSA!K44</f>
        <v>152693.90301164601</v>
      </c>
      <c r="L44">
        <f>[2]sens_100_spec_10_PSA!L44</f>
        <v>1</v>
      </c>
      <c r="M44">
        <f>[2]sens_100_spec_10_PSA!M44</f>
        <v>0</v>
      </c>
    </row>
    <row r="45" spans="1:13" x14ac:dyDescent="0.25">
      <c r="A45">
        <f>[2]sens_100_spec_10_PSA!A45</f>
        <v>44</v>
      </c>
      <c r="B45">
        <f>[2]sens_100_spec_10_PSA!B45</f>
        <v>1</v>
      </c>
      <c r="C45" t="str">
        <f>[2]sens_100_spec_10_PSA!C45</f>
        <v>NA</v>
      </c>
      <c r="D45">
        <f>[2]sens_100_spec_10_PSA!D45</f>
        <v>1</v>
      </c>
      <c r="E45" s="1">
        <f>[2]sens_100_spec_10_PSA!E45</f>
        <v>0.155</v>
      </c>
      <c r="F45" s="1">
        <f>[2]sens_100_spec_10_PSA!F45</f>
        <v>2.24E-2</v>
      </c>
      <c r="G45" s="2">
        <f>[2]sens_100_spec_10_PSA!G45</f>
        <v>19.3341906914461</v>
      </c>
      <c r="H45" s="2">
        <f>[2]sens_100_spec_10_PSA!H45</f>
        <v>14.037598759246601</v>
      </c>
      <c r="I45" s="2">
        <f>[2]sens_100_spec_10_PSA!I45</f>
        <v>8.3839124238170406</v>
      </c>
      <c r="J45" s="3">
        <f>[2]sens_100_spec_10_PSA!J45</f>
        <v>164908.48084969699</v>
      </c>
      <c r="K45" s="3">
        <f>[2]sens_100_spec_10_PSA!K45</f>
        <v>98932.850087106606</v>
      </c>
      <c r="L45">
        <f>[2]sens_100_spec_10_PSA!L45</f>
        <v>1</v>
      </c>
      <c r="M45">
        <f>[2]sens_100_spec_10_PSA!M45</f>
        <v>0</v>
      </c>
    </row>
    <row r="46" spans="1:13" x14ac:dyDescent="0.25">
      <c r="A46">
        <f>[2]sens_100_spec_10_PSA!A46</f>
        <v>45</v>
      </c>
      <c r="B46">
        <f>[2]sens_100_spec_10_PSA!B46</f>
        <v>1</v>
      </c>
      <c r="C46" t="str">
        <f>[2]sens_100_spec_10_PSA!C46</f>
        <v>NA</v>
      </c>
      <c r="D46">
        <f>[2]sens_100_spec_10_PSA!D46</f>
        <v>1</v>
      </c>
      <c r="E46" s="1">
        <f>[2]sens_100_spec_10_PSA!E46</f>
        <v>9.9400000000000002E-2</v>
      </c>
      <c r="F46" s="1">
        <f>[2]sens_100_spec_10_PSA!F46</f>
        <v>2.8799999999999999E-2</v>
      </c>
      <c r="G46" s="2">
        <f>[2]sens_100_spec_10_PSA!G46</f>
        <v>19.834051295541201</v>
      </c>
      <c r="H46" s="2">
        <f>[2]sens_100_spec_10_PSA!H46</f>
        <v>14.022824968128701</v>
      </c>
      <c r="I46" s="2">
        <f>[2]sens_100_spec_10_PSA!I46</f>
        <v>8.4209899854998493</v>
      </c>
      <c r="J46" s="3">
        <f>[2]sens_100_spec_10_PSA!J46</f>
        <v>197093.386023928</v>
      </c>
      <c r="K46" s="3">
        <f>[2]sens_100_spec_10_PSA!K46</f>
        <v>117968.488127965</v>
      </c>
      <c r="L46">
        <f>[2]sens_100_spec_10_PSA!L46</f>
        <v>1</v>
      </c>
      <c r="M46">
        <f>[2]sens_100_spec_10_PSA!M46</f>
        <v>0</v>
      </c>
    </row>
    <row r="47" spans="1:13" x14ac:dyDescent="0.25">
      <c r="A47">
        <f>[2]sens_100_spec_10_PSA!A47</f>
        <v>46</v>
      </c>
      <c r="B47">
        <f>[2]sens_100_spec_10_PSA!B47</f>
        <v>1</v>
      </c>
      <c r="C47" t="str">
        <f>[2]sens_100_spec_10_PSA!C47</f>
        <v>NA</v>
      </c>
      <c r="D47">
        <f>[2]sens_100_spec_10_PSA!D47</f>
        <v>1</v>
      </c>
      <c r="E47" s="1">
        <f>[2]sens_100_spec_10_PSA!E47</f>
        <v>0.1234</v>
      </c>
      <c r="F47" s="1">
        <f>[2]sens_100_spec_10_PSA!F47</f>
        <v>2.7099999999999999E-2</v>
      </c>
      <c r="G47" s="2">
        <f>[2]sens_100_spec_10_PSA!G47</f>
        <v>17.809277888924601</v>
      </c>
      <c r="H47" s="2">
        <f>[2]sens_100_spec_10_PSA!H47</f>
        <v>13.9474436821517</v>
      </c>
      <c r="I47" s="2">
        <f>[2]sens_100_spec_10_PSA!I47</f>
        <v>8.5566822891697498</v>
      </c>
      <c r="J47" s="3">
        <f>[2]sens_100_spec_10_PSA!J47</f>
        <v>187223.94518541099</v>
      </c>
      <c r="K47" s="3">
        <f>[2]sens_100_spec_10_PSA!K47</f>
        <v>114977.601054623</v>
      </c>
      <c r="L47">
        <f>[2]sens_100_spec_10_PSA!L47</f>
        <v>1</v>
      </c>
      <c r="M47">
        <f>[2]sens_100_spec_10_PSA!M47</f>
        <v>0</v>
      </c>
    </row>
    <row r="48" spans="1:13" x14ac:dyDescent="0.25">
      <c r="A48">
        <f>[2]sens_100_spec_10_PSA!A48</f>
        <v>47</v>
      </c>
      <c r="B48">
        <f>[2]sens_100_spec_10_PSA!B48</f>
        <v>1</v>
      </c>
      <c r="C48" t="str">
        <f>[2]sens_100_spec_10_PSA!C48</f>
        <v>NA</v>
      </c>
      <c r="D48">
        <f>[2]sens_100_spec_10_PSA!D48</f>
        <v>1</v>
      </c>
      <c r="E48" s="1">
        <f>[2]sens_100_spec_10_PSA!E48</f>
        <v>0.1535</v>
      </c>
      <c r="F48" s="1">
        <f>[2]sens_100_spec_10_PSA!F48</f>
        <v>2.6800000000000001E-2</v>
      </c>
      <c r="G48" s="2">
        <f>[2]sens_100_spec_10_PSA!G48</f>
        <v>19.3138899264762</v>
      </c>
      <c r="H48" s="2">
        <f>[2]sens_100_spec_10_PSA!H48</f>
        <v>14.701344556963299</v>
      </c>
      <c r="I48" s="2">
        <f>[2]sens_100_spec_10_PSA!I48</f>
        <v>8.7673056578645294</v>
      </c>
      <c r="J48" s="3">
        <f>[2]sens_100_spec_10_PSA!J48</f>
        <v>228212.867036023</v>
      </c>
      <c r="K48" s="3">
        <f>[2]sens_100_spec_10_PSA!K48</f>
        <v>133822.78231513099</v>
      </c>
      <c r="L48">
        <f>[2]sens_100_spec_10_PSA!L48</f>
        <v>1</v>
      </c>
      <c r="M48">
        <f>[2]sens_100_spec_10_PSA!M48</f>
        <v>0</v>
      </c>
    </row>
    <row r="49" spans="1:13" x14ac:dyDescent="0.25">
      <c r="A49">
        <f>[2]sens_100_spec_10_PSA!A49</f>
        <v>48</v>
      </c>
      <c r="B49">
        <f>[2]sens_100_spec_10_PSA!B49</f>
        <v>1</v>
      </c>
      <c r="C49" t="str">
        <f>[2]sens_100_spec_10_PSA!C49</f>
        <v>NA</v>
      </c>
      <c r="D49">
        <f>[2]sens_100_spec_10_PSA!D49</f>
        <v>1</v>
      </c>
      <c r="E49" s="1">
        <f>[2]sens_100_spec_10_PSA!E49</f>
        <v>0.11</v>
      </c>
      <c r="F49" s="1">
        <f>[2]sens_100_spec_10_PSA!F49</f>
        <v>2.8500000000000001E-2</v>
      </c>
      <c r="G49" s="2">
        <f>[2]sens_100_spec_10_PSA!G49</f>
        <v>19.942786411345399</v>
      </c>
      <c r="H49" s="2">
        <f>[2]sens_100_spec_10_PSA!H49</f>
        <v>16.4855902906205</v>
      </c>
      <c r="I49" s="2">
        <f>[2]sens_100_spec_10_PSA!I49</f>
        <v>9.8545545766416094</v>
      </c>
      <c r="J49" s="3">
        <f>[2]sens_100_spec_10_PSA!J49</f>
        <v>217958.5020721</v>
      </c>
      <c r="K49" s="3">
        <f>[2]sens_100_spec_10_PSA!K49</f>
        <v>128996.860437608</v>
      </c>
      <c r="L49">
        <f>[2]sens_100_spec_10_PSA!L49</f>
        <v>1</v>
      </c>
      <c r="M49">
        <f>[2]sens_100_spec_10_PSA!M49</f>
        <v>0</v>
      </c>
    </row>
    <row r="50" spans="1:13" x14ac:dyDescent="0.25">
      <c r="A50">
        <f>[2]sens_100_spec_10_PSA!A50</f>
        <v>49</v>
      </c>
      <c r="B50">
        <f>[2]sens_100_spec_10_PSA!B50</f>
        <v>1</v>
      </c>
      <c r="C50" t="str">
        <f>[2]sens_100_spec_10_PSA!C50</f>
        <v>NA</v>
      </c>
      <c r="D50">
        <f>[2]sens_100_spec_10_PSA!D50</f>
        <v>1</v>
      </c>
      <c r="E50" s="1">
        <f>[2]sens_100_spec_10_PSA!E50</f>
        <v>0.15770000000000001</v>
      </c>
      <c r="F50" s="1">
        <f>[2]sens_100_spec_10_PSA!F50</f>
        <v>2.7300000000000001E-2</v>
      </c>
      <c r="G50" s="2">
        <f>[2]sens_100_spec_10_PSA!G50</f>
        <v>17.457577351680801</v>
      </c>
      <c r="H50" s="2">
        <f>[2]sens_100_spec_10_PSA!H50</f>
        <v>12.6921842473079</v>
      </c>
      <c r="I50" s="2">
        <f>[2]sens_100_spec_10_PSA!I50</f>
        <v>7.7643601115549297</v>
      </c>
      <c r="J50" s="3">
        <f>[2]sens_100_spec_10_PSA!J50</f>
        <v>146899.67689785</v>
      </c>
      <c r="K50" s="3">
        <f>[2]sens_100_spec_10_PSA!K50</f>
        <v>91444.837881444793</v>
      </c>
      <c r="L50">
        <f>[2]sens_100_spec_10_PSA!L50</f>
        <v>1</v>
      </c>
      <c r="M50">
        <f>[2]sens_100_spec_10_PSA!M50</f>
        <v>0</v>
      </c>
    </row>
    <row r="51" spans="1:13" x14ac:dyDescent="0.25">
      <c r="A51">
        <f>[2]sens_100_spec_10_PSA!A51</f>
        <v>50</v>
      </c>
      <c r="B51">
        <f>[2]sens_100_spec_10_PSA!B51</f>
        <v>1</v>
      </c>
      <c r="C51" t="str">
        <f>[2]sens_100_spec_10_PSA!C51</f>
        <v>NA</v>
      </c>
      <c r="D51">
        <f>[2]sens_100_spec_10_PSA!D51</f>
        <v>1</v>
      </c>
      <c r="E51" s="1">
        <f>[2]sens_100_spec_10_PSA!E51</f>
        <v>8.9300000000000004E-2</v>
      </c>
      <c r="F51" s="1">
        <f>[2]sens_100_spec_10_PSA!F51</f>
        <v>2.8299999999999999E-2</v>
      </c>
      <c r="G51" s="2">
        <f>[2]sens_100_spec_10_PSA!G51</f>
        <v>20.342894368048299</v>
      </c>
      <c r="H51" s="2">
        <f>[2]sens_100_spec_10_PSA!H51</f>
        <v>14.966722888608899</v>
      </c>
      <c r="I51" s="2">
        <f>[2]sens_100_spec_10_PSA!I51</f>
        <v>8.9297618737587996</v>
      </c>
      <c r="J51" s="3">
        <f>[2]sens_100_spec_10_PSA!J51</f>
        <v>193501.489055479</v>
      </c>
      <c r="K51" s="3">
        <f>[2]sens_100_spec_10_PSA!K51</f>
        <v>114850.10560626601</v>
      </c>
      <c r="L51">
        <f>[2]sens_100_spec_10_PSA!L51</f>
        <v>1</v>
      </c>
      <c r="M51">
        <f>[2]sens_100_spec_10_PSA!M51</f>
        <v>0</v>
      </c>
    </row>
    <row r="52" spans="1:13" x14ac:dyDescent="0.25">
      <c r="A52">
        <f>[2]sens_100_spec_10_PSA!A52</f>
        <v>51</v>
      </c>
      <c r="B52">
        <f>[2]sens_100_spec_10_PSA!B52</f>
        <v>1</v>
      </c>
      <c r="C52" t="str">
        <f>[2]sens_100_spec_10_PSA!C52</f>
        <v>NA</v>
      </c>
      <c r="D52">
        <f>[2]sens_100_spec_10_PSA!D52</f>
        <v>1</v>
      </c>
      <c r="E52" s="1">
        <f>[2]sens_100_spec_10_PSA!E52</f>
        <v>0.1447</v>
      </c>
      <c r="F52" s="1">
        <f>[2]sens_100_spec_10_PSA!F52</f>
        <v>2.5999999999999999E-2</v>
      </c>
      <c r="G52" s="2">
        <f>[2]sens_100_spec_10_PSA!G52</f>
        <v>19.863149595001399</v>
      </c>
      <c r="H52" s="2">
        <f>[2]sens_100_spec_10_PSA!H52</f>
        <v>13.395727124342599</v>
      </c>
      <c r="I52" s="2">
        <f>[2]sens_100_spec_10_PSA!I52</f>
        <v>7.9361925737931598</v>
      </c>
      <c r="J52" s="3">
        <f>[2]sens_100_spec_10_PSA!J52</f>
        <v>185726.79683301601</v>
      </c>
      <c r="K52" s="3">
        <f>[2]sens_100_spec_10_PSA!K52</f>
        <v>109581.60977471199</v>
      </c>
      <c r="L52">
        <f>[2]sens_100_spec_10_PSA!L52</f>
        <v>1</v>
      </c>
      <c r="M52">
        <f>[2]sens_100_spec_10_PSA!M52</f>
        <v>0</v>
      </c>
    </row>
    <row r="53" spans="1:13" x14ac:dyDescent="0.25">
      <c r="A53">
        <f>[2]sens_100_spec_10_PSA!A53</f>
        <v>52</v>
      </c>
      <c r="B53">
        <f>[2]sens_100_spec_10_PSA!B53</f>
        <v>1</v>
      </c>
      <c r="C53" t="str">
        <f>[2]sens_100_spec_10_PSA!C53</f>
        <v>NA</v>
      </c>
      <c r="D53">
        <f>[2]sens_100_spec_10_PSA!D53</f>
        <v>1</v>
      </c>
      <c r="E53" s="1">
        <f>[2]sens_100_spec_10_PSA!E53</f>
        <v>9.11E-2</v>
      </c>
      <c r="F53" s="1">
        <f>[2]sens_100_spec_10_PSA!F53</f>
        <v>2.76E-2</v>
      </c>
      <c r="G53" s="2">
        <f>[2]sens_100_spec_10_PSA!G53</f>
        <v>18.044597252496001</v>
      </c>
      <c r="H53" s="2">
        <f>[2]sens_100_spec_10_PSA!H53</f>
        <v>12.9997589673488</v>
      </c>
      <c r="I53" s="2">
        <f>[2]sens_100_spec_10_PSA!I53</f>
        <v>8.0208394272369503</v>
      </c>
      <c r="J53" s="3">
        <f>[2]sens_100_spec_10_PSA!J53</f>
        <v>198423.00746613901</v>
      </c>
      <c r="K53" s="3">
        <f>[2]sens_100_spec_10_PSA!K53</f>
        <v>122401.76465669301</v>
      </c>
      <c r="L53">
        <f>[2]sens_100_spec_10_PSA!L53</f>
        <v>1</v>
      </c>
      <c r="M53">
        <f>[2]sens_100_spec_10_PSA!M53</f>
        <v>0</v>
      </c>
    </row>
    <row r="54" spans="1:13" x14ac:dyDescent="0.25">
      <c r="A54">
        <f>[2]sens_100_spec_10_PSA!A54</f>
        <v>53</v>
      </c>
      <c r="B54">
        <f>[2]sens_100_spec_10_PSA!B54</f>
        <v>1</v>
      </c>
      <c r="C54" t="str">
        <f>[2]sens_100_spec_10_PSA!C54</f>
        <v>NA</v>
      </c>
      <c r="D54">
        <f>[2]sens_100_spec_10_PSA!D54</f>
        <v>1</v>
      </c>
      <c r="E54" s="1">
        <f>[2]sens_100_spec_10_PSA!E54</f>
        <v>0.14410000000000001</v>
      </c>
      <c r="F54" s="1">
        <f>[2]sens_100_spec_10_PSA!F54</f>
        <v>3.1300000000000001E-2</v>
      </c>
      <c r="G54" s="2">
        <f>[2]sens_100_spec_10_PSA!G54</f>
        <v>19.887821339314399</v>
      </c>
      <c r="H54" s="2">
        <f>[2]sens_100_spec_10_PSA!H54</f>
        <v>15.693297867925301</v>
      </c>
      <c r="I54" s="2">
        <f>[2]sens_100_spec_10_PSA!I54</f>
        <v>9.3004894799434208</v>
      </c>
      <c r="J54" s="3">
        <f>[2]sens_100_spec_10_PSA!J54</f>
        <v>231789.986117814</v>
      </c>
      <c r="K54" s="3">
        <f>[2]sens_100_spec_10_PSA!K54</f>
        <v>134814.61696128501</v>
      </c>
      <c r="L54">
        <f>[2]sens_100_spec_10_PSA!L54</f>
        <v>1</v>
      </c>
      <c r="M54">
        <f>[2]sens_100_spec_10_PSA!M54</f>
        <v>0</v>
      </c>
    </row>
    <row r="55" spans="1:13" x14ac:dyDescent="0.25">
      <c r="A55">
        <f>[2]sens_100_spec_10_PSA!A55</f>
        <v>54</v>
      </c>
      <c r="B55">
        <f>[2]sens_100_spec_10_PSA!B55</f>
        <v>1</v>
      </c>
      <c r="C55" t="str">
        <f>[2]sens_100_spec_10_PSA!C55</f>
        <v>NA</v>
      </c>
      <c r="D55">
        <f>[2]sens_100_spec_10_PSA!D55</f>
        <v>1</v>
      </c>
      <c r="E55" s="1">
        <f>[2]sens_100_spec_10_PSA!E55</f>
        <v>0.188</v>
      </c>
      <c r="F55" s="1">
        <f>[2]sens_100_spec_10_PSA!F55</f>
        <v>2.41E-2</v>
      </c>
      <c r="G55" s="2">
        <f>[2]sens_100_spec_10_PSA!G55</f>
        <v>18.2749312598873</v>
      </c>
      <c r="H55" s="2">
        <f>[2]sens_100_spec_10_PSA!H55</f>
        <v>12.2515248892259</v>
      </c>
      <c r="I55" s="2">
        <f>[2]sens_100_spec_10_PSA!I55</f>
        <v>7.3560679183164801</v>
      </c>
      <c r="J55" s="3">
        <f>[2]sens_100_spec_10_PSA!J55</f>
        <v>150482.53778497101</v>
      </c>
      <c r="K55" s="3">
        <f>[2]sens_100_spec_10_PSA!K55</f>
        <v>91438.807178416202</v>
      </c>
      <c r="L55">
        <f>[2]sens_100_spec_10_PSA!L55</f>
        <v>1</v>
      </c>
      <c r="M55">
        <f>[2]sens_100_spec_10_PSA!M55</f>
        <v>0</v>
      </c>
    </row>
    <row r="56" spans="1:13" x14ac:dyDescent="0.25">
      <c r="A56">
        <f>[2]sens_100_spec_10_PSA!A56</f>
        <v>55</v>
      </c>
      <c r="B56">
        <f>[2]sens_100_spec_10_PSA!B56</f>
        <v>1</v>
      </c>
      <c r="C56" t="str">
        <f>[2]sens_100_spec_10_PSA!C56</f>
        <v>NA</v>
      </c>
      <c r="D56">
        <f>[2]sens_100_spec_10_PSA!D56</f>
        <v>1</v>
      </c>
      <c r="E56" s="1">
        <f>[2]sens_100_spec_10_PSA!E56</f>
        <v>9.4600000000000004E-2</v>
      </c>
      <c r="F56" s="1">
        <f>[2]sens_100_spec_10_PSA!F56</f>
        <v>2.6599999999999999E-2</v>
      </c>
      <c r="G56" s="2">
        <f>[2]sens_100_spec_10_PSA!G56</f>
        <v>18.8577904401259</v>
      </c>
      <c r="H56" s="2">
        <f>[2]sens_100_spec_10_PSA!H56</f>
        <v>14.008113949184899</v>
      </c>
      <c r="I56" s="2">
        <f>[2]sens_100_spec_10_PSA!I56</f>
        <v>8.5544768270666207</v>
      </c>
      <c r="J56" s="3">
        <f>[2]sens_100_spec_10_PSA!J56</f>
        <v>274556.05697510502</v>
      </c>
      <c r="K56" s="3">
        <f>[2]sens_100_spec_10_PSA!K56</f>
        <v>164328.42604852101</v>
      </c>
      <c r="L56">
        <f>[2]sens_100_spec_10_PSA!L56</f>
        <v>1</v>
      </c>
      <c r="M56">
        <f>[2]sens_100_spec_10_PSA!M56</f>
        <v>0</v>
      </c>
    </row>
    <row r="57" spans="1:13" x14ac:dyDescent="0.25">
      <c r="A57">
        <f>[2]sens_100_spec_10_PSA!A57</f>
        <v>56</v>
      </c>
      <c r="B57">
        <f>[2]sens_100_spec_10_PSA!B57</f>
        <v>1</v>
      </c>
      <c r="C57" t="str">
        <f>[2]sens_100_spec_10_PSA!C57</f>
        <v>NA</v>
      </c>
      <c r="D57">
        <f>[2]sens_100_spec_10_PSA!D57</f>
        <v>1</v>
      </c>
      <c r="E57" s="1">
        <f>[2]sens_100_spec_10_PSA!E57</f>
        <v>9.2799999999999994E-2</v>
      </c>
      <c r="F57" s="1">
        <f>[2]sens_100_spec_10_PSA!F57</f>
        <v>2.8000000000000001E-2</v>
      </c>
      <c r="G57" s="2">
        <f>[2]sens_100_spec_10_PSA!G57</f>
        <v>17.5236211943988</v>
      </c>
      <c r="H57" s="2">
        <f>[2]sens_100_spec_10_PSA!H57</f>
        <v>12.5601161901516</v>
      </c>
      <c r="I57" s="2">
        <f>[2]sens_100_spec_10_PSA!I57</f>
        <v>7.7944105324350703</v>
      </c>
      <c r="J57" s="3">
        <f>[2]sens_100_spec_10_PSA!J57</f>
        <v>173942.880341743</v>
      </c>
      <c r="K57" s="3">
        <f>[2]sens_100_spec_10_PSA!K57</f>
        <v>108526.184160415</v>
      </c>
      <c r="L57">
        <f>[2]sens_100_spec_10_PSA!L57</f>
        <v>1</v>
      </c>
      <c r="M57">
        <f>[2]sens_100_spec_10_PSA!M57</f>
        <v>0</v>
      </c>
    </row>
    <row r="58" spans="1:13" x14ac:dyDescent="0.25">
      <c r="A58">
        <f>[2]sens_100_spec_10_PSA!A58</f>
        <v>57</v>
      </c>
      <c r="B58">
        <f>[2]sens_100_spec_10_PSA!B58</f>
        <v>1</v>
      </c>
      <c r="C58" t="str">
        <f>[2]sens_100_spec_10_PSA!C58</f>
        <v>NA</v>
      </c>
      <c r="D58">
        <f>[2]sens_100_spec_10_PSA!D58</f>
        <v>1</v>
      </c>
      <c r="E58" s="1">
        <f>[2]sens_100_spec_10_PSA!E58</f>
        <v>0.1681</v>
      </c>
      <c r="F58" s="1">
        <f>[2]sens_100_spec_10_PSA!F58</f>
        <v>2.5700000000000001E-2</v>
      </c>
      <c r="G58" s="2">
        <f>[2]sens_100_spec_10_PSA!G58</f>
        <v>18.668041618337501</v>
      </c>
      <c r="H58" s="2">
        <f>[2]sens_100_spec_10_PSA!H58</f>
        <v>12.9702095176767</v>
      </c>
      <c r="I58" s="2">
        <f>[2]sens_100_spec_10_PSA!I58</f>
        <v>7.7759285217584901</v>
      </c>
      <c r="J58" s="3">
        <f>[2]sens_100_spec_10_PSA!J58</f>
        <v>186584.37881942201</v>
      </c>
      <c r="K58" s="3">
        <f>[2]sens_100_spec_10_PSA!K58</f>
        <v>111384.80967674901</v>
      </c>
      <c r="L58">
        <f>[2]sens_100_spec_10_PSA!L58</f>
        <v>1</v>
      </c>
      <c r="M58">
        <f>[2]sens_100_spec_10_PSA!M58</f>
        <v>0</v>
      </c>
    </row>
    <row r="59" spans="1:13" x14ac:dyDescent="0.25">
      <c r="A59">
        <f>[2]sens_100_spec_10_PSA!A59</f>
        <v>58</v>
      </c>
      <c r="B59">
        <f>[2]sens_100_spec_10_PSA!B59</f>
        <v>1</v>
      </c>
      <c r="C59" t="str">
        <f>[2]sens_100_spec_10_PSA!C59</f>
        <v>NA</v>
      </c>
      <c r="D59">
        <f>[2]sens_100_spec_10_PSA!D59</f>
        <v>1</v>
      </c>
      <c r="E59" s="1">
        <f>[2]sens_100_spec_10_PSA!E59</f>
        <v>0.13300000000000001</v>
      </c>
      <c r="F59" s="1">
        <f>[2]sens_100_spec_10_PSA!F59</f>
        <v>2.3099999999999999E-2</v>
      </c>
      <c r="G59" s="2">
        <f>[2]sens_100_spec_10_PSA!G59</f>
        <v>18.717323478540301</v>
      </c>
      <c r="H59" s="2">
        <f>[2]sens_100_spec_10_PSA!H59</f>
        <v>12.6378736821049</v>
      </c>
      <c r="I59" s="2">
        <f>[2]sens_100_spec_10_PSA!I59</f>
        <v>7.6428586703914503</v>
      </c>
      <c r="J59" s="3">
        <f>[2]sens_100_spec_10_PSA!J59</f>
        <v>165780.28041255099</v>
      </c>
      <c r="K59" s="3">
        <f>[2]sens_100_spec_10_PSA!K59</f>
        <v>101118.58205086501</v>
      </c>
      <c r="L59">
        <f>[2]sens_100_spec_10_PSA!L59</f>
        <v>1</v>
      </c>
      <c r="M59">
        <f>[2]sens_100_spec_10_PSA!M59</f>
        <v>0</v>
      </c>
    </row>
    <row r="60" spans="1:13" x14ac:dyDescent="0.25">
      <c r="A60">
        <f>[2]sens_100_spec_10_PSA!A60</f>
        <v>59</v>
      </c>
      <c r="B60">
        <f>[2]sens_100_spec_10_PSA!B60</f>
        <v>1</v>
      </c>
      <c r="C60" t="str">
        <f>[2]sens_100_spec_10_PSA!C60</f>
        <v>NA</v>
      </c>
      <c r="D60">
        <f>[2]sens_100_spec_10_PSA!D60</f>
        <v>1</v>
      </c>
      <c r="E60" s="1">
        <f>[2]sens_100_spec_10_PSA!E60</f>
        <v>0.14080000000000001</v>
      </c>
      <c r="F60" s="1">
        <f>[2]sens_100_spec_10_PSA!F60</f>
        <v>2.47E-2</v>
      </c>
      <c r="G60" s="2">
        <f>[2]sens_100_spec_10_PSA!G60</f>
        <v>17.919865720583399</v>
      </c>
      <c r="H60" s="2">
        <f>[2]sens_100_spec_10_PSA!H60</f>
        <v>14.671343608985801</v>
      </c>
      <c r="I60" s="2">
        <f>[2]sens_100_spec_10_PSA!I60</f>
        <v>8.9826976394199605</v>
      </c>
      <c r="J60" s="3">
        <f>[2]sens_100_spec_10_PSA!J60</f>
        <v>164162.36078399699</v>
      </c>
      <c r="K60" s="3">
        <f>[2]sens_100_spec_10_PSA!K60</f>
        <v>101472.073747756</v>
      </c>
      <c r="L60">
        <f>[2]sens_100_spec_10_PSA!L60</f>
        <v>1</v>
      </c>
      <c r="M60">
        <f>[2]sens_100_spec_10_PSA!M60</f>
        <v>0</v>
      </c>
    </row>
    <row r="61" spans="1:13" x14ac:dyDescent="0.25">
      <c r="A61">
        <f>[2]sens_100_spec_10_PSA!A61</f>
        <v>60</v>
      </c>
      <c r="B61">
        <f>[2]sens_100_spec_10_PSA!B61</f>
        <v>1</v>
      </c>
      <c r="C61" t="str">
        <f>[2]sens_100_spec_10_PSA!C61</f>
        <v>NA</v>
      </c>
      <c r="D61">
        <f>[2]sens_100_spec_10_PSA!D61</f>
        <v>1</v>
      </c>
      <c r="E61" s="1">
        <f>[2]sens_100_spec_10_PSA!E61</f>
        <v>0.15229999999999999</v>
      </c>
      <c r="F61" s="1">
        <f>[2]sens_100_spec_10_PSA!F61</f>
        <v>2.47E-2</v>
      </c>
      <c r="G61" s="2">
        <f>[2]sens_100_spec_10_PSA!G61</f>
        <v>18.505948903367401</v>
      </c>
      <c r="H61" s="2">
        <f>[2]sens_100_spec_10_PSA!H61</f>
        <v>14.010816115895601</v>
      </c>
      <c r="I61" s="2">
        <f>[2]sens_100_spec_10_PSA!I61</f>
        <v>8.4801844124634105</v>
      </c>
      <c r="J61" s="3">
        <f>[2]sens_100_spec_10_PSA!J61</f>
        <v>200783.322086264</v>
      </c>
      <c r="K61" s="3">
        <f>[2]sens_100_spec_10_PSA!K61</f>
        <v>120719.926276187</v>
      </c>
      <c r="L61">
        <f>[2]sens_100_spec_10_PSA!L61</f>
        <v>1</v>
      </c>
      <c r="M61">
        <f>[2]sens_100_spec_10_PSA!M61</f>
        <v>0</v>
      </c>
    </row>
    <row r="62" spans="1:13" x14ac:dyDescent="0.25">
      <c r="A62">
        <f>[2]sens_100_spec_10_PSA!A62</f>
        <v>61</v>
      </c>
      <c r="B62">
        <f>[2]sens_100_spec_10_PSA!B62</f>
        <v>1</v>
      </c>
      <c r="C62" t="str">
        <f>[2]sens_100_spec_10_PSA!C62</f>
        <v>NA</v>
      </c>
      <c r="D62">
        <f>[2]sens_100_spec_10_PSA!D62</f>
        <v>1</v>
      </c>
      <c r="E62" s="1">
        <f>[2]sens_100_spec_10_PSA!E62</f>
        <v>0.15759999999999999</v>
      </c>
      <c r="F62" s="1">
        <f>[2]sens_100_spec_10_PSA!F62</f>
        <v>2.8000000000000001E-2</v>
      </c>
      <c r="G62" s="2">
        <f>[2]sens_100_spec_10_PSA!G62</f>
        <v>18.5222138871213</v>
      </c>
      <c r="H62" s="2">
        <f>[2]sens_100_spec_10_PSA!H62</f>
        <v>13.7309370097634</v>
      </c>
      <c r="I62" s="2">
        <f>[2]sens_100_spec_10_PSA!I62</f>
        <v>8.29992388510456</v>
      </c>
      <c r="J62" s="3">
        <f>[2]sens_100_spec_10_PSA!J62</f>
        <v>221105.47428021699</v>
      </c>
      <c r="K62" s="3">
        <f>[2]sens_100_spec_10_PSA!K62</f>
        <v>132051.12860153199</v>
      </c>
      <c r="L62">
        <f>[2]sens_100_spec_10_PSA!L62</f>
        <v>1</v>
      </c>
      <c r="M62">
        <f>[2]sens_100_spec_10_PSA!M62</f>
        <v>0</v>
      </c>
    </row>
    <row r="63" spans="1:13" x14ac:dyDescent="0.25">
      <c r="A63">
        <f>[2]sens_100_spec_10_PSA!A63</f>
        <v>62</v>
      </c>
      <c r="B63">
        <f>[2]sens_100_spec_10_PSA!B63</f>
        <v>1</v>
      </c>
      <c r="C63" t="str">
        <f>[2]sens_100_spec_10_PSA!C63</f>
        <v>NA</v>
      </c>
      <c r="D63">
        <f>[2]sens_100_spec_10_PSA!D63</f>
        <v>1</v>
      </c>
      <c r="E63" s="1">
        <f>[2]sens_100_spec_10_PSA!E63</f>
        <v>0.23230000000000001</v>
      </c>
      <c r="F63" s="1">
        <f>[2]sens_100_spec_10_PSA!F63</f>
        <v>2.2200000000000001E-2</v>
      </c>
      <c r="G63" s="2">
        <f>[2]sens_100_spec_10_PSA!G63</f>
        <v>17.269362318869799</v>
      </c>
      <c r="H63" s="2">
        <f>[2]sens_100_spec_10_PSA!H63</f>
        <v>12.646977288594201</v>
      </c>
      <c r="I63" s="2">
        <f>[2]sens_100_spec_10_PSA!I63</f>
        <v>7.5920458215604496</v>
      </c>
      <c r="J63" s="3">
        <f>[2]sens_100_spec_10_PSA!J63</f>
        <v>230602.20677721099</v>
      </c>
      <c r="K63" s="3">
        <f>[2]sens_100_spec_10_PSA!K63</f>
        <v>136164.84728652099</v>
      </c>
      <c r="L63">
        <f>[2]sens_100_spec_10_PSA!L63</f>
        <v>1</v>
      </c>
      <c r="M63">
        <f>[2]sens_100_spec_10_PSA!M63</f>
        <v>0</v>
      </c>
    </row>
    <row r="64" spans="1:13" x14ac:dyDescent="0.25">
      <c r="A64">
        <f>[2]sens_100_spec_10_PSA!A64</f>
        <v>63</v>
      </c>
      <c r="B64">
        <f>[2]sens_100_spec_10_PSA!B64</f>
        <v>1</v>
      </c>
      <c r="C64" t="str">
        <f>[2]sens_100_spec_10_PSA!C64</f>
        <v>NA</v>
      </c>
      <c r="D64">
        <f>[2]sens_100_spec_10_PSA!D64</f>
        <v>1</v>
      </c>
      <c r="E64" s="1">
        <f>[2]sens_100_spec_10_PSA!E64</f>
        <v>0.15840000000000001</v>
      </c>
      <c r="F64" s="1">
        <f>[2]sens_100_spec_10_PSA!F64</f>
        <v>2.5899999999999999E-2</v>
      </c>
      <c r="G64" s="2">
        <f>[2]sens_100_spec_10_PSA!G64</f>
        <v>17.464980631590901</v>
      </c>
      <c r="H64" s="2">
        <f>[2]sens_100_spec_10_PSA!H64</f>
        <v>12.1048923718862</v>
      </c>
      <c r="I64" s="2">
        <f>[2]sens_100_spec_10_PSA!I64</f>
        <v>7.4237207274116201</v>
      </c>
      <c r="J64" s="3">
        <f>[2]sens_100_spec_10_PSA!J64</f>
        <v>167435.643806373</v>
      </c>
      <c r="K64" s="3">
        <f>[2]sens_100_spec_10_PSA!K64</f>
        <v>103555.128259982</v>
      </c>
      <c r="L64">
        <f>[2]sens_100_spec_10_PSA!L64</f>
        <v>1</v>
      </c>
      <c r="M64">
        <f>[2]sens_100_spec_10_PSA!M64</f>
        <v>0</v>
      </c>
    </row>
    <row r="65" spans="1:13" x14ac:dyDescent="0.25">
      <c r="A65">
        <f>[2]sens_100_spec_10_PSA!A65</f>
        <v>64</v>
      </c>
      <c r="B65">
        <f>[2]sens_100_spec_10_PSA!B65</f>
        <v>1</v>
      </c>
      <c r="C65" t="str">
        <f>[2]sens_100_spec_10_PSA!C65</f>
        <v>NA</v>
      </c>
      <c r="D65">
        <f>[2]sens_100_spec_10_PSA!D65</f>
        <v>1</v>
      </c>
      <c r="E65" s="1">
        <f>[2]sens_100_spec_10_PSA!E65</f>
        <v>0.20660000000000001</v>
      </c>
      <c r="F65" s="1">
        <f>[2]sens_100_spec_10_PSA!F65</f>
        <v>2.3199999999999998E-2</v>
      </c>
      <c r="G65" s="2">
        <f>[2]sens_100_spec_10_PSA!G65</f>
        <v>18.747696419095799</v>
      </c>
      <c r="H65" s="2">
        <f>[2]sens_100_spec_10_PSA!H65</f>
        <v>12.641340787294901</v>
      </c>
      <c r="I65" s="2">
        <f>[2]sens_100_spec_10_PSA!I65</f>
        <v>7.4871637875051897</v>
      </c>
      <c r="J65" s="3">
        <f>[2]sens_100_spec_10_PSA!J65</f>
        <v>273897.35566184699</v>
      </c>
      <c r="K65" s="3">
        <f>[2]sens_100_spec_10_PSA!K65</f>
        <v>157484.04138569799</v>
      </c>
      <c r="L65">
        <f>[2]sens_100_spec_10_PSA!L65</f>
        <v>1</v>
      </c>
      <c r="M65">
        <f>[2]sens_100_spec_10_PSA!M65</f>
        <v>0</v>
      </c>
    </row>
    <row r="66" spans="1:13" x14ac:dyDescent="0.25">
      <c r="A66">
        <f>[2]sens_100_spec_10_PSA!A66</f>
        <v>65</v>
      </c>
      <c r="B66">
        <f>[2]sens_100_spec_10_PSA!B66</f>
        <v>1</v>
      </c>
      <c r="C66" t="str">
        <f>[2]sens_100_spec_10_PSA!C66</f>
        <v>NA</v>
      </c>
      <c r="D66">
        <f>[2]sens_100_spec_10_PSA!D66</f>
        <v>1</v>
      </c>
      <c r="E66" s="1">
        <f>[2]sens_100_spec_10_PSA!E66</f>
        <v>0.12989999999999999</v>
      </c>
      <c r="F66" s="1">
        <f>[2]sens_100_spec_10_PSA!F66</f>
        <v>2.12E-2</v>
      </c>
      <c r="G66" s="2">
        <f>[2]sens_100_spec_10_PSA!G66</f>
        <v>21.298324736003199</v>
      </c>
      <c r="H66" s="2">
        <f>[2]sens_100_spec_10_PSA!H66</f>
        <v>16.789621497978501</v>
      </c>
      <c r="I66" s="2">
        <f>[2]sens_100_spec_10_PSA!I66</f>
        <v>9.8023792363202507</v>
      </c>
      <c r="J66" s="3">
        <f>[2]sens_100_spec_10_PSA!J66</f>
        <v>264128.01117937698</v>
      </c>
      <c r="K66" s="3">
        <f>[2]sens_100_spec_10_PSA!K66</f>
        <v>150111.47479855301</v>
      </c>
      <c r="L66">
        <f>[2]sens_100_spec_10_PSA!L66</f>
        <v>1</v>
      </c>
      <c r="M66">
        <f>[2]sens_100_spec_10_PSA!M66</f>
        <v>0</v>
      </c>
    </row>
    <row r="67" spans="1:13" x14ac:dyDescent="0.25">
      <c r="A67">
        <f>[2]sens_100_spec_10_PSA!A67</f>
        <v>66</v>
      </c>
      <c r="B67">
        <f>[2]sens_100_spec_10_PSA!B67</f>
        <v>1</v>
      </c>
      <c r="C67" t="str">
        <f>[2]sens_100_spec_10_PSA!C67</f>
        <v>NA</v>
      </c>
      <c r="D67">
        <f>[2]sens_100_spec_10_PSA!D67</f>
        <v>1</v>
      </c>
      <c r="E67" s="1">
        <f>[2]sens_100_spec_10_PSA!E67</f>
        <v>0.12939999999999999</v>
      </c>
      <c r="F67" s="1">
        <f>[2]sens_100_spec_10_PSA!F67</f>
        <v>2.1899999999999999E-2</v>
      </c>
      <c r="G67" s="2">
        <f>[2]sens_100_spec_10_PSA!G67</f>
        <v>18.9021110960757</v>
      </c>
      <c r="H67" s="2">
        <f>[2]sens_100_spec_10_PSA!H67</f>
        <v>11.9878656062702</v>
      </c>
      <c r="I67" s="2">
        <f>[2]sens_100_spec_10_PSA!I67</f>
        <v>7.2649286079406501</v>
      </c>
      <c r="J67" s="3">
        <f>[2]sens_100_spec_10_PSA!J67</f>
        <v>270561.38937451399</v>
      </c>
      <c r="K67" s="3">
        <f>[2]sens_100_spec_10_PSA!K67</f>
        <v>160432.62720479001</v>
      </c>
      <c r="L67">
        <f>[2]sens_100_spec_10_PSA!L67</f>
        <v>1</v>
      </c>
      <c r="M67">
        <f>[2]sens_100_spec_10_PSA!M67</f>
        <v>0</v>
      </c>
    </row>
    <row r="68" spans="1:13" x14ac:dyDescent="0.25">
      <c r="A68">
        <f>[2]sens_100_spec_10_PSA!A68</f>
        <v>67</v>
      </c>
      <c r="B68">
        <f>[2]sens_100_spec_10_PSA!B68</f>
        <v>1</v>
      </c>
      <c r="C68" t="str">
        <f>[2]sens_100_spec_10_PSA!C68</f>
        <v>NA</v>
      </c>
      <c r="D68">
        <f>[2]sens_100_spec_10_PSA!D68</f>
        <v>1</v>
      </c>
      <c r="E68" s="1">
        <f>[2]sens_100_spec_10_PSA!E68</f>
        <v>0.17100000000000001</v>
      </c>
      <c r="F68" s="1">
        <f>[2]sens_100_spec_10_PSA!F68</f>
        <v>2.4199999999999999E-2</v>
      </c>
      <c r="G68" s="2">
        <f>[2]sens_100_spec_10_PSA!G68</f>
        <v>17.978389258817799</v>
      </c>
      <c r="H68" s="2">
        <f>[2]sens_100_spec_10_PSA!H68</f>
        <v>13.2915445799576</v>
      </c>
      <c r="I68" s="2">
        <f>[2]sens_100_spec_10_PSA!I68</f>
        <v>8.0842495013378493</v>
      </c>
      <c r="J68" s="3">
        <f>[2]sens_100_spec_10_PSA!J68</f>
        <v>195496.63257405299</v>
      </c>
      <c r="K68" s="3">
        <f>[2]sens_100_spec_10_PSA!K68</f>
        <v>118346.487840699</v>
      </c>
      <c r="L68">
        <f>[2]sens_100_spec_10_PSA!L68</f>
        <v>1</v>
      </c>
      <c r="M68">
        <f>[2]sens_100_spec_10_PSA!M68</f>
        <v>0</v>
      </c>
    </row>
    <row r="69" spans="1:13" x14ac:dyDescent="0.25">
      <c r="A69">
        <f>[2]sens_100_spec_10_PSA!A69</f>
        <v>68</v>
      </c>
      <c r="B69">
        <f>[2]sens_100_spec_10_PSA!B69</f>
        <v>1</v>
      </c>
      <c r="C69" t="str">
        <f>[2]sens_100_spec_10_PSA!C69</f>
        <v>NA</v>
      </c>
      <c r="D69">
        <f>[2]sens_100_spec_10_PSA!D69</f>
        <v>1</v>
      </c>
      <c r="E69" s="1">
        <f>[2]sens_100_spec_10_PSA!E69</f>
        <v>0.15329999999999999</v>
      </c>
      <c r="F69" s="1">
        <f>[2]sens_100_spec_10_PSA!F69</f>
        <v>2.4899999999999999E-2</v>
      </c>
      <c r="G69" s="2">
        <f>[2]sens_100_spec_10_PSA!G69</f>
        <v>19.8762298987427</v>
      </c>
      <c r="H69" s="2">
        <f>[2]sens_100_spec_10_PSA!H69</f>
        <v>14.8526541726632</v>
      </c>
      <c r="I69" s="2">
        <f>[2]sens_100_spec_10_PSA!I69</f>
        <v>8.7789760381754807</v>
      </c>
      <c r="J69" s="3">
        <f>[2]sens_100_spec_10_PSA!J69</f>
        <v>221828.508696067</v>
      </c>
      <c r="K69" s="3">
        <f>[2]sens_100_spec_10_PSA!K69</f>
        <v>128872.801761799</v>
      </c>
      <c r="L69">
        <f>[2]sens_100_spec_10_PSA!L69</f>
        <v>1</v>
      </c>
      <c r="M69">
        <f>[2]sens_100_spec_10_PSA!M69</f>
        <v>0</v>
      </c>
    </row>
    <row r="70" spans="1:13" x14ac:dyDescent="0.25">
      <c r="A70">
        <f>[2]sens_100_spec_10_PSA!A70</f>
        <v>69</v>
      </c>
      <c r="B70">
        <f>[2]sens_100_spec_10_PSA!B70</f>
        <v>1</v>
      </c>
      <c r="C70" t="str">
        <f>[2]sens_100_spec_10_PSA!C70</f>
        <v>NA</v>
      </c>
      <c r="D70">
        <f>[2]sens_100_spec_10_PSA!D70</f>
        <v>1</v>
      </c>
      <c r="E70" s="1">
        <f>[2]sens_100_spec_10_PSA!E70</f>
        <v>0.13350000000000001</v>
      </c>
      <c r="F70" s="1">
        <f>[2]sens_100_spec_10_PSA!F70</f>
        <v>2.3800000000000002E-2</v>
      </c>
      <c r="G70" s="2">
        <f>[2]sens_100_spec_10_PSA!G70</f>
        <v>19.128849575586301</v>
      </c>
      <c r="H70" s="2">
        <f>[2]sens_100_spec_10_PSA!H70</f>
        <v>11.529560982193599</v>
      </c>
      <c r="I70" s="2">
        <f>[2]sens_100_spec_10_PSA!I70</f>
        <v>6.9404429907934704</v>
      </c>
      <c r="J70" s="3">
        <f>[2]sens_100_spec_10_PSA!J70</f>
        <v>224965.62219141299</v>
      </c>
      <c r="K70" s="3">
        <f>[2]sens_100_spec_10_PSA!K70</f>
        <v>133547.90639533199</v>
      </c>
      <c r="L70">
        <f>[2]sens_100_spec_10_PSA!L70</f>
        <v>1</v>
      </c>
      <c r="M70">
        <f>[2]sens_100_spec_10_PSA!M70</f>
        <v>0</v>
      </c>
    </row>
    <row r="71" spans="1:13" x14ac:dyDescent="0.25">
      <c r="A71">
        <f>[2]sens_100_spec_10_PSA!A71</f>
        <v>70</v>
      </c>
      <c r="B71">
        <f>[2]sens_100_spec_10_PSA!B71</f>
        <v>1</v>
      </c>
      <c r="C71" t="str">
        <f>[2]sens_100_spec_10_PSA!C71</f>
        <v>NA</v>
      </c>
      <c r="D71">
        <f>[2]sens_100_spec_10_PSA!D71</f>
        <v>1</v>
      </c>
      <c r="E71" s="1">
        <f>[2]sens_100_spec_10_PSA!E71</f>
        <v>0.1041</v>
      </c>
      <c r="F71" s="1">
        <f>[2]sens_100_spec_10_PSA!F71</f>
        <v>3.0099999999999998E-2</v>
      </c>
      <c r="G71" s="2">
        <f>[2]sens_100_spec_10_PSA!G71</f>
        <v>18.4584588186279</v>
      </c>
      <c r="H71" s="2">
        <f>[2]sens_100_spec_10_PSA!H71</f>
        <v>13.632766142407499</v>
      </c>
      <c r="I71" s="2">
        <f>[2]sens_100_spec_10_PSA!I71</f>
        <v>8.3213144498328599</v>
      </c>
      <c r="J71" s="3">
        <f>[2]sens_100_spec_10_PSA!J71</f>
        <v>209172.54485388499</v>
      </c>
      <c r="K71" s="3">
        <f>[2]sens_100_spec_10_PSA!K71</f>
        <v>126846.78682301599</v>
      </c>
      <c r="L71">
        <f>[2]sens_100_spec_10_PSA!L71</f>
        <v>1</v>
      </c>
      <c r="M71">
        <f>[2]sens_100_spec_10_PSA!M71</f>
        <v>0</v>
      </c>
    </row>
    <row r="72" spans="1:13" x14ac:dyDescent="0.25">
      <c r="A72">
        <f>[2]sens_100_spec_10_PSA!A72</f>
        <v>71</v>
      </c>
      <c r="B72">
        <f>[2]sens_100_spec_10_PSA!B72</f>
        <v>1</v>
      </c>
      <c r="C72" t="str">
        <f>[2]sens_100_spec_10_PSA!C72</f>
        <v>NA</v>
      </c>
      <c r="D72">
        <f>[2]sens_100_spec_10_PSA!D72</f>
        <v>1</v>
      </c>
      <c r="E72" s="1">
        <f>[2]sens_100_spec_10_PSA!E72</f>
        <v>9.2100000000000001E-2</v>
      </c>
      <c r="F72" s="1">
        <f>[2]sens_100_spec_10_PSA!F72</f>
        <v>2.6200000000000001E-2</v>
      </c>
      <c r="G72" s="2">
        <f>[2]sens_100_spec_10_PSA!G72</f>
        <v>20.4047822777835</v>
      </c>
      <c r="H72" s="2">
        <f>[2]sens_100_spec_10_PSA!H72</f>
        <v>15.9589317781573</v>
      </c>
      <c r="I72" s="2">
        <f>[2]sens_100_spec_10_PSA!I72</f>
        <v>9.5165020003827596</v>
      </c>
      <c r="J72" s="3">
        <f>[2]sens_100_spec_10_PSA!J72</f>
        <v>244027.489550025</v>
      </c>
      <c r="K72" s="3">
        <f>[2]sens_100_spec_10_PSA!K72</f>
        <v>143077.669447744</v>
      </c>
      <c r="L72">
        <f>[2]sens_100_spec_10_PSA!L72</f>
        <v>1</v>
      </c>
      <c r="M72">
        <f>[2]sens_100_spec_10_PSA!M72</f>
        <v>0</v>
      </c>
    </row>
    <row r="73" spans="1:13" x14ac:dyDescent="0.25">
      <c r="A73">
        <f>[2]sens_100_spec_10_PSA!A73</f>
        <v>72</v>
      </c>
      <c r="B73">
        <f>[2]sens_100_spec_10_PSA!B73</f>
        <v>1</v>
      </c>
      <c r="C73" t="str">
        <f>[2]sens_100_spec_10_PSA!C73</f>
        <v>NA</v>
      </c>
      <c r="D73">
        <f>[2]sens_100_spec_10_PSA!D73</f>
        <v>1</v>
      </c>
      <c r="E73" s="1">
        <f>[2]sens_100_spec_10_PSA!E73</f>
        <v>0.1754</v>
      </c>
      <c r="F73" s="1">
        <f>[2]sens_100_spec_10_PSA!F73</f>
        <v>2.23E-2</v>
      </c>
      <c r="G73" s="2">
        <f>[2]sens_100_spec_10_PSA!G73</f>
        <v>17.757977408015201</v>
      </c>
      <c r="H73" s="2">
        <f>[2]sens_100_spec_10_PSA!H73</f>
        <v>13.7732911031119</v>
      </c>
      <c r="I73" s="2">
        <f>[2]sens_100_spec_10_PSA!I73</f>
        <v>8.3826618051794792</v>
      </c>
      <c r="J73" s="3">
        <f>[2]sens_100_spec_10_PSA!J73</f>
        <v>218580.67970680501</v>
      </c>
      <c r="K73" s="3">
        <f>[2]sens_100_spec_10_PSA!K73</f>
        <v>131522.095848044</v>
      </c>
      <c r="L73">
        <f>[2]sens_100_spec_10_PSA!L73</f>
        <v>1</v>
      </c>
      <c r="M73">
        <f>[2]sens_100_spec_10_PSA!M73</f>
        <v>0</v>
      </c>
    </row>
    <row r="74" spans="1:13" x14ac:dyDescent="0.25">
      <c r="A74">
        <f>[2]sens_100_spec_10_PSA!A74</f>
        <v>73</v>
      </c>
      <c r="B74">
        <f>[2]sens_100_spec_10_PSA!B74</f>
        <v>1</v>
      </c>
      <c r="C74" t="str">
        <f>[2]sens_100_spec_10_PSA!C74</f>
        <v>NA</v>
      </c>
      <c r="D74">
        <f>[2]sens_100_spec_10_PSA!D74</f>
        <v>1</v>
      </c>
      <c r="E74" s="1">
        <f>[2]sens_100_spec_10_PSA!E74</f>
        <v>0.15179999999999999</v>
      </c>
      <c r="F74" s="1">
        <f>[2]sens_100_spec_10_PSA!F74</f>
        <v>2.2499999999999999E-2</v>
      </c>
      <c r="G74" s="2">
        <f>[2]sens_100_spec_10_PSA!G74</f>
        <v>19.364071864934498</v>
      </c>
      <c r="H74" s="2">
        <f>[2]sens_100_spec_10_PSA!H74</f>
        <v>12.819860038224499</v>
      </c>
      <c r="I74" s="2">
        <f>[2]sens_100_spec_10_PSA!I74</f>
        <v>7.6680406131050702</v>
      </c>
      <c r="J74" s="3">
        <f>[2]sens_100_spec_10_PSA!J74</f>
        <v>218070.791918712</v>
      </c>
      <c r="K74" s="3">
        <f>[2]sens_100_spec_10_PSA!K74</f>
        <v>128686.675670813</v>
      </c>
      <c r="L74">
        <f>[2]sens_100_spec_10_PSA!L74</f>
        <v>1</v>
      </c>
      <c r="M74">
        <f>[2]sens_100_spec_10_PSA!M74</f>
        <v>0</v>
      </c>
    </row>
    <row r="75" spans="1:13" x14ac:dyDescent="0.25">
      <c r="A75">
        <f>[2]sens_100_spec_10_PSA!A75</f>
        <v>74</v>
      </c>
      <c r="B75">
        <f>[2]sens_100_spec_10_PSA!B75</f>
        <v>1</v>
      </c>
      <c r="C75" t="str">
        <f>[2]sens_100_spec_10_PSA!C75</f>
        <v>NA</v>
      </c>
      <c r="D75">
        <f>[2]sens_100_spec_10_PSA!D75</f>
        <v>1</v>
      </c>
      <c r="E75" s="1">
        <f>[2]sens_100_spec_10_PSA!E75</f>
        <v>0.13400000000000001</v>
      </c>
      <c r="F75" s="1">
        <f>[2]sens_100_spec_10_PSA!F75</f>
        <v>2.5600000000000001E-2</v>
      </c>
      <c r="G75" s="2">
        <f>[2]sens_100_spec_10_PSA!G75</f>
        <v>18.9510960253828</v>
      </c>
      <c r="H75" s="2">
        <f>[2]sens_100_spec_10_PSA!H75</f>
        <v>12.9634334402127</v>
      </c>
      <c r="I75" s="2">
        <f>[2]sens_100_spec_10_PSA!I75</f>
        <v>7.80848035350171</v>
      </c>
      <c r="J75" s="3">
        <f>[2]sens_100_spec_10_PSA!J75</f>
        <v>186853.336088885</v>
      </c>
      <c r="K75" s="3">
        <f>[2]sens_100_spec_10_PSA!K75</f>
        <v>112360.618144929</v>
      </c>
      <c r="L75">
        <f>[2]sens_100_spec_10_PSA!L75</f>
        <v>1</v>
      </c>
      <c r="M75">
        <f>[2]sens_100_spec_10_PSA!M75</f>
        <v>0</v>
      </c>
    </row>
    <row r="76" spans="1:13" x14ac:dyDescent="0.25">
      <c r="A76">
        <f>[2]sens_100_spec_10_PSA!A76</f>
        <v>75</v>
      </c>
      <c r="B76">
        <f>[2]sens_100_spec_10_PSA!B76</f>
        <v>1</v>
      </c>
      <c r="C76" t="str">
        <f>[2]sens_100_spec_10_PSA!C76</f>
        <v>NA</v>
      </c>
      <c r="D76">
        <f>[2]sens_100_spec_10_PSA!D76</f>
        <v>1</v>
      </c>
      <c r="E76" s="1">
        <f>[2]sens_100_spec_10_PSA!E76</f>
        <v>0.1946</v>
      </c>
      <c r="F76" s="1">
        <f>[2]sens_100_spec_10_PSA!F76</f>
        <v>2.53E-2</v>
      </c>
      <c r="G76" s="2">
        <f>[2]sens_100_spec_10_PSA!G76</f>
        <v>17.9464419570781</v>
      </c>
      <c r="H76" s="2">
        <f>[2]sens_100_spec_10_PSA!H76</f>
        <v>13.28596253003</v>
      </c>
      <c r="I76" s="2">
        <f>[2]sens_100_spec_10_PSA!I76</f>
        <v>7.98878650168772</v>
      </c>
      <c r="J76" s="3">
        <f>[2]sens_100_spec_10_PSA!J76</f>
        <v>166273.48855325</v>
      </c>
      <c r="K76" s="3">
        <f>[2]sens_100_spec_10_PSA!K76</f>
        <v>100394.446302235</v>
      </c>
      <c r="L76">
        <f>[2]sens_100_spec_10_PSA!L76</f>
        <v>1</v>
      </c>
      <c r="M76">
        <f>[2]sens_100_spec_10_PSA!M76</f>
        <v>0</v>
      </c>
    </row>
    <row r="77" spans="1:13" x14ac:dyDescent="0.25">
      <c r="A77">
        <f>[2]sens_100_spec_10_PSA!A77</f>
        <v>76</v>
      </c>
      <c r="B77">
        <f>[2]sens_100_spec_10_PSA!B77</f>
        <v>1</v>
      </c>
      <c r="C77" t="str">
        <f>[2]sens_100_spec_10_PSA!C77</f>
        <v>NA</v>
      </c>
      <c r="D77">
        <f>[2]sens_100_spec_10_PSA!D77</f>
        <v>1</v>
      </c>
      <c r="E77" s="1">
        <f>[2]sens_100_spec_10_PSA!E77</f>
        <v>0.15490000000000001</v>
      </c>
      <c r="F77" s="1">
        <f>[2]sens_100_spec_10_PSA!F77</f>
        <v>2.75E-2</v>
      </c>
      <c r="G77" s="2">
        <f>[2]sens_100_spec_10_PSA!G77</f>
        <v>18.348353944139902</v>
      </c>
      <c r="H77" s="2">
        <f>[2]sens_100_spec_10_PSA!H77</f>
        <v>14.8404141710687</v>
      </c>
      <c r="I77" s="2">
        <f>[2]sens_100_spec_10_PSA!I77</f>
        <v>8.9517856470702704</v>
      </c>
      <c r="J77" s="3">
        <f>[2]sens_100_spec_10_PSA!J77</f>
        <v>184282.043909456</v>
      </c>
      <c r="K77" s="3">
        <f>[2]sens_100_spec_10_PSA!K77</f>
        <v>111019.12855934299</v>
      </c>
      <c r="L77">
        <f>[2]sens_100_spec_10_PSA!L77</f>
        <v>1</v>
      </c>
      <c r="M77">
        <f>[2]sens_100_spec_10_PSA!M77</f>
        <v>0</v>
      </c>
    </row>
    <row r="78" spans="1:13" x14ac:dyDescent="0.25">
      <c r="A78">
        <f>[2]sens_100_spec_10_PSA!A78</f>
        <v>77</v>
      </c>
      <c r="B78">
        <f>[2]sens_100_spec_10_PSA!B78</f>
        <v>1</v>
      </c>
      <c r="C78" t="str">
        <f>[2]sens_100_spec_10_PSA!C78</f>
        <v>NA</v>
      </c>
      <c r="D78">
        <f>[2]sens_100_spec_10_PSA!D78</f>
        <v>1</v>
      </c>
      <c r="E78" s="1">
        <f>[2]sens_100_spec_10_PSA!E78</f>
        <v>0.24329999999999999</v>
      </c>
      <c r="F78" s="1">
        <f>[2]sens_100_spec_10_PSA!F78</f>
        <v>2.2800000000000001E-2</v>
      </c>
      <c r="G78" s="2">
        <f>[2]sens_100_spec_10_PSA!G78</f>
        <v>18.145881362676398</v>
      </c>
      <c r="H78" s="2">
        <f>[2]sens_100_spec_10_PSA!H78</f>
        <v>12.5502241311648</v>
      </c>
      <c r="I78" s="2">
        <f>[2]sens_100_spec_10_PSA!I78</f>
        <v>7.4224998768950998</v>
      </c>
      <c r="J78" s="3">
        <f>[2]sens_100_spec_10_PSA!J78</f>
        <v>219268.918576631</v>
      </c>
      <c r="K78" s="3">
        <f>[2]sens_100_spec_10_PSA!K78</f>
        <v>127296.392332396</v>
      </c>
      <c r="L78">
        <f>[2]sens_100_spec_10_PSA!L78</f>
        <v>1</v>
      </c>
      <c r="M78">
        <f>[2]sens_100_spec_10_PSA!M78</f>
        <v>0</v>
      </c>
    </row>
    <row r="79" spans="1:13" x14ac:dyDescent="0.25">
      <c r="A79">
        <f>[2]sens_100_spec_10_PSA!A79</f>
        <v>78</v>
      </c>
      <c r="B79">
        <f>[2]sens_100_spec_10_PSA!B79</f>
        <v>1</v>
      </c>
      <c r="C79" t="str">
        <f>[2]sens_100_spec_10_PSA!C79</f>
        <v>NA</v>
      </c>
      <c r="D79">
        <f>[2]sens_100_spec_10_PSA!D79</f>
        <v>1</v>
      </c>
      <c r="E79" s="1">
        <f>[2]sens_100_spec_10_PSA!E79</f>
        <v>0.1011</v>
      </c>
      <c r="F79" s="1">
        <f>[2]sens_100_spec_10_PSA!F79</f>
        <v>2.29E-2</v>
      </c>
      <c r="G79" s="2">
        <f>[2]sens_100_spec_10_PSA!G79</f>
        <v>18.3032490324746</v>
      </c>
      <c r="H79" s="2">
        <f>[2]sens_100_spec_10_PSA!H79</f>
        <v>13.760054603136901</v>
      </c>
      <c r="I79" s="2">
        <f>[2]sens_100_spec_10_PSA!I79</f>
        <v>8.4571124589218201</v>
      </c>
      <c r="J79" s="3">
        <f>[2]sens_100_spec_10_PSA!J79</f>
        <v>197725.511977544</v>
      </c>
      <c r="K79" s="3">
        <f>[2]sens_100_spec_10_PSA!K79</f>
        <v>121416.89882772999</v>
      </c>
      <c r="L79">
        <f>[2]sens_100_spec_10_PSA!L79</f>
        <v>1</v>
      </c>
      <c r="M79">
        <f>[2]sens_100_spec_10_PSA!M79</f>
        <v>0</v>
      </c>
    </row>
    <row r="80" spans="1:13" x14ac:dyDescent="0.25">
      <c r="A80">
        <f>[2]sens_100_spec_10_PSA!A80</f>
        <v>79</v>
      </c>
      <c r="B80">
        <f>[2]sens_100_spec_10_PSA!B80</f>
        <v>1</v>
      </c>
      <c r="C80" t="str">
        <f>[2]sens_100_spec_10_PSA!C80</f>
        <v>NA</v>
      </c>
      <c r="D80">
        <f>[2]sens_100_spec_10_PSA!D80</f>
        <v>1</v>
      </c>
      <c r="E80" s="1">
        <f>[2]sens_100_spec_10_PSA!E80</f>
        <v>8.77E-2</v>
      </c>
      <c r="F80" s="1">
        <f>[2]sens_100_spec_10_PSA!F80</f>
        <v>2.5899999999999999E-2</v>
      </c>
      <c r="G80" s="2">
        <f>[2]sens_100_spec_10_PSA!G80</f>
        <v>20.3996492416798</v>
      </c>
      <c r="H80" s="2">
        <f>[2]sens_100_spec_10_PSA!H80</f>
        <v>13.889759362843</v>
      </c>
      <c r="I80" s="2">
        <f>[2]sens_100_spec_10_PSA!I80</f>
        <v>8.3081164113656794</v>
      </c>
      <c r="J80" s="3">
        <f>[2]sens_100_spec_10_PSA!J80</f>
        <v>252203.49392016401</v>
      </c>
      <c r="K80" s="3">
        <f>[2]sens_100_spec_10_PSA!K80</f>
        <v>148111.270611724</v>
      </c>
      <c r="L80">
        <f>[2]sens_100_spec_10_PSA!L80</f>
        <v>1</v>
      </c>
      <c r="M80">
        <f>[2]sens_100_spec_10_PSA!M80</f>
        <v>0</v>
      </c>
    </row>
    <row r="81" spans="1:13" x14ac:dyDescent="0.25">
      <c r="A81">
        <f>[2]sens_100_spec_10_PSA!A81</f>
        <v>80</v>
      </c>
      <c r="B81">
        <f>[2]sens_100_spec_10_PSA!B81</f>
        <v>1</v>
      </c>
      <c r="C81" t="str">
        <f>[2]sens_100_spec_10_PSA!C81</f>
        <v>NA</v>
      </c>
      <c r="D81">
        <f>[2]sens_100_spec_10_PSA!D81</f>
        <v>1</v>
      </c>
      <c r="E81" s="1">
        <f>[2]sens_100_spec_10_PSA!E81</f>
        <v>0.22570000000000001</v>
      </c>
      <c r="F81" s="1">
        <f>[2]sens_100_spec_10_PSA!F81</f>
        <v>2.2700000000000001E-2</v>
      </c>
      <c r="G81" s="2">
        <f>[2]sens_100_spec_10_PSA!G81</f>
        <v>17.593956893226999</v>
      </c>
      <c r="H81" s="2">
        <f>[2]sens_100_spec_10_PSA!H81</f>
        <v>13.034379935380599</v>
      </c>
      <c r="I81" s="2">
        <f>[2]sens_100_spec_10_PSA!I81</f>
        <v>7.8002791130805704</v>
      </c>
      <c r="J81" s="3">
        <f>[2]sens_100_spec_10_PSA!J81</f>
        <v>175700.69756250299</v>
      </c>
      <c r="K81" s="3">
        <f>[2]sens_100_spec_10_PSA!K81</f>
        <v>104999.718775514</v>
      </c>
      <c r="L81">
        <f>[2]sens_100_spec_10_PSA!L81</f>
        <v>1</v>
      </c>
      <c r="M81">
        <f>[2]sens_100_spec_10_PSA!M81</f>
        <v>0</v>
      </c>
    </row>
    <row r="82" spans="1:13" x14ac:dyDescent="0.25">
      <c r="A82">
        <f>[2]sens_100_spec_10_PSA!A82</f>
        <v>81</v>
      </c>
      <c r="B82">
        <f>[2]sens_100_spec_10_PSA!B82</f>
        <v>1</v>
      </c>
      <c r="C82" t="str">
        <f>[2]sens_100_spec_10_PSA!C82</f>
        <v>NA</v>
      </c>
      <c r="D82">
        <f>[2]sens_100_spec_10_PSA!D82</f>
        <v>1</v>
      </c>
      <c r="E82" s="1">
        <f>[2]sens_100_spec_10_PSA!E82</f>
        <v>0.2235</v>
      </c>
      <c r="F82" s="1">
        <f>[2]sens_100_spec_10_PSA!F82</f>
        <v>2.0400000000000001E-2</v>
      </c>
      <c r="G82" s="2">
        <f>[2]sens_100_spec_10_PSA!G82</f>
        <v>17.8863734776148</v>
      </c>
      <c r="H82" s="2">
        <f>[2]sens_100_spec_10_PSA!H82</f>
        <v>14.1777916178665</v>
      </c>
      <c r="I82" s="2">
        <f>[2]sens_100_spec_10_PSA!I82</f>
        <v>8.4814810601681803</v>
      </c>
      <c r="J82" s="3">
        <f>[2]sens_100_spec_10_PSA!J82</f>
        <v>199350.30971742599</v>
      </c>
      <c r="K82" s="3">
        <f>[2]sens_100_spec_10_PSA!K82</f>
        <v>118129.590803652</v>
      </c>
      <c r="L82">
        <f>[2]sens_100_spec_10_PSA!L82</f>
        <v>1</v>
      </c>
      <c r="M82">
        <f>[2]sens_100_spec_10_PSA!M82</f>
        <v>0</v>
      </c>
    </row>
    <row r="83" spans="1:13" x14ac:dyDescent="0.25">
      <c r="A83">
        <f>[2]sens_100_spec_10_PSA!A83</f>
        <v>82</v>
      </c>
      <c r="B83">
        <f>[2]sens_100_spec_10_PSA!B83</f>
        <v>1</v>
      </c>
      <c r="C83" t="str">
        <f>[2]sens_100_spec_10_PSA!C83</f>
        <v>NA</v>
      </c>
      <c r="D83">
        <f>[2]sens_100_spec_10_PSA!D83</f>
        <v>1</v>
      </c>
      <c r="E83" s="1">
        <f>[2]sens_100_spec_10_PSA!E83</f>
        <v>0.12959999999999999</v>
      </c>
      <c r="F83" s="1">
        <f>[2]sens_100_spec_10_PSA!F83</f>
        <v>2.5100000000000001E-2</v>
      </c>
      <c r="G83" s="2">
        <f>[2]sens_100_spec_10_PSA!G83</f>
        <v>20.133560579817701</v>
      </c>
      <c r="H83" s="2">
        <f>[2]sens_100_spec_10_PSA!H83</f>
        <v>14.0795384025625</v>
      </c>
      <c r="I83" s="2">
        <f>[2]sens_100_spec_10_PSA!I83</f>
        <v>8.3454586691377592</v>
      </c>
      <c r="J83" s="3">
        <f>[2]sens_100_spec_10_PSA!J83</f>
        <v>263580.94371008599</v>
      </c>
      <c r="K83" s="3">
        <f>[2]sens_100_spec_10_PSA!K83</f>
        <v>152376.32929689699</v>
      </c>
      <c r="L83">
        <f>[2]sens_100_spec_10_PSA!L83</f>
        <v>1</v>
      </c>
      <c r="M83">
        <f>[2]sens_100_spec_10_PSA!M83</f>
        <v>0</v>
      </c>
    </row>
    <row r="84" spans="1:13" x14ac:dyDescent="0.25">
      <c r="A84">
        <f>[2]sens_100_spec_10_PSA!A84</f>
        <v>83</v>
      </c>
      <c r="B84">
        <f>[2]sens_100_spec_10_PSA!B84</f>
        <v>1</v>
      </c>
      <c r="C84" t="str">
        <f>[2]sens_100_spec_10_PSA!C84</f>
        <v>NA</v>
      </c>
      <c r="D84">
        <f>[2]sens_100_spec_10_PSA!D84</f>
        <v>1</v>
      </c>
      <c r="E84" s="1">
        <f>[2]sens_100_spec_10_PSA!E84</f>
        <v>0.14660000000000001</v>
      </c>
      <c r="F84" s="1">
        <f>[2]sens_100_spec_10_PSA!F84</f>
        <v>2.0400000000000001E-2</v>
      </c>
      <c r="G84" s="2">
        <f>[2]sens_100_spec_10_PSA!G84</f>
        <v>19.3677943172356</v>
      </c>
      <c r="H84" s="2">
        <f>[2]sens_100_spec_10_PSA!H84</f>
        <v>13.6646111114432</v>
      </c>
      <c r="I84" s="2">
        <f>[2]sens_100_spec_10_PSA!I84</f>
        <v>8.1801661966514203</v>
      </c>
      <c r="J84" s="3">
        <f>[2]sens_100_spec_10_PSA!J84</f>
        <v>178307.450360102</v>
      </c>
      <c r="K84" s="3">
        <f>[2]sens_100_spec_10_PSA!K84</f>
        <v>106809.322223247</v>
      </c>
      <c r="L84">
        <f>[2]sens_100_spec_10_PSA!L84</f>
        <v>1</v>
      </c>
      <c r="M84">
        <f>[2]sens_100_spec_10_PSA!M84</f>
        <v>0</v>
      </c>
    </row>
    <row r="85" spans="1:13" x14ac:dyDescent="0.25">
      <c r="A85">
        <f>[2]sens_100_spec_10_PSA!A85</f>
        <v>84</v>
      </c>
      <c r="B85">
        <f>[2]sens_100_spec_10_PSA!B85</f>
        <v>1</v>
      </c>
      <c r="C85" t="str">
        <f>[2]sens_100_spec_10_PSA!C85</f>
        <v>NA</v>
      </c>
      <c r="D85">
        <f>[2]sens_100_spec_10_PSA!D85</f>
        <v>1</v>
      </c>
      <c r="E85" s="1">
        <f>[2]sens_100_spec_10_PSA!E85</f>
        <v>0.22259999999999999</v>
      </c>
      <c r="F85" s="1">
        <f>[2]sens_100_spec_10_PSA!F85</f>
        <v>2.3400000000000001E-2</v>
      </c>
      <c r="G85" s="2">
        <f>[2]sens_100_spec_10_PSA!G85</f>
        <v>17.021135106079299</v>
      </c>
      <c r="H85" s="2">
        <f>[2]sens_100_spec_10_PSA!H85</f>
        <v>12.687284250775001</v>
      </c>
      <c r="I85" s="2">
        <f>[2]sens_100_spec_10_PSA!I85</f>
        <v>7.69257363149692</v>
      </c>
      <c r="J85" s="3">
        <f>[2]sens_100_spec_10_PSA!J85</f>
        <v>126774.54194877901</v>
      </c>
      <c r="K85" s="3">
        <f>[2]sens_100_spec_10_PSA!K85</f>
        <v>78719.736861567799</v>
      </c>
      <c r="L85">
        <f>[2]sens_100_spec_10_PSA!L85</f>
        <v>1</v>
      </c>
      <c r="M85">
        <f>[2]sens_100_spec_10_PSA!M85</f>
        <v>0</v>
      </c>
    </row>
    <row r="86" spans="1:13" x14ac:dyDescent="0.25">
      <c r="A86">
        <f>[2]sens_100_spec_10_PSA!A86</f>
        <v>85</v>
      </c>
      <c r="B86">
        <f>[2]sens_100_spec_10_PSA!B86</f>
        <v>1</v>
      </c>
      <c r="C86" t="str">
        <f>[2]sens_100_spec_10_PSA!C86</f>
        <v>NA</v>
      </c>
      <c r="D86">
        <f>[2]sens_100_spec_10_PSA!D86</f>
        <v>1</v>
      </c>
      <c r="E86" s="1">
        <f>[2]sens_100_spec_10_PSA!E86</f>
        <v>0.11550000000000001</v>
      </c>
      <c r="F86" s="1">
        <f>[2]sens_100_spec_10_PSA!F86</f>
        <v>2.5399999999999999E-2</v>
      </c>
      <c r="G86" s="2">
        <f>[2]sens_100_spec_10_PSA!G86</f>
        <v>17.919090537891901</v>
      </c>
      <c r="H86" s="2">
        <f>[2]sens_100_spec_10_PSA!H86</f>
        <v>12.5018453812642</v>
      </c>
      <c r="I86" s="2">
        <f>[2]sens_100_spec_10_PSA!I86</f>
        <v>7.6708686628542502</v>
      </c>
      <c r="J86" s="3">
        <f>[2]sens_100_spec_10_PSA!J86</f>
        <v>162650.123493402</v>
      </c>
      <c r="K86" s="3">
        <f>[2]sens_100_spec_10_PSA!K86</f>
        <v>100755.258882195</v>
      </c>
      <c r="L86">
        <f>[2]sens_100_spec_10_PSA!L86</f>
        <v>1</v>
      </c>
      <c r="M86">
        <f>[2]sens_100_spec_10_PSA!M86</f>
        <v>0</v>
      </c>
    </row>
    <row r="87" spans="1:13" x14ac:dyDescent="0.25">
      <c r="A87">
        <f>[2]sens_100_spec_10_PSA!A87</f>
        <v>86</v>
      </c>
      <c r="B87">
        <f>[2]sens_100_spec_10_PSA!B87</f>
        <v>1</v>
      </c>
      <c r="C87" t="str">
        <f>[2]sens_100_spec_10_PSA!C87</f>
        <v>NA</v>
      </c>
      <c r="D87">
        <f>[2]sens_100_spec_10_PSA!D87</f>
        <v>1</v>
      </c>
      <c r="E87" s="1">
        <f>[2]sens_100_spec_10_PSA!E87</f>
        <v>0.21840000000000001</v>
      </c>
      <c r="F87" s="1">
        <f>[2]sens_100_spec_10_PSA!F87</f>
        <v>2.4199999999999999E-2</v>
      </c>
      <c r="G87" s="2">
        <f>[2]sens_100_spec_10_PSA!G87</f>
        <v>16.014242263380599</v>
      </c>
      <c r="H87" s="2">
        <f>[2]sens_100_spec_10_PSA!H87</f>
        <v>12.577291914104199</v>
      </c>
      <c r="I87" s="2">
        <f>[2]sens_100_spec_10_PSA!I87</f>
        <v>7.7714136027840803</v>
      </c>
      <c r="J87" s="3">
        <f>[2]sens_100_spec_10_PSA!J87</f>
        <v>172667.66266253201</v>
      </c>
      <c r="K87" s="3">
        <f>[2]sens_100_spec_10_PSA!K87</f>
        <v>107156.531557945</v>
      </c>
      <c r="L87">
        <f>[2]sens_100_spec_10_PSA!L87</f>
        <v>1</v>
      </c>
      <c r="M87">
        <f>[2]sens_100_spec_10_PSA!M87</f>
        <v>0</v>
      </c>
    </row>
    <row r="88" spans="1:13" x14ac:dyDescent="0.25">
      <c r="A88">
        <f>[2]sens_100_spec_10_PSA!A88</f>
        <v>87</v>
      </c>
      <c r="B88">
        <f>[2]sens_100_spec_10_PSA!B88</f>
        <v>1</v>
      </c>
      <c r="C88" t="str">
        <f>[2]sens_100_spec_10_PSA!C88</f>
        <v>NA</v>
      </c>
      <c r="D88">
        <f>[2]sens_100_spec_10_PSA!D88</f>
        <v>1</v>
      </c>
      <c r="E88" s="1">
        <f>[2]sens_100_spec_10_PSA!E88</f>
        <v>0.12470000000000001</v>
      </c>
      <c r="F88" s="1">
        <f>[2]sens_100_spec_10_PSA!F88</f>
        <v>2.8000000000000001E-2</v>
      </c>
      <c r="G88" s="2">
        <f>[2]sens_100_spec_10_PSA!G88</f>
        <v>18.606521388836001</v>
      </c>
      <c r="H88" s="2">
        <f>[2]sens_100_spec_10_PSA!H88</f>
        <v>12.6534604325847</v>
      </c>
      <c r="I88" s="2">
        <f>[2]sens_100_spec_10_PSA!I88</f>
        <v>7.6963478002281196</v>
      </c>
      <c r="J88" s="3">
        <f>[2]sens_100_spec_10_PSA!J88</f>
        <v>192509.32309968999</v>
      </c>
      <c r="K88" s="3">
        <f>[2]sens_100_spec_10_PSA!K88</f>
        <v>116986.329429486</v>
      </c>
      <c r="L88">
        <f>[2]sens_100_spec_10_PSA!L88</f>
        <v>1</v>
      </c>
      <c r="M88">
        <f>[2]sens_100_spec_10_PSA!M88</f>
        <v>0</v>
      </c>
    </row>
    <row r="89" spans="1:13" x14ac:dyDescent="0.25">
      <c r="A89">
        <f>[2]sens_100_spec_10_PSA!A89</f>
        <v>88</v>
      </c>
      <c r="B89">
        <f>[2]sens_100_spec_10_PSA!B89</f>
        <v>1</v>
      </c>
      <c r="C89" t="str">
        <f>[2]sens_100_spec_10_PSA!C89</f>
        <v>NA</v>
      </c>
      <c r="D89">
        <f>[2]sens_100_spec_10_PSA!D89</f>
        <v>1</v>
      </c>
      <c r="E89" s="1">
        <f>[2]sens_100_spec_10_PSA!E89</f>
        <v>0.1565</v>
      </c>
      <c r="F89" s="1">
        <f>[2]sens_100_spec_10_PSA!F89</f>
        <v>2.2599999999999999E-2</v>
      </c>
      <c r="G89" s="2">
        <f>[2]sens_100_spec_10_PSA!G89</f>
        <v>18.6655308157798</v>
      </c>
      <c r="H89" s="2">
        <f>[2]sens_100_spec_10_PSA!H89</f>
        <v>13.3196071103112</v>
      </c>
      <c r="I89" s="2">
        <f>[2]sens_100_spec_10_PSA!I89</f>
        <v>8.0099017264034291</v>
      </c>
      <c r="J89" s="3">
        <f>[2]sens_100_spec_10_PSA!J89</f>
        <v>248735.574857703</v>
      </c>
      <c r="K89" s="3">
        <f>[2]sens_100_spec_10_PSA!K89</f>
        <v>146768.62376960099</v>
      </c>
      <c r="L89">
        <f>[2]sens_100_spec_10_PSA!L89</f>
        <v>1</v>
      </c>
      <c r="M89">
        <f>[2]sens_100_spec_10_PSA!M89</f>
        <v>0</v>
      </c>
    </row>
    <row r="90" spans="1:13" x14ac:dyDescent="0.25">
      <c r="A90">
        <f>[2]sens_100_spec_10_PSA!A90</f>
        <v>89</v>
      </c>
      <c r="B90">
        <f>[2]sens_100_spec_10_PSA!B90</f>
        <v>1</v>
      </c>
      <c r="C90" t="str">
        <f>[2]sens_100_spec_10_PSA!C90</f>
        <v>NA</v>
      </c>
      <c r="D90">
        <f>[2]sens_100_spec_10_PSA!D90</f>
        <v>1</v>
      </c>
      <c r="E90" s="1">
        <f>[2]sens_100_spec_10_PSA!E90</f>
        <v>0.1666</v>
      </c>
      <c r="F90" s="1">
        <f>[2]sens_100_spec_10_PSA!F90</f>
        <v>1.9099999999999999E-2</v>
      </c>
      <c r="G90" s="2">
        <f>[2]sens_100_spec_10_PSA!G90</f>
        <v>20.477649082168401</v>
      </c>
      <c r="H90" s="2">
        <f>[2]sens_100_spec_10_PSA!H90</f>
        <v>14.966676100889799</v>
      </c>
      <c r="I90" s="2">
        <f>[2]sens_100_spec_10_PSA!I90</f>
        <v>8.7594934866912499</v>
      </c>
      <c r="J90" s="3">
        <f>[2]sens_100_spec_10_PSA!J90</f>
        <v>303842.08190256002</v>
      </c>
      <c r="K90" s="3">
        <f>[2]sens_100_spec_10_PSA!K90</f>
        <v>171447.140564125</v>
      </c>
      <c r="L90">
        <f>[2]sens_100_spec_10_PSA!L90</f>
        <v>1</v>
      </c>
      <c r="M90">
        <f>[2]sens_100_spec_10_PSA!M90</f>
        <v>0</v>
      </c>
    </row>
    <row r="91" spans="1:13" x14ac:dyDescent="0.25">
      <c r="A91">
        <f>[2]sens_100_spec_10_PSA!A91</f>
        <v>90</v>
      </c>
      <c r="B91">
        <f>[2]sens_100_spec_10_PSA!B91</f>
        <v>1</v>
      </c>
      <c r="C91" t="str">
        <f>[2]sens_100_spec_10_PSA!C91</f>
        <v>NA</v>
      </c>
      <c r="D91">
        <f>[2]sens_100_spec_10_PSA!D91</f>
        <v>1</v>
      </c>
      <c r="E91" s="1">
        <f>[2]sens_100_spec_10_PSA!E91</f>
        <v>0.1389</v>
      </c>
      <c r="F91" s="1">
        <f>[2]sens_100_spec_10_PSA!F91</f>
        <v>2.1600000000000001E-2</v>
      </c>
      <c r="G91" s="2">
        <f>[2]sens_100_spec_10_PSA!G91</f>
        <v>19.239838878931501</v>
      </c>
      <c r="H91" s="2">
        <f>[2]sens_100_spec_10_PSA!H91</f>
        <v>12.1105831096566</v>
      </c>
      <c r="I91" s="2">
        <f>[2]sens_100_spec_10_PSA!I91</f>
        <v>7.2671612046055598</v>
      </c>
      <c r="J91" s="3">
        <f>[2]sens_100_spec_10_PSA!J91</f>
        <v>254609.74261931999</v>
      </c>
      <c r="K91" s="3">
        <f>[2]sens_100_spec_10_PSA!K91</f>
        <v>149803.77269529199</v>
      </c>
      <c r="L91">
        <f>[2]sens_100_spec_10_PSA!L91</f>
        <v>1</v>
      </c>
      <c r="M91">
        <f>[2]sens_100_spec_10_PSA!M91</f>
        <v>0</v>
      </c>
    </row>
    <row r="92" spans="1:13" x14ac:dyDescent="0.25">
      <c r="A92">
        <f>[2]sens_100_spec_10_PSA!A92</f>
        <v>91</v>
      </c>
      <c r="B92">
        <f>[2]sens_100_spec_10_PSA!B92</f>
        <v>1</v>
      </c>
      <c r="C92" t="str">
        <f>[2]sens_100_spec_10_PSA!C92</f>
        <v>NA</v>
      </c>
      <c r="D92">
        <f>[2]sens_100_spec_10_PSA!D92</f>
        <v>1</v>
      </c>
      <c r="E92" s="1">
        <f>[2]sens_100_spec_10_PSA!E92</f>
        <v>0.1656</v>
      </c>
      <c r="F92" s="1">
        <f>[2]sens_100_spec_10_PSA!F92</f>
        <v>2.3E-2</v>
      </c>
      <c r="G92" s="2">
        <f>[2]sens_100_spec_10_PSA!G92</f>
        <v>17.5462464082586</v>
      </c>
      <c r="H92" s="2">
        <f>[2]sens_100_spec_10_PSA!H92</f>
        <v>11.942643999171301</v>
      </c>
      <c r="I92" s="2">
        <f>[2]sens_100_spec_10_PSA!I92</f>
        <v>7.2747807058389897</v>
      </c>
      <c r="J92" s="3">
        <f>[2]sens_100_spec_10_PSA!J92</f>
        <v>186691.14921849099</v>
      </c>
      <c r="K92" s="3">
        <f>[2]sens_100_spec_10_PSA!K92</f>
        <v>113754.11242690901</v>
      </c>
      <c r="L92">
        <f>[2]sens_100_spec_10_PSA!L92</f>
        <v>1</v>
      </c>
      <c r="M92">
        <f>[2]sens_100_spec_10_PSA!M92</f>
        <v>0</v>
      </c>
    </row>
    <row r="93" spans="1:13" x14ac:dyDescent="0.25">
      <c r="A93">
        <f>[2]sens_100_spec_10_PSA!A93</f>
        <v>92</v>
      </c>
      <c r="B93">
        <f>[2]sens_100_spec_10_PSA!B93</f>
        <v>1</v>
      </c>
      <c r="C93" t="str">
        <f>[2]sens_100_spec_10_PSA!C93</f>
        <v>NA</v>
      </c>
      <c r="D93">
        <f>[2]sens_100_spec_10_PSA!D93</f>
        <v>1</v>
      </c>
      <c r="E93" s="1">
        <f>[2]sens_100_spec_10_PSA!E93</f>
        <v>0.1865</v>
      </c>
      <c r="F93" s="1">
        <f>[2]sens_100_spec_10_PSA!F93</f>
        <v>2.1299999999999999E-2</v>
      </c>
      <c r="G93" s="2">
        <f>[2]sens_100_spec_10_PSA!G93</f>
        <v>18.333644597905401</v>
      </c>
      <c r="H93" s="2">
        <f>[2]sens_100_spec_10_PSA!H93</f>
        <v>12.0315707524852</v>
      </c>
      <c r="I93" s="2">
        <f>[2]sens_100_spec_10_PSA!I93</f>
        <v>7.21080524357596</v>
      </c>
      <c r="J93" s="3">
        <f>[2]sens_100_spec_10_PSA!J93</f>
        <v>212470.13296436801</v>
      </c>
      <c r="K93" s="3">
        <f>[2]sens_100_spec_10_PSA!K93</f>
        <v>125912.231313294</v>
      </c>
      <c r="L93">
        <f>[2]sens_100_spec_10_PSA!L93</f>
        <v>1</v>
      </c>
      <c r="M93">
        <f>[2]sens_100_spec_10_PSA!M93</f>
        <v>0</v>
      </c>
    </row>
    <row r="94" spans="1:13" x14ac:dyDescent="0.25">
      <c r="A94">
        <f>[2]sens_100_spec_10_PSA!A94</f>
        <v>93</v>
      </c>
      <c r="B94">
        <f>[2]sens_100_spec_10_PSA!B94</f>
        <v>1</v>
      </c>
      <c r="C94" t="str">
        <f>[2]sens_100_spec_10_PSA!C94</f>
        <v>NA</v>
      </c>
      <c r="D94">
        <f>[2]sens_100_spec_10_PSA!D94</f>
        <v>1</v>
      </c>
      <c r="E94" s="1">
        <f>[2]sens_100_spec_10_PSA!E94</f>
        <v>0.1396</v>
      </c>
      <c r="F94" s="1">
        <f>[2]sens_100_spec_10_PSA!F94</f>
        <v>2.4799999999999999E-2</v>
      </c>
      <c r="G94" s="2">
        <f>[2]sens_100_spec_10_PSA!G94</f>
        <v>20.2138311314738</v>
      </c>
      <c r="H94" s="2">
        <f>[2]sens_100_spec_10_PSA!H94</f>
        <v>14.2919452155587</v>
      </c>
      <c r="I94" s="2">
        <f>[2]sens_100_spec_10_PSA!I94</f>
        <v>8.4759398201189207</v>
      </c>
      <c r="J94" s="3">
        <f>[2]sens_100_spec_10_PSA!J94</f>
        <v>214682.09939751701</v>
      </c>
      <c r="K94" s="3">
        <f>[2]sens_100_spec_10_PSA!K94</f>
        <v>125805.962204749</v>
      </c>
      <c r="L94">
        <f>[2]sens_100_spec_10_PSA!L94</f>
        <v>1</v>
      </c>
      <c r="M94">
        <f>[2]sens_100_spec_10_PSA!M94</f>
        <v>0</v>
      </c>
    </row>
    <row r="95" spans="1:13" x14ac:dyDescent="0.25">
      <c r="A95">
        <f>[2]sens_100_spec_10_PSA!A95</f>
        <v>94</v>
      </c>
      <c r="B95">
        <f>[2]sens_100_spec_10_PSA!B95</f>
        <v>1</v>
      </c>
      <c r="C95" t="str">
        <f>[2]sens_100_spec_10_PSA!C95</f>
        <v>NA</v>
      </c>
      <c r="D95">
        <f>[2]sens_100_spec_10_PSA!D95</f>
        <v>1</v>
      </c>
      <c r="E95" s="1">
        <f>[2]sens_100_spec_10_PSA!E95</f>
        <v>0.1206</v>
      </c>
      <c r="F95" s="1">
        <f>[2]sens_100_spec_10_PSA!F95</f>
        <v>2.5899999999999999E-2</v>
      </c>
      <c r="G95" s="2">
        <f>[2]sens_100_spec_10_PSA!G95</f>
        <v>19.792048785319199</v>
      </c>
      <c r="H95" s="2">
        <f>[2]sens_100_spec_10_PSA!H95</f>
        <v>14.677825173182701</v>
      </c>
      <c r="I95" s="2">
        <f>[2]sens_100_spec_10_PSA!I95</f>
        <v>8.7847092364718105</v>
      </c>
      <c r="J95" s="3">
        <f>[2]sens_100_spec_10_PSA!J95</f>
        <v>177445.397774752</v>
      </c>
      <c r="K95" s="3">
        <f>[2]sens_100_spec_10_PSA!K95</f>
        <v>106460.651867819</v>
      </c>
      <c r="L95">
        <f>[2]sens_100_spec_10_PSA!L95</f>
        <v>1</v>
      </c>
      <c r="M95">
        <f>[2]sens_100_spec_10_PSA!M95</f>
        <v>0</v>
      </c>
    </row>
    <row r="96" spans="1:13" x14ac:dyDescent="0.25">
      <c r="A96">
        <f>[2]sens_100_spec_10_PSA!A96</f>
        <v>95</v>
      </c>
      <c r="B96">
        <f>[2]sens_100_spec_10_PSA!B96</f>
        <v>1</v>
      </c>
      <c r="C96" t="str">
        <f>[2]sens_100_spec_10_PSA!C96</f>
        <v>NA</v>
      </c>
      <c r="D96">
        <f>[2]sens_100_spec_10_PSA!D96</f>
        <v>1</v>
      </c>
      <c r="E96" s="1">
        <f>[2]sens_100_spec_10_PSA!E96</f>
        <v>0.1158</v>
      </c>
      <c r="F96" s="1">
        <f>[2]sens_100_spec_10_PSA!F96</f>
        <v>2.75E-2</v>
      </c>
      <c r="G96" s="2">
        <f>[2]sens_100_spec_10_PSA!G96</f>
        <v>19.559951960461401</v>
      </c>
      <c r="H96" s="2">
        <f>[2]sens_100_spec_10_PSA!H96</f>
        <v>16.167725171782202</v>
      </c>
      <c r="I96" s="2">
        <f>[2]sens_100_spec_10_PSA!I96</f>
        <v>9.71520791331778</v>
      </c>
      <c r="J96" s="3">
        <f>[2]sens_100_spec_10_PSA!J96</f>
        <v>217016.03525359801</v>
      </c>
      <c r="K96" s="3">
        <f>[2]sens_100_spec_10_PSA!K96</f>
        <v>129223.35898583</v>
      </c>
      <c r="L96">
        <f>[2]sens_100_spec_10_PSA!L96</f>
        <v>1</v>
      </c>
      <c r="M96">
        <f>[2]sens_100_spec_10_PSA!M96</f>
        <v>0</v>
      </c>
    </row>
    <row r="97" spans="1:13" x14ac:dyDescent="0.25">
      <c r="A97">
        <f>[2]sens_100_spec_10_PSA!A97</f>
        <v>96</v>
      </c>
      <c r="B97">
        <f>[2]sens_100_spec_10_PSA!B97</f>
        <v>1</v>
      </c>
      <c r="C97" t="str">
        <f>[2]sens_100_spec_10_PSA!C97</f>
        <v>NA</v>
      </c>
      <c r="D97">
        <f>[2]sens_100_spec_10_PSA!D97</f>
        <v>1</v>
      </c>
      <c r="E97" s="1">
        <f>[2]sens_100_spec_10_PSA!E97</f>
        <v>0.2298</v>
      </c>
      <c r="F97" s="1">
        <f>[2]sens_100_spec_10_PSA!F97</f>
        <v>2.12E-2</v>
      </c>
      <c r="G97" s="2">
        <f>[2]sens_100_spec_10_PSA!G97</f>
        <v>18.722901060167999</v>
      </c>
      <c r="H97" s="2">
        <f>[2]sens_100_spec_10_PSA!H97</f>
        <v>13.054953366345901</v>
      </c>
      <c r="I97" s="2">
        <f>[2]sens_100_spec_10_PSA!I97</f>
        <v>7.6541480498215897</v>
      </c>
      <c r="J97" s="3">
        <f>[2]sens_100_spec_10_PSA!J97</f>
        <v>186780.01377142299</v>
      </c>
      <c r="K97" s="3">
        <f>[2]sens_100_spec_10_PSA!K97</f>
        <v>108599.201465409</v>
      </c>
      <c r="L97">
        <f>[2]sens_100_spec_10_PSA!L97</f>
        <v>1</v>
      </c>
      <c r="M97">
        <f>[2]sens_100_spec_10_PSA!M97</f>
        <v>0</v>
      </c>
    </row>
    <row r="98" spans="1:13" x14ac:dyDescent="0.25">
      <c r="A98">
        <f>[2]sens_100_spec_10_PSA!A98</f>
        <v>97</v>
      </c>
      <c r="B98">
        <f>[2]sens_100_spec_10_PSA!B98</f>
        <v>1</v>
      </c>
      <c r="C98" t="str">
        <f>[2]sens_100_spec_10_PSA!C98</f>
        <v>NA</v>
      </c>
      <c r="D98">
        <f>[2]sens_100_spec_10_PSA!D98</f>
        <v>1</v>
      </c>
      <c r="E98" s="1">
        <f>[2]sens_100_spec_10_PSA!E98</f>
        <v>0.1211</v>
      </c>
      <c r="F98" s="1">
        <f>[2]sens_100_spec_10_PSA!F98</f>
        <v>2.23E-2</v>
      </c>
      <c r="G98" s="2">
        <f>[2]sens_100_spec_10_PSA!G98</f>
        <v>20.190837986261499</v>
      </c>
      <c r="H98" s="2">
        <f>[2]sens_100_spec_10_PSA!H98</f>
        <v>14.5537342590856</v>
      </c>
      <c r="I98" s="2">
        <f>[2]sens_100_spec_10_PSA!I98</f>
        <v>8.6494842674582895</v>
      </c>
      <c r="J98" s="3">
        <f>[2]sens_100_spec_10_PSA!J98</f>
        <v>238820.98611296099</v>
      </c>
      <c r="K98" s="3">
        <f>[2]sens_100_spec_10_PSA!K98</f>
        <v>139263.249956696</v>
      </c>
      <c r="L98">
        <f>[2]sens_100_spec_10_PSA!L98</f>
        <v>1</v>
      </c>
      <c r="M98">
        <f>[2]sens_100_spec_10_PSA!M98</f>
        <v>0</v>
      </c>
    </row>
    <row r="99" spans="1:13" x14ac:dyDescent="0.25">
      <c r="A99">
        <f>[2]sens_100_spec_10_PSA!A99</f>
        <v>98</v>
      </c>
      <c r="B99">
        <f>[2]sens_100_spec_10_PSA!B99</f>
        <v>1</v>
      </c>
      <c r="C99" t="str">
        <f>[2]sens_100_spec_10_PSA!C99</f>
        <v>NA</v>
      </c>
      <c r="D99">
        <f>[2]sens_100_spec_10_PSA!D99</f>
        <v>1</v>
      </c>
      <c r="E99" s="1">
        <f>[2]sens_100_spec_10_PSA!E99</f>
        <v>0.11169999999999999</v>
      </c>
      <c r="F99" s="1">
        <f>[2]sens_100_spec_10_PSA!F99</f>
        <v>2.5600000000000001E-2</v>
      </c>
      <c r="G99" s="2">
        <f>[2]sens_100_spec_10_PSA!G99</f>
        <v>19.228208822600099</v>
      </c>
      <c r="H99" s="2">
        <f>[2]sens_100_spec_10_PSA!H99</f>
        <v>14.835259146439901</v>
      </c>
      <c r="I99" s="2">
        <f>[2]sens_100_spec_10_PSA!I99</f>
        <v>8.9816473888212194</v>
      </c>
      <c r="J99" s="3">
        <f>[2]sens_100_spec_10_PSA!J99</f>
        <v>229187.51904281601</v>
      </c>
      <c r="K99" s="3">
        <f>[2]sens_100_spec_10_PSA!K99</f>
        <v>137060.20929331699</v>
      </c>
      <c r="L99">
        <f>[2]sens_100_spec_10_PSA!L99</f>
        <v>1</v>
      </c>
      <c r="M99">
        <f>[2]sens_100_spec_10_PSA!M99</f>
        <v>0</v>
      </c>
    </row>
    <row r="100" spans="1:13" x14ac:dyDescent="0.25">
      <c r="A100">
        <f>[2]sens_100_spec_10_PSA!A100</f>
        <v>99</v>
      </c>
      <c r="B100">
        <f>[2]sens_100_spec_10_PSA!B100</f>
        <v>1</v>
      </c>
      <c r="C100" t="str">
        <f>[2]sens_100_spec_10_PSA!C100</f>
        <v>NA</v>
      </c>
      <c r="D100">
        <f>[2]sens_100_spec_10_PSA!D100</f>
        <v>1</v>
      </c>
      <c r="E100" s="1">
        <f>[2]sens_100_spec_10_PSA!E100</f>
        <v>8.7099999999999997E-2</v>
      </c>
      <c r="F100" s="1">
        <f>[2]sens_100_spec_10_PSA!F100</f>
        <v>2.4899999999999999E-2</v>
      </c>
      <c r="G100" s="2">
        <f>[2]sens_100_spec_10_PSA!G100</f>
        <v>19.9196107540543</v>
      </c>
      <c r="H100" s="2">
        <f>[2]sens_100_spec_10_PSA!H100</f>
        <v>13.4421450855437</v>
      </c>
      <c r="I100" s="2">
        <f>[2]sens_100_spec_10_PSA!I100</f>
        <v>8.1060791509439696</v>
      </c>
      <c r="J100" s="3">
        <f>[2]sens_100_spec_10_PSA!J100</f>
        <v>198972.909105395</v>
      </c>
      <c r="K100" s="3">
        <f>[2]sens_100_spec_10_PSA!K100</f>
        <v>119508.043331775</v>
      </c>
      <c r="L100">
        <f>[2]sens_100_spec_10_PSA!L100</f>
        <v>1</v>
      </c>
      <c r="M100">
        <f>[2]sens_100_spec_10_PSA!M100</f>
        <v>0</v>
      </c>
    </row>
    <row r="101" spans="1:13" x14ac:dyDescent="0.25">
      <c r="A101">
        <f>[2]sens_100_spec_10_PSA!A101</f>
        <v>100</v>
      </c>
      <c r="B101">
        <f>[2]sens_100_spec_10_PSA!B101</f>
        <v>1</v>
      </c>
      <c r="C101" t="str">
        <f>[2]sens_100_spec_10_PSA!C101</f>
        <v>NA</v>
      </c>
      <c r="D101">
        <f>[2]sens_100_spec_10_PSA!D101</f>
        <v>1</v>
      </c>
      <c r="E101" s="1">
        <f>[2]sens_100_spec_10_PSA!E101</f>
        <v>0.14399999999999999</v>
      </c>
      <c r="F101" s="1">
        <f>[2]sens_100_spec_10_PSA!F101</f>
        <v>2.69E-2</v>
      </c>
      <c r="G101" s="2">
        <f>[2]sens_100_spec_10_PSA!G101</f>
        <v>20.1124231602458</v>
      </c>
      <c r="H101" s="2">
        <f>[2]sens_100_spec_10_PSA!H101</f>
        <v>14.283334769933401</v>
      </c>
      <c r="I101" s="2">
        <f>[2]sens_100_spec_10_PSA!I101</f>
        <v>8.4546901544369604</v>
      </c>
      <c r="J101" s="3">
        <f>[2]sens_100_spec_10_PSA!J101</f>
        <v>223704.788542597</v>
      </c>
      <c r="K101" s="3">
        <f>[2]sens_100_spec_10_PSA!K101</f>
        <v>130155.555311074</v>
      </c>
      <c r="L101">
        <f>[2]sens_100_spec_10_PSA!L101</f>
        <v>1</v>
      </c>
      <c r="M101">
        <f>[2]sens_100_spec_10_PSA!M101</f>
        <v>0</v>
      </c>
    </row>
    <row r="102" spans="1:13" x14ac:dyDescent="0.25">
      <c r="A102">
        <f>[2]sens_100_spec_10_PSA!A102</f>
        <v>101</v>
      </c>
      <c r="B102">
        <f>[2]sens_100_spec_10_PSA!B102</f>
        <v>1</v>
      </c>
      <c r="C102" t="str">
        <f>[2]sens_100_spec_10_PSA!C102</f>
        <v>NA</v>
      </c>
      <c r="D102">
        <f>[2]sens_100_spec_10_PSA!D102</f>
        <v>1</v>
      </c>
      <c r="E102" s="1">
        <f>[2]sens_100_spec_10_PSA!E102</f>
        <v>0.14410000000000001</v>
      </c>
      <c r="F102" s="1">
        <f>[2]sens_100_spec_10_PSA!F102</f>
        <v>2.4199999999999999E-2</v>
      </c>
      <c r="G102" s="2">
        <f>[2]sens_100_spec_10_PSA!G102</f>
        <v>19.497014952557301</v>
      </c>
      <c r="H102" s="2">
        <f>[2]sens_100_spec_10_PSA!H102</f>
        <v>13.076033770280601</v>
      </c>
      <c r="I102" s="2">
        <f>[2]sens_100_spec_10_PSA!I102</f>
        <v>7.78459155158823</v>
      </c>
      <c r="J102" s="3">
        <f>[2]sens_100_spec_10_PSA!J102</f>
        <v>215059.22223623001</v>
      </c>
      <c r="K102" s="3">
        <f>[2]sens_100_spec_10_PSA!K102</f>
        <v>126359.624215761</v>
      </c>
      <c r="L102">
        <f>[2]sens_100_spec_10_PSA!L102</f>
        <v>1</v>
      </c>
      <c r="M102">
        <f>[2]sens_100_spec_10_PSA!M102</f>
        <v>0</v>
      </c>
    </row>
    <row r="103" spans="1:13" x14ac:dyDescent="0.25">
      <c r="A103">
        <f>[2]sens_100_spec_10_PSA!A103</f>
        <v>102</v>
      </c>
      <c r="B103">
        <f>[2]sens_100_spec_10_PSA!B103</f>
        <v>1</v>
      </c>
      <c r="C103" t="str">
        <f>[2]sens_100_spec_10_PSA!C103</f>
        <v>NA</v>
      </c>
      <c r="D103">
        <f>[2]sens_100_spec_10_PSA!D103</f>
        <v>1</v>
      </c>
      <c r="E103" s="1">
        <f>[2]sens_100_spec_10_PSA!E103</f>
        <v>9.7600000000000006E-2</v>
      </c>
      <c r="F103" s="1">
        <f>[2]sens_100_spec_10_PSA!F103</f>
        <v>3.0200000000000001E-2</v>
      </c>
      <c r="G103" s="2">
        <f>[2]sens_100_spec_10_PSA!G103</f>
        <v>18.4179552828904</v>
      </c>
      <c r="H103" s="2">
        <f>[2]sens_100_spec_10_PSA!H103</f>
        <v>11.7886071610223</v>
      </c>
      <c r="I103" s="2">
        <f>[2]sens_100_spec_10_PSA!I103</f>
        <v>7.2278294481107501</v>
      </c>
      <c r="J103" s="3">
        <f>[2]sens_100_spec_10_PSA!J103</f>
        <v>186802.631693748</v>
      </c>
      <c r="K103" s="3">
        <f>[2]sens_100_spec_10_PSA!K103</f>
        <v>114665.233364345</v>
      </c>
      <c r="L103">
        <f>[2]sens_100_spec_10_PSA!L103</f>
        <v>1</v>
      </c>
      <c r="M103">
        <f>[2]sens_100_spec_10_PSA!M103</f>
        <v>0</v>
      </c>
    </row>
    <row r="104" spans="1:13" x14ac:dyDescent="0.25">
      <c r="A104">
        <f>[2]sens_100_spec_10_PSA!A104</f>
        <v>103</v>
      </c>
      <c r="B104">
        <f>[2]sens_100_spec_10_PSA!B104</f>
        <v>1</v>
      </c>
      <c r="C104" t="str">
        <f>[2]sens_100_spec_10_PSA!C104</f>
        <v>NA</v>
      </c>
      <c r="D104">
        <f>[2]sens_100_spec_10_PSA!D104</f>
        <v>1</v>
      </c>
      <c r="E104" s="1">
        <f>[2]sens_100_spec_10_PSA!E104</f>
        <v>0.1532</v>
      </c>
      <c r="F104" s="1">
        <f>[2]sens_100_spec_10_PSA!F104</f>
        <v>2.7300000000000001E-2</v>
      </c>
      <c r="G104" s="2">
        <f>[2]sens_100_spec_10_PSA!G104</f>
        <v>19.674722713109698</v>
      </c>
      <c r="H104" s="2">
        <f>[2]sens_100_spec_10_PSA!H104</f>
        <v>12.6802514155595</v>
      </c>
      <c r="I104" s="2">
        <f>[2]sens_100_spec_10_PSA!I104</f>
        <v>7.5274811700218702</v>
      </c>
      <c r="J104" s="3">
        <f>[2]sens_100_spec_10_PSA!J104</f>
        <v>216802.245003018</v>
      </c>
      <c r="K104" s="3">
        <f>[2]sens_100_spec_10_PSA!K104</f>
        <v>126998.398638213</v>
      </c>
      <c r="L104">
        <f>[2]sens_100_spec_10_PSA!L104</f>
        <v>1</v>
      </c>
      <c r="M104">
        <f>[2]sens_100_spec_10_PSA!M104</f>
        <v>0</v>
      </c>
    </row>
    <row r="105" spans="1:13" x14ac:dyDescent="0.25">
      <c r="A105">
        <f>[2]sens_100_spec_10_PSA!A105</f>
        <v>104</v>
      </c>
      <c r="B105">
        <f>[2]sens_100_spec_10_PSA!B105</f>
        <v>1</v>
      </c>
      <c r="C105" t="str">
        <f>[2]sens_100_spec_10_PSA!C105</f>
        <v>NA</v>
      </c>
      <c r="D105">
        <f>[2]sens_100_spec_10_PSA!D105</f>
        <v>1</v>
      </c>
      <c r="E105" s="1">
        <f>[2]sens_100_spec_10_PSA!E105</f>
        <v>9.7100000000000006E-2</v>
      </c>
      <c r="F105" s="1">
        <f>[2]sens_100_spec_10_PSA!F105</f>
        <v>2.5600000000000001E-2</v>
      </c>
      <c r="G105" s="2">
        <f>[2]sens_100_spec_10_PSA!G105</f>
        <v>19.789815608292599</v>
      </c>
      <c r="H105" s="2">
        <f>[2]sens_100_spec_10_PSA!H105</f>
        <v>14.597510252357299</v>
      </c>
      <c r="I105" s="2">
        <f>[2]sens_100_spec_10_PSA!I105</f>
        <v>8.8047561550011899</v>
      </c>
      <c r="J105" s="3">
        <f>[2]sens_100_spec_10_PSA!J105</f>
        <v>201740.84737151099</v>
      </c>
      <c r="K105" s="3">
        <f>[2]sens_100_spec_10_PSA!K105</f>
        <v>121054.577355733</v>
      </c>
      <c r="L105">
        <f>[2]sens_100_spec_10_PSA!L105</f>
        <v>1</v>
      </c>
      <c r="M105">
        <f>[2]sens_100_spec_10_PSA!M105</f>
        <v>0</v>
      </c>
    </row>
    <row r="106" spans="1:13" x14ac:dyDescent="0.25">
      <c r="A106">
        <f>[2]sens_100_spec_10_PSA!A106</f>
        <v>105</v>
      </c>
      <c r="B106">
        <f>[2]sens_100_spec_10_PSA!B106</f>
        <v>1</v>
      </c>
      <c r="C106" t="str">
        <f>[2]sens_100_spec_10_PSA!C106</f>
        <v>NA</v>
      </c>
      <c r="D106">
        <f>[2]sens_100_spec_10_PSA!D106</f>
        <v>1</v>
      </c>
      <c r="E106" s="1">
        <f>[2]sens_100_spec_10_PSA!E106</f>
        <v>0.2155</v>
      </c>
      <c r="F106" s="1">
        <f>[2]sens_100_spec_10_PSA!F106</f>
        <v>2.0799999999999999E-2</v>
      </c>
      <c r="G106" s="2">
        <f>[2]sens_100_spec_10_PSA!G106</f>
        <v>17.534813625145699</v>
      </c>
      <c r="H106" s="2">
        <f>[2]sens_100_spec_10_PSA!H106</f>
        <v>13.7429734667869</v>
      </c>
      <c r="I106" s="2">
        <f>[2]sens_100_spec_10_PSA!I106</f>
        <v>8.2874881806332308</v>
      </c>
      <c r="J106" s="3">
        <f>[2]sens_100_spec_10_PSA!J106</f>
        <v>177434.817721097</v>
      </c>
      <c r="K106" s="3">
        <f>[2]sens_100_spec_10_PSA!K106</f>
        <v>106932.025798275</v>
      </c>
      <c r="L106">
        <f>[2]sens_100_spec_10_PSA!L106</f>
        <v>1</v>
      </c>
      <c r="M106">
        <f>[2]sens_100_spec_10_PSA!M106</f>
        <v>0</v>
      </c>
    </row>
    <row r="107" spans="1:13" x14ac:dyDescent="0.25">
      <c r="A107">
        <f>[2]sens_100_spec_10_PSA!A107</f>
        <v>106</v>
      </c>
      <c r="B107">
        <f>[2]sens_100_spec_10_PSA!B107</f>
        <v>1</v>
      </c>
      <c r="C107" t="str">
        <f>[2]sens_100_spec_10_PSA!C107</f>
        <v>NA</v>
      </c>
      <c r="D107">
        <f>[2]sens_100_spec_10_PSA!D107</f>
        <v>1</v>
      </c>
      <c r="E107" s="1">
        <f>[2]sens_100_spec_10_PSA!E107</f>
        <v>0.11600000000000001</v>
      </c>
      <c r="F107" s="1">
        <f>[2]sens_100_spec_10_PSA!F107</f>
        <v>2.3400000000000001E-2</v>
      </c>
      <c r="G107" s="2">
        <f>[2]sens_100_spec_10_PSA!G107</f>
        <v>20.482080078184399</v>
      </c>
      <c r="H107" s="2">
        <f>[2]sens_100_spec_10_PSA!H107</f>
        <v>15.2916897844025</v>
      </c>
      <c r="I107" s="2">
        <f>[2]sens_100_spec_10_PSA!I107</f>
        <v>9.0756853345315207</v>
      </c>
      <c r="J107" s="3">
        <f>[2]sens_100_spec_10_PSA!J107</f>
        <v>180469.380749701</v>
      </c>
      <c r="K107" s="3">
        <f>[2]sens_100_spec_10_PSA!K107</f>
        <v>107005.656869903</v>
      </c>
      <c r="L107">
        <f>[2]sens_100_spec_10_PSA!L107</f>
        <v>1</v>
      </c>
      <c r="M107">
        <f>[2]sens_100_spec_10_PSA!M107</f>
        <v>0</v>
      </c>
    </row>
    <row r="108" spans="1:13" x14ac:dyDescent="0.25">
      <c r="A108">
        <f>[2]sens_100_spec_10_PSA!A108</f>
        <v>107</v>
      </c>
      <c r="B108">
        <f>[2]sens_100_spec_10_PSA!B108</f>
        <v>1</v>
      </c>
      <c r="C108" t="str">
        <f>[2]sens_100_spec_10_PSA!C108</f>
        <v>NA</v>
      </c>
      <c r="D108">
        <f>[2]sens_100_spec_10_PSA!D108</f>
        <v>1</v>
      </c>
      <c r="E108" s="1">
        <f>[2]sens_100_spec_10_PSA!E108</f>
        <v>0.1487</v>
      </c>
      <c r="F108" s="1">
        <f>[2]sens_100_spec_10_PSA!F108</f>
        <v>2.35E-2</v>
      </c>
      <c r="G108" s="2">
        <f>[2]sens_100_spec_10_PSA!G108</f>
        <v>17.5294307071199</v>
      </c>
      <c r="H108" s="2">
        <f>[2]sens_100_spec_10_PSA!H108</f>
        <v>14.0976573897987</v>
      </c>
      <c r="I108" s="2">
        <f>[2]sens_100_spec_10_PSA!I108</f>
        <v>8.6747532345636902</v>
      </c>
      <c r="J108" s="3">
        <f>[2]sens_100_spec_10_PSA!J108</f>
        <v>151406.244815082</v>
      </c>
      <c r="K108" s="3">
        <f>[2]sens_100_spec_10_PSA!K108</f>
        <v>94712.831302306702</v>
      </c>
      <c r="L108">
        <f>[2]sens_100_spec_10_PSA!L108</f>
        <v>1</v>
      </c>
      <c r="M108">
        <f>[2]sens_100_spec_10_PSA!M108</f>
        <v>0</v>
      </c>
    </row>
    <row r="109" spans="1:13" x14ac:dyDescent="0.25">
      <c r="A109">
        <f>[2]sens_100_spec_10_PSA!A109</f>
        <v>108</v>
      </c>
      <c r="B109">
        <f>[2]sens_100_spec_10_PSA!B109</f>
        <v>1</v>
      </c>
      <c r="C109" t="str">
        <f>[2]sens_100_spec_10_PSA!C109</f>
        <v>NA</v>
      </c>
      <c r="D109">
        <f>[2]sens_100_spec_10_PSA!D109</f>
        <v>1</v>
      </c>
      <c r="E109" s="1">
        <f>[2]sens_100_spec_10_PSA!E109</f>
        <v>0.2064</v>
      </c>
      <c r="F109" s="1">
        <f>[2]sens_100_spec_10_PSA!F109</f>
        <v>2.3E-2</v>
      </c>
      <c r="G109" s="2">
        <f>[2]sens_100_spec_10_PSA!G109</f>
        <v>17.500074015271601</v>
      </c>
      <c r="H109" s="2">
        <f>[2]sens_100_spec_10_PSA!H109</f>
        <v>12.3473894144655</v>
      </c>
      <c r="I109" s="2">
        <f>[2]sens_100_spec_10_PSA!I109</f>
        <v>7.4569408009396998</v>
      </c>
      <c r="J109" s="3">
        <f>[2]sens_100_spec_10_PSA!J109</f>
        <v>167359.633475696</v>
      </c>
      <c r="K109" s="3">
        <f>[2]sens_100_spec_10_PSA!K109</f>
        <v>101528.613777715</v>
      </c>
      <c r="L109">
        <f>[2]sens_100_spec_10_PSA!L109</f>
        <v>1</v>
      </c>
      <c r="M109">
        <f>[2]sens_100_spec_10_PSA!M109</f>
        <v>0</v>
      </c>
    </row>
    <row r="110" spans="1:13" x14ac:dyDescent="0.25">
      <c r="A110">
        <f>[2]sens_100_spec_10_PSA!A110</f>
        <v>109</v>
      </c>
      <c r="B110">
        <f>[2]sens_100_spec_10_PSA!B110</f>
        <v>1</v>
      </c>
      <c r="C110" t="str">
        <f>[2]sens_100_spec_10_PSA!C110</f>
        <v>NA</v>
      </c>
      <c r="D110">
        <f>[2]sens_100_spec_10_PSA!D110</f>
        <v>1</v>
      </c>
      <c r="E110" s="1">
        <f>[2]sens_100_spec_10_PSA!E110</f>
        <v>0.154</v>
      </c>
      <c r="F110" s="1">
        <f>[2]sens_100_spec_10_PSA!F110</f>
        <v>2.8500000000000001E-2</v>
      </c>
      <c r="G110" s="2">
        <f>[2]sens_100_spec_10_PSA!G110</f>
        <v>17.872196282838999</v>
      </c>
      <c r="H110" s="2">
        <f>[2]sens_100_spec_10_PSA!H110</f>
        <v>12.4408581657301</v>
      </c>
      <c r="I110" s="2">
        <f>[2]sens_100_spec_10_PSA!I110</f>
        <v>7.5667465145176296</v>
      </c>
      <c r="J110" s="3">
        <f>[2]sens_100_spec_10_PSA!J110</f>
        <v>231211.75009415901</v>
      </c>
      <c r="K110" s="3">
        <f>[2]sens_100_spec_10_PSA!K110</f>
        <v>138927.71487726801</v>
      </c>
      <c r="L110">
        <f>[2]sens_100_spec_10_PSA!L110</f>
        <v>1</v>
      </c>
      <c r="M110">
        <f>[2]sens_100_spec_10_PSA!M110</f>
        <v>0</v>
      </c>
    </row>
    <row r="111" spans="1:13" x14ac:dyDescent="0.25">
      <c r="A111">
        <f>[2]sens_100_spec_10_PSA!A111</f>
        <v>110</v>
      </c>
      <c r="B111">
        <f>[2]sens_100_spec_10_PSA!B111</f>
        <v>1</v>
      </c>
      <c r="C111" t="str">
        <f>[2]sens_100_spec_10_PSA!C111</f>
        <v>NA</v>
      </c>
      <c r="D111">
        <f>[2]sens_100_spec_10_PSA!D111</f>
        <v>1</v>
      </c>
      <c r="E111" s="1">
        <f>[2]sens_100_spec_10_PSA!E111</f>
        <v>0.1893</v>
      </c>
      <c r="F111" s="1">
        <f>[2]sens_100_spec_10_PSA!F111</f>
        <v>2.63E-2</v>
      </c>
      <c r="G111" s="2">
        <f>[2]sens_100_spec_10_PSA!G111</f>
        <v>17.367774959269301</v>
      </c>
      <c r="H111" s="2">
        <f>[2]sens_100_spec_10_PSA!H111</f>
        <v>13.035855051185001</v>
      </c>
      <c r="I111" s="2">
        <f>[2]sens_100_spec_10_PSA!I111</f>
        <v>7.9313617194325401</v>
      </c>
      <c r="J111" s="3">
        <f>[2]sens_100_spec_10_PSA!J111</f>
        <v>239038.898068126</v>
      </c>
      <c r="K111" s="3">
        <f>[2]sens_100_spec_10_PSA!K111</f>
        <v>143091.674366797</v>
      </c>
      <c r="L111">
        <f>[2]sens_100_spec_10_PSA!L111</f>
        <v>1</v>
      </c>
      <c r="M111">
        <f>[2]sens_100_spec_10_PSA!M111</f>
        <v>0</v>
      </c>
    </row>
    <row r="112" spans="1:13" x14ac:dyDescent="0.25">
      <c r="A112">
        <f>[2]sens_100_spec_10_PSA!A112</f>
        <v>111</v>
      </c>
      <c r="B112">
        <f>[2]sens_100_spec_10_PSA!B112</f>
        <v>1</v>
      </c>
      <c r="C112" t="str">
        <f>[2]sens_100_spec_10_PSA!C112</f>
        <v>NA</v>
      </c>
      <c r="D112">
        <f>[2]sens_100_spec_10_PSA!D112</f>
        <v>1</v>
      </c>
      <c r="E112" s="1">
        <f>[2]sens_100_spec_10_PSA!E112</f>
        <v>0.13569999999999999</v>
      </c>
      <c r="F112" s="1">
        <f>[2]sens_100_spec_10_PSA!F112</f>
        <v>2.0400000000000001E-2</v>
      </c>
      <c r="G112" s="2">
        <f>[2]sens_100_spec_10_PSA!G112</f>
        <v>17.860837323218199</v>
      </c>
      <c r="H112" s="2">
        <f>[2]sens_100_spec_10_PSA!H112</f>
        <v>12.2332861405513</v>
      </c>
      <c r="I112" s="2">
        <f>[2]sens_100_spec_10_PSA!I112</f>
        <v>7.5051641425105</v>
      </c>
      <c r="J112" s="3">
        <f>[2]sens_100_spec_10_PSA!J112</f>
        <v>167670.677658598</v>
      </c>
      <c r="K112" s="3">
        <f>[2]sens_100_spec_10_PSA!K112</f>
        <v>103876.939447356</v>
      </c>
      <c r="L112">
        <f>[2]sens_100_spec_10_PSA!L112</f>
        <v>1</v>
      </c>
      <c r="M112">
        <f>[2]sens_100_spec_10_PSA!M112</f>
        <v>0</v>
      </c>
    </row>
    <row r="113" spans="1:13" x14ac:dyDescent="0.25">
      <c r="A113">
        <f>[2]sens_100_spec_10_PSA!A113</f>
        <v>112</v>
      </c>
      <c r="B113">
        <f>[2]sens_100_spec_10_PSA!B113</f>
        <v>1</v>
      </c>
      <c r="C113" t="str">
        <f>[2]sens_100_spec_10_PSA!C113</f>
        <v>NA</v>
      </c>
      <c r="D113">
        <f>[2]sens_100_spec_10_PSA!D113</f>
        <v>1</v>
      </c>
      <c r="E113" s="1">
        <f>[2]sens_100_spec_10_PSA!E113</f>
        <v>0.1583</v>
      </c>
      <c r="F113" s="1">
        <f>[2]sens_100_spec_10_PSA!F113</f>
        <v>2.4E-2</v>
      </c>
      <c r="G113" s="2">
        <f>[2]sens_100_spec_10_PSA!G113</f>
        <v>18.310484262919601</v>
      </c>
      <c r="H113" s="2">
        <f>[2]sens_100_spec_10_PSA!H113</f>
        <v>13.628482263035201</v>
      </c>
      <c r="I113" s="2">
        <f>[2]sens_100_spec_10_PSA!I113</f>
        <v>8.2387386576511599</v>
      </c>
      <c r="J113" s="3">
        <f>[2]sens_100_spec_10_PSA!J113</f>
        <v>209785.063439152</v>
      </c>
      <c r="K113" s="3">
        <f>[2]sens_100_spec_10_PSA!K113</f>
        <v>125745.28162244101</v>
      </c>
      <c r="L113">
        <f>[2]sens_100_spec_10_PSA!L113</f>
        <v>1</v>
      </c>
      <c r="M113">
        <f>[2]sens_100_spec_10_PSA!M113</f>
        <v>0</v>
      </c>
    </row>
    <row r="114" spans="1:13" x14ac:dyDescent="0.25">
      <c r="A114">
        <f>[2]sens_100_spec_10_PSA!A114</f>
        <v>113</v>
      </c>
      <c r="B114">
        <f>[2]sens_100_spec_10_PSA!B114</f>
        <v>1</v>
      </c>
      <c r="C114" t="str">
        <f>[2]sens_100_spec_10_PSA!C114</f>
        <v>NA</v>
      </c>
      <c r="D114">
        <f>[2]sens_100_spec_10_PSA!D114</f>
        <v>1</v>
      </c>
      <c r="E114" s="1">
        <f>[2]sens_100_spec_10_PSA!E114</f>
        <v>8.9099999999999999E-2</v>
      </c>
      <c r="F114" s="1">
        <f>[2]sens_100_spec_10_PSA!F114</f>
        <v>2.9499999999999998E-2</v>
      </c>
      <c r="G114" s="2">
        <f>[2]sens_100_spec_10_PSA!G114</f>
        <v>19.503882356700402</v>
      </c>
      <c r="H114" s="2">
        <f>[2]sens_100_spec_10_PSA!H114</f>
        <v>14.339225436341399</v>
      </c>
      <c r="I114" s="2">
        <f>[2]sens_100_spec_10_PSA!I114</f>
        <v>8.6676862577445295</v>
      </c>
      <c r="J114" s="3">
        <f>[2]sens_100_spec_10_PSA!J114</f>
        <v>230961.118807914</v>
      </c>
      <c r="K114" s="3">
        <f>[2]sens_100_spec_10_PSA!K114</f>
        <v>137927.540894923</v>
      </c>
      <c r="L114">
        <f>[2]sens_100_spec_10_PSA!L114</f>
        <v>1</v>
      </c>
      <c r="M114">
        <f>[2]sens_100_spec_10_PSA!M114</f>
        <v>0</v>
      </c>
    </row>
    <row r="115" spans="1:13" x14ac:dyDescent="0.25">
      <c r="A115">
        <f>[2]sens_100_spec_10_PSA!A115</f>
        <v>114</v>
      </c>
      <c r="B115">
        <f>[2]sens_100_spec_10_PSA!B115</f>
        <v>1</v>
      </c>
      <c r="C115" t="str">
        <f>[2]sens_100_spec_10_PSA!C115</f>
        <v>NA</v>
      </c>
      <c r="D115">
        <f>[2]sens_100_spec_10_PSA!D115</f>
        <v>1</v>
      </c>
      <c r="E115" s="1">
        <f>[2]sens_100_spec_10_PSA!E115</f>
        <v>0.2104</v>
      </c>
      <c r="F115" s="1">
        <f>[2]sens_100_spec_10_PSA!F115</f>
        <v>2.1399999999999999E-2</v>
      </c>
      <c r="G115" s="2">
        <f>[2]sens_100_spec_10_PSA!G115</f>
        <v>17.949714059100199</v>
      </c>
      <c r="H115" s="2">
        <f>[2]sens_100_spec_10_PSA!H115</f>
        <v>11.703183613014399</v>
      </c>
      <c r="I115" s="2">
        <f>[2]sens_100_spec_10_PSA!I115</f>
        <v>6.9996414952404598</v>
      </c>
      <c r="J115" s="3">
        <f>[2]sens_100_spec_10_PSA!J115</f>
        <v>186126.73630260999</v>
      </c>
      <c r="K115" s="3">
        <f>[2]sens_100_spec_10_PSA!K115</f>
        <v>110613.875695326</v>
      </c>
      <c r="L115">
        <f>[2]sens_100_spec_10_PSA!L115</f>
        <v>1</v>
      </c>
      <c r="M115">
        <f>[2]sens_100_spec_10_PSA!M115</f>
        <v>0</v>
      </c>
    </row>
    <row r="116" spans="1:13" x14ac:dyDescent="0.25">
      <c r="A116">
        <f>[2]sens_100_spec_10_PSA!A116</f>
        <v>115</v>
      </c>
      <c r="B116">
        <f>[2]sens_100_spec_10_PSA!B116</f>
        <v>1</v>
      </c>
      <c r="C116" t="str">
        <f>[2]sens_100_spec_10_PSA!C116</f>
        <v>NA</v>
      </c>
      <c r="D116">
        <f>[2]sens_100_spec_10_PSA!D116</f>
        <v>1</v>
      </c>
      <c r="E116" s="1">
        <f>[2]sens_100_spec_10_PSA!E116</f>
        <v>0.1132</v>
      </c>
      <c r="F116" s="1">
        <f>[2]sens_100_spec_10_PSA!F116</f>
        <v>2.75E-2</v>
      </c>
      <c r="G116" s="2">
        <f>[2]sens_100_spec_10_PSA!G116</f>
        <v>18.665631014191099</v>
      </c>
      <c r="H116" s="2">
        <f>[2]sens_100_spec_10_PSA!H116</f>
        <v>11.504682142021901</v>
      </c>
      <c r="I116" s="2">
        <f>[2]sens_100_spec_10_PSA!I116</f>
        <v>7.0116933853779502</v>
      </c>
      <c r="J116" s="3">
        <f>[2]sens_100_spec_10_PSA!J116</f>
        <v>194634.38419690001</v>
      </c>
      <c r="K116" s="3">
        <f>[2]sens_100_spec_10_PSA!K116</f>
        <v>118205.53579850199</v>
      </c>
      <c r="L116">
        <f>[2]sens_100_spec_10_PSA!L116</f>
        <v>1</v>
      </c>
      <c r="M116">
        <f>[2]sens_100_spec_10_PSA!M116</f>
        <v>0</v>
      </c>
    </row>
    <row r="117" spans="1:13" x14ac:dyDescent="0.25">
      <c r="A117">
        <f>[2]sens_100_spec_10_PSA!A117</f>
        <v>116</v>
      </c>
      <c r="B117">
        <f>[2]sens_100_spec_10_PSA!B117</f>
        <v>1</v>
      </c>
      <c r="C117" t="str">
        <f>[2]sens_100_spec_10_PSA!C117</f>
        <v>NA</v>
      </c>
      <c r="D117">
        <f>[2]sens_100_spec_10_PSA!D117</f>
        <v>1</v>
      </c>
      <c r="E117" s="1">
        <f>[2]sens_100_spec_10_PSA!E117</f>
        <v>0.1187</v>
      </c>
      <c r="F117" s="1">
        <f>[2]sens_100_spec_10_PSA!F117</f>
        <v>2.5499999999999998E-2</v>
      </c>
      <c r="G117" s="2">
        <f>[2]sens_100_spec_10_PSA!G117</f>
        <v>19.299003268073498</v>
      </c>
      <c r="H117" s="2">
        <f>[2]sens_100_spec_10_PSA!H117</f>
        <v>14.3701543683599</v>
      </c>
      <c r="I117" s="2">
        <f>[2]sens_100_spec_10_PSA!I117</f>
        <v>8.6566440363725103</v>
      </c>
      <c r="J117" s="3">
        <f>[2]sens_100_spec_10_PSA!J117</f>
        <v>276047.57522088999</v>
      </c>
      <c r="K117" s="3">
        <f>[2]sens_100_spec_10_PSA!K117</f>
        <v>162935.505249426</v>
      </c>
      <c r="L117">
        <f>[2]sens_100_spec_10_PSA!L117</f>
        <v>1</v>
      </c>
      <c r="M117">
        <f>[2]sens_100_spec_10_PSA!M117</f>
        <v>0</v>
      </c>
    </row>
    <row r="118" spans="1:13" x14ac:dyDescent="0.25">
      <c r="A118">
        <f>[2]sens_100_spec_10_PSA!A118</f>
        <v>117</v>
      </c>
      <c r="B118">
        <f>[2]sens_100_spec_10_PSA!B118</f>
        <v>1</v>
      </c>
      <c r="C118" t="str">
        <f>[2]sens_100_spec_10_PSA!C118</f>
        <v>NA</v>
      </c>
      <c r="D118">
        <f>[2]sens_100_spec_10_PSA!D118</f>
        <v>1</v>
      </c>
      <c r="E118" s="1">
        <f>[2]sens_100_spec_10_PSA!E118</f>
        <v>0.13919999999999999</v>
      </c>
      <c r="F118" s="1">
        <f>[2]sens_100_spec_10_PSA!F118</f>
        <v>2.5899999999999999E-2</v>
      </c>
      <c r="G118" s="2">
        <f>[2]sens_100_spec_10_PSA!G118</f>
        <v>19.175379384085101</v>
      </c>
      <c r="H118" s="2">
        <f>[2]sens_100_spec_10_PSA!H118</f>
        <v>13.604331149468599</v>
      </c>
      <c r="I118" s="2">
        <f>[2]sens_100_spec_10_PSA!I118</f>
        <v>8.1821157332699208</v>
      </c>
      <c r="J118" s="3">
        <f>[2]sens_100_spec_10_PSA!J118</f>
        <v>199442.86006092001</v>
      </c>
      <c r="K118" s="3">
        <f>[2]sens_100_spec_10_PSA!K118</f>
        <v>119270.980377232</v>
      </c>
      <c r="L118">
        <f>[2]sens_100_spec_10_PSA!L118</f>
        <v>1</v>
      </c>
      <c r="M118">
        <f>[2]sens_100_spec_10_PSA!M118</f>
        <v>0</v>
      </c>
    </row>
    <row r="119" spans="1:13" x14ac:dyDescent="0.25">
      <c r="A119">
        <f>[2]sens_100_spec_10_PSA!A119</f>
        <v>118</v>
      </c>
      <c r="B119">
        <f>[2]sens_100_spec_10_PSA!B119</f>
        <v>1</v>
      </c>
      <c r="C119" t="str">
        <f>[2]sens_100_spec_10_PSA!C119</f>
        <v>NA</v>
      </c>
      <c r="D119">
        <f>[2]sens_100_spec_10_PSA!D119</f>
        <v>1</v>
      </c>
      <c r="E119" s="1">
        <f>[2]sens_100_spec_10_PSA!E119</f>
        <v>0.1353</v>
      </c>
      <c r="F119" s="1">
        <f>[2]sens_100_spec_10_PSA!F119</f>
        <v>2.35E-2</v>
      </c>
      <c r="G119" s="2">
        <f>[2]sens_100_spec_10_PSA!G119</f>
        <v>19.311351779017301</v>
      </c>
      <c r="H119" s="2">
        <f>[2]sens_100_spec_10_PSA!H119</f>
        <v>15.112345676352099</v>
      </c>
      <c r="I119" s="2">
        <f>[2]sens_100_spec_10_PSA!I119</f>
        <v>9.0755297218263298</v>
      </c>
      <c r="J119" s="3">
        <f>[2]sens_100_spec_10_PSA!J119</f>
        <v>165198.975050026</v>
      </c>
      <c r="K119" s="3">
        <f>[2]sens_100_spec_10_PSA!K119</f>
        <v>99909.954269382302</v>
      </c>
      <c r="L119">
        <f>[2]sens_100_spec_10_PSA!L119</f>
        <v>1</v>
      </c>
      <c r="M119">
        <f>[2]sens_100_spec_10_PSA!M119</f>
        <v>0</v>
      </c>
    </row>
    <row r="120" spans="1:13" x14ac:dyDescent="0.25">
      <c r="A120">
        <f>[2]sens_100_spec_10_PSA!A120</f>
        <v>119</v>
      </c>
      <c r="B120">
        <f>[2]sens_100_spec_10_PSA!B120</f>
        <v>1</v>
      </c>
      <c r="C120" t="str">
        <f>[2]sens_100_spec_10_PSA!C120</f>
        <v>NA</v>
      </c>
      <c r="D120">
        <f>[2]sens_100_spec_10_PSA!D120</f>
        <v>1</v>
      </c>
      <c r="E120" s="1">
        <f>[2]sens_100_spec_10_PSA!E120</f>
        <v>0.17069999999999999</v>
      </c>
      <c r="F120" s="1">
        <f>[2]sens_100_spec_10_PSA!F120</f>
        <v>2.58E-2</v>
      </c>
      <c r="G120" s="2">
        <f>[2]sens_100_spec_10_PSA!G120</f>
        <v>17.744001322827302</v>
      </c>
      <c r="H120" s="2">
        <f>[2]sens_100_spec_10_PSA!H120</f>
        <v>13.851262670114499</v>
      </c>
      <c r="I120" s="2">
        <f>[2]sens_100_spec_10_PSA!I120</f>
        <v>8.4167171818286501</v>
      </c>
      <c r="J120" s="3">
        <f>[2]sens_100_spec_10_PSA!J120</f>
        <v>203657.345590312</v>
      </c>
      <c r="K120" s="3">
        <f>[2]sens_100_spec_10_PSA!K120</f>
        <v>122797.612983817</v>
      </c>
      <c r="L120">
        <f>[2]sens_100_spec_10_PSA!L120</f>
        <v>1</v>
      </c>
      <c r="M120">
        <f>[2]sens_100_spec_10_PSA!M120</f>
        <v>0</v>
      </c>
    </row>
    <row r="121" spans="1:13" x14ac:dyDescent="0.25">
      <c r="A121">
        <f>[2]sens_100_spec_10_PSA!A121</f>
        <v>120</v>
      </c>
      <c r="B121">
        <f>[2]sens_100_spec_10_PSA!B121</f>
        <v>1</v>
      </c>
      <c r="C121" t="str">
        <f>[2]sens_100_spec_10_PSA!C121</f>
        <v>NA</v>
      </c>
      <c r="D121">
        <f>[2]sens_100_spec_10_PSA!D121</f>
        <v>1</v>
      </c>
      <c r="E121" s="1">
        <f>[2]sens_100_spec_10_PSA!E121</f>
        <v>0.14940000000000001</v>
      </c>
      <c r="F121" s="1">
        <f>[2]sens_100_spec_10_PSA!F121</f>
        <v>2.1999999999999999E-2</v>
      </c>
      <c r="G121" s="2">
        <f>[2]sens_100_spec_10_PSA!G121</f>
        <v>17.7814551538</v>
      </c>
      <c r="H121" s="2">
        <f>[2]sens_100_spec_10_PSA!H121</f>
        <v>12.665861109664901</v>
      </c>
      <c r="I121" s="2">
        <f>[2]sens_100_spec_10_PSA!I121</f>
        <v>7.72817684581055</v>
      </c>
      <c r="J121" s="3">
        <f>[2]sens_100_spec_10_PSA!J121</f>
        <v>164618.91596246901</v>
      </c>
      <c r="K121" s="3">
        <f>[2]sens_100_spec_10_PSA!K121</f>
        <v>101468.867378633</v>
      </c>
      <c r="L121">
        <f>[2]sens_100_spec_10_PSA!L121</f>
        <v>1</v>
      </c>
      <c r="M121">
        <f>[2]sens_100_spec_10_PSA!M121</f>
        <v>0</v>
      </c>
    </row>
    <row r="122" spans="1:13" x14ac:dyDescent="0.25">
      <c r="A122">
        <f>[2]sens_100_spec_10_PSA!A122</f>
        <v>121</v>
      </c>
      <c r="B122">
        <f>[2]sens_100_spec_10_PSA!B122</f>
        <v>1</v>
      </c>
      <c r="C122" t="str">
        <f>[2]sens_100_spec_10_PSA!C122</f>
        <v>NA</v>
      </c>
      <c r="D122">
        <f>[2]sens_100_spec_10_PSA!D122</f>
        <v>1</v>
      </c>
      <c r="E122" s="1">
        <f>[2]sens_100_spec_10_PSA!E122</f>
        <v>0.20100000000000001</v>
      </c>
      <c r="F122" s="1">
        <f>[2]sens_100_spec_10_PSA!F122</f>
        <v>3.1199999999999999E-2</v>
      </c>
      <c r="G122" s="2">
        <f>[2]sens_100_spec_10_PSA!G122</f>
        <v>16.641356206669901</v>
      </c>
      <c r="H122" s="2">
        <f>[2]sens_100_spec_10_PSA!H122</f>
        <v>12.7548544946677</v>
      </c>
      <c r="I122" s="2">
        <f>[2]sens_100_spec_10_PSA!I122</f>
        <v>7.8409892213808501</v>
      </c>
      <c r="J122" s="3">
        <f>[2]sens_100_spec_10_PSA!J122</f>
        <v>159230.71587020499</v>
      </c>
      <c r="K122" s="3">
        <f>[2]sens_100_spec_10_PSA!K122</f>
        <v>98649.541302768994</v>
      </c>
      <c r="L122">
        <f>[2]sens_100_spec_10_PSA!L122</f>
        <v>1</v>
      </c>
      <c r="M122">
        <f>[2]sens_100_spec_10_PSA!M122</f>
        <v>0</v>
      </c>
    </row>
    <row r="123" spans="1:13" x14ac:dyDescent="0.25">
      <c r="A123">
        <f>[2]sens_100_spec_10_PSA!A123</f>
        <v>122</v>
      </c>
      <c r="B123">
        <f>[2]sens_100_spec_10_PSA!B123</f>
        <v>1</v>
      </c>
      <c r="C123" t="str">
        <f>[2]sens_100_spec_10_PSA!C123</f>
        <v>NA</v>
      </c>
      <c r="D123">
        <f>[2]sens_100_spec_10_PSA!D123</f>
        <v>1</v>
      </c>
      <c r="E123" s="1">
        <f>[2]sens_100_spec_10_PSA!E123</f>
        <v>9.7000000000000003E-2</v>
      </c>
      <c r="F123" s="1">
        <f>[2]sens_100_spec_10_PSA!F123</f>
        <v>2.7199999999999998E-2</v>
      </c>
      <c r="G123" s="2">
        <f>[2]sens_100_spec_10_PSA!G123</f>
        <v>19.705133027468101</v>
      </c>
      <c r="H123" s="2">
        <f>[2]sens_100_spec_10_PSA!H123</f>
        <v>14.8598399001065</v>
      </c>
      <c r="I123" s="2">
        <f>[2]sens_100_spec_10_PSA!I123</f>
        <v>8.9535467791975396</v>
      </c>
      <c r="J123" s="3">
        <f>[2]sens_100_spec_10_PSA!J123</f>
        <v>190463.55645851101</v>
      </c>
      <c r="K123" s="3">
        <f>[2]sens_100_spec_10_PSA!K123</f>
        <v>114492.16871429401</v>
      </c>
      <c r="L123">
        <f>[2]sens_100_spec_10_PSA!L123</f>
        <v>1</v>
      </c>
      <c r="M123">
        <f>[2]sens_100_spec_10_PSA!M123</f>
        <v>0</v>
      </c>
    </row>
    <row r="124" spans="1:13" x14ac:dyDescent="0.25">
      <c r="A124">
        <f>[2]sens_100_spec_10_PSA!A124</f>
        <v>123</v>
      </c>
      <c r="B124">
        <f>[2]sens_100_spec_10_PSA!B124</f>
        <v>1</v>
      </c>
      <c r="C124" t="str">
        <f>[2]sens_100_spec_10_PSA!C124</f>
        <v>NA</v>
      </c>
      <c r="D124">
        <f>[2]sens_100_spec_10_PSA!D124</f>
        <v>1</v>
      </c>
      <c r="E124" s="1">
        <f>[2]sens_100_spec_10_PSA!E124</f>
        <v>0.12330000000000001</v>
      </c>
      <c r="F124" s="1">
        <f>[2]sens_100_spec_10_PSA!F124</f>
        <v>2.52E-2</v>
      </c>
      <c r="G124" s="2">
        <f>[2]sens_100_spec_10_PSA!G124</f>
        <v>19.474522830018199</v>
      </c>
      <c r="H124" s="2">
        <f>[2]sens_100_spec_10_PSA!H124</f>
        <v>15.461534255713</v>
      </c>
      <c r="I124" s="2">
        <f>[2]sens_100_spec_10_PSA!I124</f>
        <v>9.2716979543115094</v>
      </c>
      <c r="J124" s="3">
        <f>[2]sens_100_spec_10_PSA!J124</f>
        <v>205879.32354372001</v>
      </c>
      <c r="K124" s="3">
        <f>[2]sens_100_spec_10_PSA!K124</f>
        <v>122427.002531705</v>
      </c>
      <c r="L124">
        <f>[2]sens_100_spec_10_PSA!L124</f>
        <v>1</v>
      </c>
      <c r="M124">
        <f>[2]sens_100_spec_10_PSA!M124</f>
        <v>0</v>
      </c>
    </row>
    <row r="125" spans="1:13" x14ac:dyDescent="0.25">
      <c r="A125">
        <f>[2]sens_100_spec_10_PSA!A125</f>
        <v>124</v>
      </c>
      <c r="B125">
        <f>[2]sens_100_spec_10_PSA!B125</f>
        <v>1</v>
      </c>
      <c r="C125" t="str">
        <f>[2]sens_100_spec_10_PSA!C125</f>
        <v>NA</v>
      </c>
      <c r="D125">
        <f>[2]sens_100_spec_10_PSA!D125</f>
        <v>1</v>
      </c>
      <c r="E125" s="1">
        <f>[2]sens_100_spec_10_PSA!E125</f>
        <v>0.1009</v>
      </c>
      <c r="F125" s="1">
        <f>[2]sens_100_spec_10_PSA!F125</f>
        <v>2.4899999999999999E-2</v>
      </c>
      <c r="G125" s="2">
        <f>[2]sens_100_spec_10_PSA!G125</f>
        <v>19.704257108635701</v>
      </c>
      <c r="H125" s="2">
        <f>[2]sens_100_spec_10_PSA!H125</f>
        <v>14.017215557181601</v>
      </c>
      <c r="I125" s="2">
        <f>[2]sens_100_spec_10_PSA!I125</f>
        <v>8.4485106138644106</v>
      </c>
      <c r="J125" s="3">
        <f>[2]sens_100_spec_10_PSA!J125</f>
        <v>193481.126087671</v>
      </c>
      <c r="K125" s="3">
        <f>[2]sens_100_spec_10_PSA!K125</f>
        <v>116122.736996686</v>
      </c>
      <c r="L125">
        <f>[2]sens_100_spec_10_PSA!L125</f>
        <v>1</v>
      </c>
      <c r="M125">
        <f>[2]sens_100_spec_10_PSA!M125</f>
        <v>0</v>
      </c>
    </row>
    <row r="126" spans="1:13" x14ac:dyDescent="0.25">
      <c r="A126">
        <f>[2]sens_100_spec_10_PSA!A126</f>
        <v>125</v>
      </c>
      <c r="B126">
        <f>[2]sens_100_spec_10_PSA!B126</f>
        <v>1</v>
      </c>
      <c r="C126" t="str">
        <f>[2]sens_100_spec_10_PSA!C126</f>
        <v>NA</v>
      </c>
      <c r="D126">
        <f>[2]sens_100_spec_10_PSA!D126</f>
        <v>1</v>
      </c>
      <c r="E126" s="1">
        <f>[2]sens_100_spec_10_PSA!E126</f>
        <v>0.18440000000000001</v>
      </c>
      <c r="F126" s="1">
        <f>[2]sens_100_spec_10_PSA!F126</f>
        <v>2.1100000000000001E-2</v>
      </c>
      <c r="G126" s="2">
        <f>[2]sens_100_spec_10_PSA!G126</f>
        <v>19.420699231705999</v>
      </c>
      <c r="H126" s="2">
        <f>[2]sens_100_spec_10_PSA!H126</f>
        <v>12.6767523423075</v>
      </c>
      <c r="I126" s="2">
        <f>[2]sens_100_spec_10_PSA!I126</f>
        <v>7.4780783496942398</v>
      </c>
      <c r="J126" s="3">
        <f>[2]sens_100_spec_10_PSA!J126</f>
        <v>191364.74937432</v>
      </c>
      <c r="K126" s="3">
        <f>[2]sens_100_spec_10_PSA!K126</f>
        <v>111991.808244549</v>
      </c>
      <c r="L126">
        <f>[2]sens_100_spec_10_PSA!L126</f>
        <v>1</v>
      </c>
      <c r="M126">
        <f>[2]sens_100_spec_10_PSA!M126</f>
        <v>0</v>
      </c>
    </row>
    <row r="127" spans="1:13" x14ac:dyDescent="0.25">
      <c r="A127">
        <f>[2]sens_100_spec_10_PSA!A127</f>
        <v>126</v>
      </c>
      <c r="B127">
        <f>[2]sens_100_spec_10_PSA!B127</f>
        <v>1</v>
      </c>
      <c r="C127" t="str">
        <f>[2]sens_100_spec_10_PSA!C127</f>
        <v>NA</v>
      </c>
      <c r="D127">
        <f>[2]sens_100_spec_10_PSA!D127</f>
        <v>1</v>
      </c>
      <c r="E127" s="1">
        <f>[2]sens_100_spec_10_PSA!E127</f>
        <v>0.09</v>
      </c>
      <c r="F127" s="1">
        <f>[2]sens_100_spec_10_PSA!F127</f>
        <v>2.8000000000000001E-2</v>
      </c>
      <c r="G127" s="2">
        <f>[2]sens_100_spec_10_PSA!G127</f>
        <v>18.535768294797901</v>
      </c>
      <c r="H127" s="2">
        <f>[2]sens_100_spec_10_PSA!H127</f>
        <v>13.768478392185401</v>
      </c>
      <c r="I127" s="2">
        <f>[2]sens_100_spec_10_PSA!I127</f>
        <v>8.4365540824526803</v>
      </c>
      <c r="J127" s="3">
        <f>[2]sens_100_spec_10_PSA!J127</f>
        <v>188180.78480345101</v>
      </c>
      <c r="K127" s="3">
        <f>[2]sens_100_spec_10_PSA!K127</f>
        <v>115557.749168496</v>
      </c>
      <c r="L127">
        <f>[2]sens_100_spec_10_PSA!L127</f>
        <v>1</v>
      </c>
      <c r="M127">
        <f>[2]sens_100_spec_10_PSA!M127</f>
        <v>0</v>
      </c>
    </row>
    <row r="128" spans="1:13" x14ac:dyDescent="0.25">
      <c r="A128">
        <f>[2]sens_100_spec_10_PSA!A128</f>
        <v>127</v>
      </c>
      <c r="B128">
        <f>[2]sens_100_spec_10_PSA!B128</f>
        <v>1</v>
      </c>
      <c r="C128" t="str">
        <f>[2]sens_100_spec_10_PSA!C128</f>
        <v>NA</v>
      </c>
      <c r="D128">
        <f>[2]sens_100_spec_10_PSA!D128</f>
        <v>1</v>
      </c>
      <c r="E128" s="1">
        <f>[2]sens_100_spec_10_PSA!E128</f>
        <v>0.1201</v>
      </c>
      <c r="F128" s="1">
        <f>[2]sens_100_spec_10_PSA!F128</f>
        <v>2.7900000000000001E-2</v>
      </c>
      <c r="G128" s="2">
        <f>[2]sens_100_spec_10_PSA!G128</f>
        <v>18.945826761162198</v>
      </c>
      <c r="H128" s="2">
        <f>[2]sens_100_spec_10_PSA!H128</f>
        <v>14.932502594753601</v>
      </c>
      <c r="I128" s="2">
        <f>[2]sens_100_spec_10_PSA!I128</f>
        <v>9.0205989638234403</v>
      </c>
      <c r="J128" s="3">
        <f>[2]sens_100_spec_10_PSA!J128</f>
        <v>204802.587305394</v>
      </c>
      <c r="K128" s="3">
        <f>[2]sens_100_spec_10_PSA!K128</f>
        <v>123182.477668273</v>
      </c>
      <c r="L128">
        <f>[2]sens_100_spec_10_PSA!L128</f>
        <v>1</v>
      </c>
      <c r="M128">
        <f>[2]sens_100_spec_10_PSA!M128</f>
        <v>0</v>
      </c>
    </row>
    <row r="129" spans="1:13" x14ac:dyDescent="0.25">
      <c r="A129">
        <f>[2]sens_100_spec_10_PSA!A129</f>
        <v>128</v>
      </c>
      <c r="B129">
        <f>[2]sens_100_spec_10_PSA!B129</f>
        <v>1</v>
      </c>
      <c r="C129" t="str">
        <f>[2]sens_100_spec_10_PSA!C129</f>
        <v>NA</v>
      </c>
      <c r="D129">
        <f>[2]sens_100_spec_10_PSA!D129</f>
        <v>1</v>
      </c>
      <c r="E129" s="1">
        <f>[2]sens_100_spec_10_PSA!E129</f>
        <v>0.1323</v>
      </c>
      <c r="F129" s="1">
        <f>[2]sens_100_spec_10_PSA!F129</f>
        <v>2.1499999999999998E-2</v>
      </c>
      <c r="G129" s="2">
        <f>[2]sens_100_spec_10_PSA!G129</f>
        <v>18.106897976359299</v>
      </c>
      <c r="H129" s="2">
        <f>[2]sens_100_spec_10_PSA!H129</f>
        <v>14.271845371903501</v>
      </c>
      <c r="I129" s="2">
        <f>[2]sens_100_spec_10_PSA!I129</f>
        <v>8.7426175102540302</v>
      </c>
      <c r="J129" s="3">
        <f>[2]sens_100_spec_10_PSA!J129</f>
        <v>210811.883749684</v>
      </c>
      <c r="K129" s="3">
        <f>[2]sens_100_spec_10_PSA!K129</f>
        <v>128558.08001541199</v>
      </c>
      <c r="L129">
        <f>[2]sens_100_spec_10_PSA!L129</f>
        <v>1</v>
      </c>
      <c r="M129">
        <f>[2]sens_100_spec_10_PSA!M129</f>
        <v>0</v>
      </c>
    </row>
    <row r="130" spans="1:13" x14ac:dyDescent="0.25">
      <c r="A130">
        <f>[2]sens_100_spec_10_PSA!A130</f>
        <v>129</v>
      </c>
      <c r="B130">
        <f>[2]sens_100_spec_10_PSA!B130</f>
        <v>1</v>
      </c>
      <c r="C130" t="str">
        <f>[2]sens_100_spec_10_PSA!C130</f>
        <v>NA</v>
      </c>
      <c r="D130">
        <f>[2]sens_100_spec_10_PSA!D130</f>
        <v>1</v>
      </c>
      <c r="E130" s="1">
        <f>[2]sens_100_spec_10_PSA!E130</f>
        <v>0.11840000000000001</v>
      </c>
      <c r="F130" s="1">
        <f>[2]sens_100_spec_10_PSA!F130</f>
        <v>2.5000000000000001E-2</v>
      </c>
      <c r="G130" s="2">
        <f>[2]sens_100_spec_10_PSA!G130</f>
        <v>19.808327319361801</v>
      </c>
      <c r="H130" s="2">
        <f>[2]sens_100_spec_10_PSA!H130</f>
        <v>13.895097946418099</v>
      </c>
      <c r="I130" s="2">
        <f>[2]sens_100_spec_10_PSA!I130</f>
        <v>8.3173471891518602</v>
      </c>
      <c r="J130" s="3">
        <f>[2]sens_100_spec_10_PSA!J130</f>
        <v>262982.48890289897</v>
      </c>
      <c r="K130" s="3">
        <f>[2]sens_100_spec_10_PSA!K130</f>
        <v>154171.135234619</v>
      </c>
      <c r="L130">
        <f>[2]sens_100_spec_10_PSA!L130</f>
        <v>1</v>
      </c>
      <c r="M130">
        <f>[2]sens_100_spec_10_PSA!M130</f>
        <v>0</v>
      </c>
    </row>
    <row r="131" spans="1:13" x14ac:dyDescent="0.25">
      <c r="A131">
        <f>[2]sens_100_spec_10_PSA!A131</f>
        <v>130</v>
      </c>
      <c r="B131">
        <f>[2]sens_100_spec_10_PSA!B131</f>
        <v>1</v>
      </c>
      <c r="C131" t="str">
        <f>[2]sens_100_spec_10_PSA!C131</f>
        <v>NA</v>
      </c>
      <c r="D131">
        <f>[2]sens_100_spec_10_PSA!D131</f>
        <v>1</v>
      </c>
      <c r="E131" s="1">
        <f>[2]sens_100_spec_10_PSA!E131</f>
        <v>8.9599999999999999E-2</v>
      </c>
      <c r="F131" s="1">
        <f>[2]sens_100_spec_10_PSA!F131</f>
        <v>2.9000000000000001E-2</v>
      </c>
      <c r="G131" s="2">
        <f>[2]sens_100_spec_10_PSA!G131</f>
        <v>19.404926586671401</v>
      </c>
      <c r="H131" s="2">
        <f>[2]sens_100_spec_10_PSA!H131</f>
        <v>15.3233777098299</v>
      </c>
      <c r="I131" s="2">
        <f>[2]sens_100_spec_10_PSA!I131</f>
        <v>9.2947745927145409</v>
      </c>
      <c r="J131" s="3">
        <f>[2]sens_100_spec_10_PSA!J131</f>
        <v>189257.669440331</v>
      </c>
      <c r="K131" s="3">
        <f>[2]sens_100_spec_10_PSA!K131</f>
        <v>114774.674033701</v>
      </c>
      <c r="L131">
        <f>[2]sens_100_spec_10_PSA!L131</f>
        <v>1</v>
      </c>
      <c r="M131">
        <f>[2]sens_100_spec_10_PSA!M131</f>
        <v>0</v>
      </c>
    </row>
    <row r="132" spans="1:13" x14ac:dyDescent="0.25">
      <c r="A132">
        <f>[2]sens_100_spec_10_PSA!A132</f>
        <v>131</v>
      </c>
      <c r="B132">
        <f>[2]sens_100_spec_10_PSA!B132</f>
        <v>1</v>
      </c>
      <c r="C132" t="str">
        <f>[2]sens_100_spec_10_PSA!C132</f>
        <v>NA</v>
      </c>
      <c r="D132">
        <f>[2]sens_100_spec_10_PSA!D132</f>
        <v>1</v>
      </c>
      <c r="E132" s="1">
        <f>[2]sens_100_spec_10_PSA!E132</f>
        <v>0.11020000000000001</v>
      </c>
      <c r="F132" s="1">
        <f>[2]sens_100_spec_10_PSA!F132</f>
        <v>2.9499999999999998E-2</v>
      </c>
      <c r="G132" s="2">
        <f>[2]sens_100_spec_10_PSA!G132</f>
        <v>19.427448419096201</v>
      </c>
      <c r="H132" s="2">
        <f>[2]sens_100_spec_10_PSA!H132</f>
        <v>13.418853828220501</v>
      </c>
      <c r="I132" s="2">
        <f>[2]sens_100_spec_10_PSA!I132</f>
        <v>8.0769773982675197</v>
      </c>
      <c r="J132" s="3">
        <f>[2]sens_100_spec_10_PSA!J132</f>
        <v>178377.921897252</v>
      </c>
      <c r="K132" s="3">
        <f>[2]sens_100_spec_10_PSA!K132</f>
        <v>107590.664173492</v>
      </c>
      <c r="L132">
        <f>[2]sens_100_spec_10_PSA!L132</f>
        <v>1</v>
      </c>
      <c r="M132">
        <f>[2]sens_100_spec_10_PSA!M132</f>
        <v>0</v>
      </c>
    </row>
    <row r="133" spans="1:13" x14ac:dyDescent="0.25">
      <c r="A133">
        <f>[2]sens_100_spec_10_PSA!A133</f>
        <v>132</v>
      </c>
      <c r="B133">
        <f>[2]sens_100_spec_10_PSA!B133</f>
        <v>1</v>
      </c>
      <c r="C133" t="str">
        <f>[2]sens_100_spec_10_PSA!C133</f>
        <v>NA</v>
      </c>
      <c r="D133">
        <f>[2]sens_100_spec_10_PSA!D133</f>
        <v>1</v>
      </c>
      <c r="E133" s="1">
        <f>[2]sens_100_spec_10_PSA!E133</f>
        <v>9.9699999999999997E-2</v>
      </c>
      <c r="F133" s="1">
        <f>[2]sens_100_spec_10_PSA!F133</f>
        <v>1.9800000000000002E-2</v>
      </c>
      <c r="G133" s="2">
        <f>[2]sens_100_spec_10_PSA!G133</f>
        <v>19.228334424839701</v>
      </c>
      <c r="H133" s="2">
        <f>[2]sens_100_spec_10_PSA!H133</f>
        <v>13.6325614856129</v>
      </c>
      <c r="I133" s="2">
        <f>[2]sens_100_spec_10_PSA!I133</f>
        <v>8.2698590893222796</v>
      </c>
      <c r="J133" s="3">
        <f>[2]sens_100_spec_10_PSA!J133</f>
        <v>223134.438421078</v>
      </c>
      <c r="K133" s="3">
        <f>[2]sens_100_spec_10_PSA!K133</f>
        <v>134069.432486331</v>
      </c>
      <c r="L133">
        <f>[2]sens_100_spec_10_PSA!L133</f>
        <v>1</v>
      </c>
      <c r="M133">
        <f>[2]sens_100_spec_10_PSA!M133</f>
        <v>0</v>
      </c>
    </row>
    <row r="134" spans="1:13" x14ac:dyDescent="0.25">
      <c r="A134">
        <f>[2]sens_100_spec_10_PSA!A134</f>
        <v>133</v>
      </c>
      <c r="B134">
        <f>[2]sens_100_spec_10_PSA!B134</f>
        <v>1</v>
      </c>
      <c r="C134" t="str">
        <f>[2]sens_100_spec_10_PSA!C134</f>
        <v>NA</v>
      </c>
      <c r="D134">
        <f>[2]sens_100_spec_10_PSA!D134</f>
        <v>1</v>
      </c>
      <c r="E134" s="1">
        <f>[2]sens_100_spec_10_PSA!E134</f>
        <v>0.19589999999999999</v>
      </c>
      <c r="F134" s="1">
        <f>[2]sens_100_spec_10_PSA!F134</f>
        <v>2.01E-2</v>
      </c>
      <c r="G134" s="2">
        <f>[2]sens_100_spec_10_PSA!G134</f>
        <v>17.612996631469201</v>
      </c>
      <c r="H134" s="2">
        <f>[2]sens_100_spec_10_PSA!H134</f>
        <v>13.7786447012981</v>
      </c>
      <c r="I134" s="2">
        <f>[2]sens_100_spec_10_PSA!I134</f>
        <v>8.3411601226167207</v>
      </c>
      <c r="J134" s="3">
        <f>[2]sens_100_spec_10_PSA!J134</f>
        <v>166734.26128217101</v>
      </c>
      <c r="K134" s="3">
        <f>[2]sens_100_spec_10_PSA!K134</f>
        <v>101373.822253016</v>
      </c>
      <c r="L134">
        <f>[2]sens_100_spec_10_PSA!L134</f>
        <v>1</v>
      </c>
      <c r="M134">
        <f>[2]sens_100_spec_10_PSA!M134</f>
        <v>0</v>
      </c>
    </row>
    <row r="135" spans="1:13" x14ac:dyDescent="0.25">
      <c r="A135">
        <f>[2]sens_100_spec_10_PSA!A135</f>
        <v>134</v>
      </c>
      <c r="B135">
        <f>[2]sens_100_spec_10_PSA!B135</f>
        <v>1</v>
      </c>
      <c r="C135" t="str">
        <f>[2]sens_100_spec_10_PSA!C135</f>
        <v>NA</v>
      </c>
      <c r="D135">
        <f>[2]sens_100_spec_10_PSA!D135</f>
        <v>1</v>
      </c>
      <c r="E135" s="1">
        <f>[2]sens_100_spec_10_PSA!E135</f>
        <v>0.21709999999999999</v>
      </c>
      <c r="F135" s="1">
        <f>[2]sens_100_spec_10_PSA!F135</f>
        <v>2.01E-2</v>
      </c>
      <c r="G135" s="2">
        <f>[2]sens_100_spec_10_PSA!G135</f>
        <v>17.628154747692999</v>
      </c>
      <c r="H135" s="2">
        <f>[2]sens_100_spec_10_PSA!H135</f>
        <v>12.0063272063963</v>
      </c>
      <c r="I135" s="2">
        <f>[2]sens_100_spec_10_PSA!I135</f>
        <v>7.2187281582172602</v>
      </c>
      <c r="J135" s="3">
        <f>[2]sens_100_spec_10_PSA!J135</f>
        <v>160325.21847136199</v>
      </c>
      <c r="K135" s="3">
        <f>[2]sens_100_spec_10_PSA!K135</f>
        <v>97087.612685240296</v>
      </c>
      <c r="L135">
        <f>[2]sens_100_spec_10_PSA!L135</f>
        <v>1</v>
      </c>
      <c r="M135">
        <f>[2]sens_100_spec_10_PSA!M135</f>
        <v>0</v>
      </c>
    </row>
    <row r="136" spans="1:13" x14ac:dyDescent="0.25">
      <c r="A136">
        <f>[2]sens_100_spec_10_PSA!A136</f>
        <v>135</v>
      </c>
      <c r="B136">
        <f>[2]sens_100_spec_10_PSA!B136</f>
        <v>1</v>
      </c>
      <c r="C136" t="str">
        <f>[2]sens_100_spec_10_PSA!C136</f>
        <v>NA</v>
      </c>
      <c r="D136">
        <f>[2]sens_100_spec_10_PSA!D136</f>
        <v>1</v>
      </c>
      <c r="E136" s="1">
        <f>[2]sens_100_spec_10_PSA!E136</f>
        <v>0.1057</v>
      </c>
      <c r="F136" s="1">
        <f>[2]sens_100_spec_10_PSA!F136</f>
        <v>2.23E-2</v>
      </c>
      <c r="G136" s="2">
        <f>[2]sens_100_spec_10_PSA!G136</f>
        <v>18.924848118501</v>
      </c>
      <c r="H136" s="2">
        <f>[2]sens_100_spec_10_PSA!H136</f>
        <v>14.049600484570099</v>
      </c>
      <c r="I136" s="2">
        <f>[2]sens_100_spec_10_PSA!I136</f>
        <v>8.5523492901618603</v>
      </c>
      <c r="J136" s="3">
        <f>[2]sens_100_spec_10_PSA!J136</f>
        <v>224694.59523481299</v>
      </c>
      <c r="K136" s="3">
        <f>[2]sens_100_spec_10_PSA!K136</f>
        <v>135462.207530329</v>
      </c>
      <c r="L136">
        <f>[2]sens_100_spec_10_PSA!L136</f>
        <v>1</v>
      </c>
      <c r="M136">
        <f>[2]sens_100_spec_10_PSA!M136</f>
        <v>0</v>
      </c>
    </row>
    <row r="137" spans="1:13" x14ac:dyDescent="0.25">
      <c r="A137">
        <f>[2]sens_100_spec_10_PSA!A137</f>
        <v>136</v>
      </c>
      <c r="B137">
        <f>[2]sens_100_spec_10_PSA!B137</f>
        <v>1</v>
      </c>
      <c r="C137" t="str">
        <f>[2]sens_100_spec_10_PSA!C137</f>
        <v>NA</v>
      </c>
      <c r="D137">
        <f>[2]sens_100_spec_10_PSA!D137</f>
        <v>1</v>
      </c>
      <c r="E137" s="1">
        <f>[2]sens_100_spec_10_PSA!E137</f>
        <v>0.1198</v>
      </c>
      <c r="F137" s="1">
        <f>[2]sens_100_spec_10_PSA!F137</f>
        <v>2.9499999999999998E-2</v>
      </c>
      <c r="G137" s="2">
        <f>[2]sens_100_spec_10_PSA!G137</f>
        <v>18.689154387812</v>
      </c>
      <c r="H137" s="2">
        <f>[2]sens_100_spec_10_PSA!H137</f>
        <v>13.435671996524199</v>
      </c>
      <c r="I137" s="2">
        <f>[2]sens_100_spec_10_PSA!I137</f>
        <v>8.1529795064031791</v>
      </c>
      <c r="J137" s="3">
        <f>[2]sens_100_spec_10_PSA!J137</f>
        <v>253070.084124838</v>
      </c>
      <c r="K137" s="3">
        <f>[2]sens_100_spec_10_PSA!K137</f>
        <v>151028.62241144301</v>
      </c>
      <c r="L137">
        <f>[2]sens_100_spec_10_PSA!L137</f>
        <v>1</v>
      </c>
      <c r="M137">
        <f>[2]sens_100_spec_10_PSA!M137</f>
        <v>0</v>
      </c>
    </row>
    <row r="138" spans="1:13" x14ac:dyDescent="0.25">
      <c r="A138">
        <f>[2]sens_100_spec_10_PSA!A138</f>
        <v>137</v>
      </c>
      <c r="B138">
        <f>[2]sens_100_spec_10_PSA!B138</f>
        <v>1</v>
      </c>
      <c r="C138" t="str">
        <f>[2]sens_100_spec_10_PSA!C138</f>
        <v>NA</v>
      </c>
      <c r="D138">
        <f>[2]sens_100_spec_10_PSA!D138</f>
        <v>1</v>
      </c>
      <c r="E138" s="1">
        <f>[2]sens_100_spec_10_PSA!E138</f>
        <v>0.1716</v>
      </c>
      <c r="F138" s="1">
        <f>[2]sens_100_spec_10_PSA!F138</f>
        <v>2.07E-2</v>
      </c>
      <c r="G138" s="2">
        <f>[2]sens_100_spec_10_PSA!G138</f>
        <v>18.2034370314135</v>
      </c>
      <c r="H138" s="2">
        <f>[2]sens_100_spec_10_PSA!H138</f>
        <v>13.476127440719001</v>
      </c>
      <c r="I138" s="2">
        <f>[2]sens_100_spec_10_PSA!I138</f>
        <v>8.1371760296216795</v>
      </c>
      <c r="J138" s="3">
        <f>[2]sens_100_spec_10_PSA!J138</f>
        <v>202489.032175853</v>
      </c>
      <c r="K138" s="3">
        <f>[2]sens_100_spec_10_PSA!K138</f>
        <v>121249.02327758999</v>
      </c>
      <c r="L138">
        <f>[2]sens_100_spec_10_PSA!L138</f>
        <v>1</v>
      </c>
      <c r="M138">
        <f>[2]sens_100_spec_10_PSA!M138</f>
        <v>0</v>
      </c>
    </row>
    <row r="139" spans="1:13" x14ac:dyDescent="0.25">
      <c r="A139">
        <f>[2]sens_100_spec_10_PSA!A139</f>
        <v>138</v>
      </c>
      <c r="B139">
        <f>[2]sens_100_spec_10_PSA!B139</f>
        <v>1</v>
      </c>
      <c r="C139" t="str">
        <f>[2]sens_100_spec_10_PSA!C139</f>
        <v>NA</v>
      </c>
      <c r="D139">
        <f>[2]sens_100_spec_10_PSA!D139</f>
        <v>1</v>
      </c>
      <c r="E139" s="1">
        <f>[2]sens_100_spec_10_PSA!E139</f>
        <v>0.1321</v>
      </c>
      <c r="F139" s="1">
        <f>[2]sens_100_spec_10_PSA!F139</f>
        <v>2.75E-2</v>
      </c>
      <c r="G139" s="2">
        <f>[2]sens_100_spec_10_PSA!G139</f>
        <v>19.200958937332199</v>
      </c>
      <c r="H139" s="2">
        <f>[2]sens_100_spec_10_PSA!H139</f>
        <v>11.141349906560199</v>
      </c>
      <c r="I139" s="2">
        <f>[2]sens_100_spec_10_PSA!I139</f>
        <v>6.6999577832477097</v>
      </c>
      <c r="J139" s="3">
        <f>[2]sens_100_spec_10_PSA!J139</f>
        <v>229970.12306109199</v>
      </c>
      <c r="K139" s="3">
        <f>[2]sens_100_spec_10_PSA!K139</f>
        <v>136292.52466020899</v>
      </c>
      <c r="L139">
        <f>[2]sens_100_spec_10_PSA!L139</f>
        <v>1</v>
      </c>
      <c r="M139">
        <f>[2]sens_100_spec_10_PSA!M139</f>
        <v>0</v>
      </c>
    </row>
    <row r="140" spans="1:13" x14ac:dyDescent="0.25">
      <c r="A140">
        <f>[2]sens_100_spec_10_PSA!A140</f>
        <v>139</v>
      </c>
      <c r="B140">
        <f>[2]sens_100_spec_10_PSA!B140</f>
        <v>1</v>
      </c>
      <c r="C140" t="str">
        <f>[2]sens_100_spec_10_PSA!C140</f>
        <v>NA</v>
      </c>
      <c r="D140">
        <f>[2]sens_100_spec_10_PSA!D140</f>
        <v>1</v>
      </c>
      <c r="E140" s="1">
        <f>[2]sens_100_spec_10_PSA!E140</f>
        <v>0.16089999999999999</v>
      </c>
      <c r="F140" s="1">
        <f>[2]sens_100_spec_10_PSA!F140</f>
        <v>2.53E-2</v>
      </c>
      <c r="G140" s="2">
        <f>[2]sens_100_spec_10_PSA!G140</f>
        <v>17.647710079422001</v>
      </c>
      <c r="H140" s="2">
        <f>[2]sens_100_spec_10_PSA!H140</f>
        <v>12.253264734420201</v>
      </c>
      <c r="I140" s="2">
        <f>[2]sens_100_spec_10_PSA!I140</f>
        <v>7.4964290433277903</v>
      </c>
      <c r="J140" s="3">
        <f>[2]sens_100_spec_10_PSA!J140</f>
        <v>193112.74808161901</v>
      </c>
      <c r="K140" s="3">
        <f>[2]sens_100_spec_10_PSA!K140</f>
        <v>117864.227354765</v>
      </c>
      <c r="L140">
        <f>[2]sens_100_spec_10_PSA!L140</f>
        <v>1</v>
      </c>
      <c r="M140">
        <f>[2]sens_100_spec_10_PSA!M140</f>
        <v>0</v>
      </c>
    </row>
    <row r="141" spans="1:13" x14ac:dyDescent="0.25">
      <c r="A141">
        <f>[2]sens_100_spec_10_PSA!A141</f>
        <v>140</v>
      </c>
      <c r="B141">
        <f>[2]sens_100_spec_10_PSA!B141</f>
        <v>1</v>
      </c>
      <c r="C141" t="str">
        <f>[2]sens_100_spec_10_PSA!C141</f>
        <v>NA</v>
      </c>
      <c r="D141">
        <f>[2]sens_100_spec_10_PSA!D141</f>
        <v>1</v>
      </c>
      <c r="E141" s="1">
        <f>[2]sens_100_spec_10_PSA!E141</f>
        <v>0.1416</v>
      </c>
      <c r="F141" s="1">
        <f>[2]sens_100_spec_10_PSA!F141</f>
        <v>2.6200000000000001E-2</v>
      </c>
      <c r="G141" s="2">
        <f>[2]sens_100_spec_10_PSA!G141</f>
        <v>18.790047922951899</v>
      </c>
      <c r="H141" s="2">
        <f>[2]sens_100_spec_10_PSA!H141</f>
        <v>14.983386214284501</v>
      </c>
      <c r="I141" s="2">
        <f>[2]sens_100_spec_10_PSA!I141</f>
        <v>9.0327392859246096</v>
      </c>
      <c r="J141" s="3">
        <f>[2]sens_100_spec_10_PSA!J141</f>
        <v>201068.88452978301</v>
      </c>
      <c r="K141" s="3">
        <f>[2]sens_100_spec_10_PSA!K141</f>
        <v>120326.26199614001</v>
      </c>
      <c r="L141">
        <f>[2]sens_100_spec_10_PSA!L141</f>
        <v>1</v>
      </c>
      <c r="M141">
        <f>[2]sens_100_spec_10_PSA!M141</f>
        <v>0</v>
      </c>
    </row>
    <row r="142" spans="1:13" x14ac:dyDescent="0.25">
      <c r="A142">
        <f>[2]sens_100_spec_10_PSA!A142</f>
        <v>141</v>
      </c>
      <c r="B142">
        <f>[2]sens_100_spec_10_PSA!B142</f>
        <v>1</v>
      </c>
      <c r="C142" t="str">
        <f>[2]sens_100_spec_10_PSA!C142</f>
        <v>NA</v>
      </c>
      <c r="D142">
        <f>[2]sens_100_spec_10_PSA!D142</f>
        <v>1</v>
      </c>
      <c r="E142" s="1">
        <f>[2]sens_100_spec_10_PSA!E142</f>
        <v>0.1537</v>
      </c>
      <c r="F142" s="1">
        <f>[2]sens_100_spec_10_PSA!F142</f>
        <v>2.3800000000000002E-2</v>
      </c>
      <c r="G142" s="2">
        <f>[2]sens_100_spec_10_PSA!G142</f>
        <v>19.961406604520398</v>
      </c>
      <c r="H142" s="2">
        <f>[2]sens_100_spec_10_PSA!H142</f>
        <v>14.9068518386793</v>
      </c>
      <c r="I142" s="2">
        <f>[2]sens_100_spec_10_PSA!I142</f>
        <v>8.8001161659059601</v>
      </c>
      <c r="J142" s="3">
        <f>[2]sens_100_spec_10_PSA!J142</f>
        <v>214298.085291119</v>
      </c>
      <c r="K142" s="3">
        <f>[2]sens_100_spec_10_PSA!K142</f>
        <v>124472.465949223</v>
      </c>
      <c r="L142">
        <f>[2]sens_100_spec_10_PSA!L142</f>
        <v>1</v>
      </c>
      <c r="M142">
        <f>[2]sens_100_spec_10_PSA!M142</f>
        <v>0</v>
      </c>
    </row>
    <row r="143" spans="1:13" x14ac:dyDescent="0.25">
      <c r="A143">
        <f>[2]sens_100_spec_10_PSA!A143</f>
        <v>142</v>
      </c>
      <c r="B143">
        <f>[2]sens_100_spec_10_PSA!B143</f>
        <v>1</v>
      </c>
      <c r="C143" t="str">
        <f>[2]sens_100_spec_10_PSA!C143</f>
        <v>NA</v>
      </c>
      <c r="D143">
        <f>[2]sens_100_spec_10_PSA!D143</f>
        <v>1</v>
      </c>
      <c r="E143" s="1">
        <f>[2]sens_100_spec_10_PSA!E143</f>
        <v>0.1305</v>
      </c>
      <c r="F143" s="1">
        <f>[2]sens_100_spec_10_PSA!F143</f>
        <v>2.7900000000000001E-2</v>
      </c>
      <c r="G143" s="2">
        <f>[2]sens_100_spec_10_PSA!G143</f>
        <v>17.832739477583502</v>
      </c>
      <c r="H143" s="2">
        <f>[2]sens_100_spec_10_PSA!H143</f>
        <v>12.7000419365989</v>
      </c>
      <c r="I143" s="2">
        <f>[2]sens_100_spec_10_PSA!I143</f>
        <v>7.7678933999001503</v>
      </c>
      <c r="J143" s="3">
        <f>[2]sens_100_spec_10_PSA!J143</f>
        <v>168379.32943161001</v>
      </c>
      <c r="K143" s="3">
        <f>[2]sens_100_spec_10_PSA!K143</f>
        <v>103692.81853648101</v>
      </c>
      <c r="L143">
        <f>[2]sens_100_spec_10_PSA!L143</f>
        <v>1</v>
      </c>
      <c r="M143">
        <f>[2]sens_100_spec_10_PSA!M143</f>
        <v>0</v>
      </c>
    </row>
    <row r="144" spans="1:13" x14ac:dyDescent="0.25">
      <c r="A144">
        <f>[2]sens_100_spec_10_PSA!A144</f>
        <v>143</v>
      </c>
      <c r="B144">
        <f>[2]sens_100_spec_10_PSA!B144</f>
        <v>1</v>
      </c>
      <c r="C144" t="str">
        <f>[2]sens_100_spec_10_PSA!C144</f>
        <v>NA</v>
      </c>
      <c r="D144">
        <f>[2]sens_100_spec_10_PSA!D144</f>
        <v>1</v>
      </c>
      <c r="E144" s="1">
        <f>[2]sens_100_spec_10_PSA!E144</f>
        <v>0.14219999999999999</v>
      </c>
      <c r="F144" s="1">
        <f>[2]sens_100_spec_10_PSA!F144</f>
        <v>2.18E-2</v>
      </c>
      <c r="G144" s="2">
        <f>[2]sens_100_spec_10_PSA!G144</f>
        <v>17.160622831347201</v>
      </c>
      <c r="H144" s="2">
        <f>[2]sens_100_spec_10_PSA!H144</f>
        <v>11.4211964038278</v>
      </c>
      <c r="I144" s="2">
        <f>[2]sens_100_spec_10_PSA!I144</f>
        <v>7.0772247541953499</v>
      </c>
      <c r="J144" s="3">
        <f>[2]sens_100_spec_10_PSA!J144</f>
        <v>193388.393823302</v>
      </c>
      <c r="K144" s="3">
        <f>[2]sens_100_spec_10_PSA!K144</f>
        <v>119738.507558008</v>
      </c>
      <c r="L144">
        <f>[2]sens_100_spec_10_PSA!L144</f>
        <v>1</v>
      </c>
      <c r="M144">
        <f>[2]sens_100_spec_10_PSA!M144</f>
        <v>0</v>
      </c>
    </row>
    <row r="145" spans="1:13" x14ac:dyDescent="0.25">
      <c r="A145">
        <f>[2]sens_100_spec_10_PSA!A145</f>
        <v>144</v>
      </c>
      <c r="B145">
        <f>[2]sens_100_spec_10_PSA!B145</f>
        <v>1</v>
      </c>
      <c r="C145" t="str">
        <f>[2]sens_100_spec_10_PSA!C145</f>
        <v>NA</v>
      </c>
      <c r="D145">
        <f>[2]sens_100_spec_10_PSA!D145</f>
        <v>1</v>
      </c>
      <c r="E145" s="1">
        <f>[2]sens_100_spec_10_PSA!E145</f>
        <v>0.17119999999999999</v>
      </c>
      <c r="F145" s="1">
        <f>[2]sens_100_spec_10_PSA!F145</f>
        <v>2.3300000000000001E-2</v>
      </c>
      <c r="G145" s="2">
        <f>[2]sens_100_spec_10_PSA!G145</f>
        <v>18.511295099425102</v>
      </c>
      <c r="H145" s="2">
        <f>[2]sens_100_spec_10_PSA!H145</f>
        <v>13.469964437831999</v>
      </c>
      <c r="I145" s="2">
        <f>[2]sens_100_spec_10_PSA!I145</f>
        <v>8.0996046795086301</v>
      </c>
      <c r="J145" s="3">
        <f>[2]sens_100_spec_10_PSA!J145</f>
        <v>229414.07019892099</v>
      </c>
      <c r="K145" s="3">
        <f>[2]sens_100_spec_10_PSA!K145</f>
        <v>136050.72048068</v>
      </c>
      <c r="L145">
        <f>[2]sens_100_spec_10_PSA!L145</f>
        <v>1</v>
      </c>
      <c r="M145">
        <f>[2]sens_100_spec_10_PSA!M145</f>
        <v>0</v>
      </c>
    </row>
    <row r="146" spans="1:13" x14ac:dyDescent="0.25">
      <c r="A146">
        <f>[2]sens_100_spec_10_PSA!A146</f>
        <v>145</v>
      </c>
      <c r="B146">
        <f>[2]sens_100_spec_10_PSA!B146</f>
        <v>1</v>
      </c>
      <c r="C146" t="str">
        <f>[2]sens_100_spec_10_PSA!C146</f>
        <v>NA</v>
      </c>
      <c r="D146">
        <f>[2]sens_100_spec_10_PSA!D146</f>
        <v>1</v>
      </c>
      <c r="E146" s="1">
        <f>[2]sens_100_spec_10_PSA!E146</f>
        <v>0.20349999999999999</v>
      </c>
      <c r="F146" s="1">
        <f>[2]sens_100_spec_10_PSA!F146</f>
        <v>2.7E-2</v>
      </c>
      <c r="G146" s="2">
        <f>[2]sens_100_spec_10_PSA!G146</f>
        <v>17.136541114178002</v>
      </c>
      <c r="H146" s="2">
        <f>[2]sens_100_spec_10_PSA!H146</f>
        <v>12.7736109075547</v>
      </c>
      <c r="I146" s="2">
        <f>[2]sens_100_spec_10_PSA!I146</f>
        <v>7.7632284366089204</v>
      </c>
      <c r="J146" s="3">
        <f>[2]sens_100_spec_10_PSA!J146</f>
        <v>171852.28221715899</v>
      </c>
      <c r="K146" s="3">
        <f>[2]sens_100_spec_10_PSA!K146</f>
        <v>104667.33313403399</v>
      </c>
      <c r="L146">
        <f>[2]sens_100_spec_10_PSA!L146</f>
        <v>1</v>
      </c>
      <c r="M146">
        <f>[2]sens_100_spec_10_PSA!M146</f>
        <v>0</v>
      </c>
    </row>
    <row r="147" spans="1:13" x14ac:dyDescent="0.25">
      <c r="A147">
        <f>[2]sens_100_spec_10_PSA!A147</f>
        <v>146</v>
      </c>
      <c r="B147">
        <f>[2]sens_100_spec_10_PSA!B147</f>
        <v>1</v>
      </c>
      <c r="C147" t="str">
        <f>[2]sens_100_spec_10_PSA!C147</f>
        <v>NA</v>
      </c>
      <c r="D147">
        <f>[2]sens_100_spec_10_PSA!D147</f>
        <v>1</v>
      </c>
      <c r="E147" s="1">
        <f>[2]sens_100_spec_10_PSA!E147</f>
        <v>0.2014</v>
      </c>
      <c r="F147" s="1">
        <f>[2]sens_100_spec_10_PSA!F147</f>
        <v>2.3E-2</v>
      </c>
      <c r="G147" s="2">
        <f>[2]sens_100_spec_10_PSA!G147</f>
        <v>18.147107699510901</v>
      </c>
      <c r="H147" s="2">
        <f>[2]sens_100_spec_10_PSA!H147</f>
        <v>14.0898093971817</v>
      </c>
      <c r="I147" s="2">
        <f>[2]sens_100_spec_10_PSA!I147</f>
        <v>8.4310004843903599</v>
      </c>
      <c r="J147" s="3">
        <f>[2]sens_100_spec_10_PSA!J147</f>
        <v>233868.10405027401</v>
      </c>
      <c r="K147" s="3">
        <f>[2]sens_100_spec_10_PSA!K147</f>
        <v>137226.327252649</v>
      </c>
      <c r="L147">
        <f>[2]sens_100_spec_10_PSA!L147</f>
        <v>1</v>
      </c>
      <c r="M147">
        <f>[2]sens_100_spec_10_PSA!M147</f>
        <v>0</v>
      </c>
    </row>
    <row r="148" spans="1:13" x14ac:dyDescent="0.25">
      <c r="A148">
        <f>[2]sens_100_spec_10_PSA!A148</f>
        <v>147</v>
      </c>
      <c r="B148">
        <f>[2]sens_100_spec_10_PSA!B148</f>
        <v>1</v>
      </c>
      <c r="C148" t="str">
        <f>[2]sens_100_spec_10_PSA!C148</f>
        <v>NA</v>
      </c>
      <c r="D148">
        <f>[2]sens_100_spec_10_PSA!D148</f>
        <v>1</v>
      </c>
      <c r="E148" s="1">
        <f>[2]sens_100_spec_10_PSA!E148</f>
        <v>0.1588</v>
      </c>
      <c r="F148" s="1">
        <f>[2]sens_100_spec_10_PSA!F148</f>
        <v>2.6800000000000001E-2</v>
      </c>
      <c r="G148" s="2">
        <f>[2]sens_100_spec_10_PSA!G148</f>
        <v>19.5534271235517</v>
      </c>
      <c r="H148" s="2">
        <f>[2]sens_100_spec_10_PSA!H148</f>
        <v>14.0754164269262</v>
      </c>
      <c r="I148" s="2">
        <f>[2]sens_100_spec_10_PSA!I148</f>
        <v>8.3476899390454893</v>
      </c>
      <c r="J148" s="3">
        <f>[2]sens_100_spec_10_PSA!J148</f>
        <v>202188.994220903</v>
      </c>
      <c r="K148" s="3">
        <f>[2]sens_100_spec_10_PSA!K148</f>
        <v>118771.61854911099</v>
      </c>
      <c r="L148">
        <f>[2]sens_100_spec_10_PSA!L148</f>
        <v>1</v>
      </c>
      <c r="M148">
        <f>[2]sens_100_spec_10_PSA!M148</f>
        <v>0</v>
      </c>
    </row>
    <row r="149" spans="1:13" x14ac:dyDescent="0.25">
      <c r="A149">
        <f>[2]sens_100_spec_10_PSA!A149</f>
        <v>148</v>
      </c>
      <c r="B149">
        <f>[2]sens_100_spec_10_PSA!B149</f>
        <v>1</v>
      </c>
      <c r="C149" t="str">
        <f>[2]sens_100_spec_10_PSA!C149</f>
        <v>NA</v>
      </c>
      <c r="D149">
        <f>[2]sens_100_spec_10_PSA!D149</f>
        <v>1</v>
      </c>
      <c r="E149" s="1">
        <f>[2]sens_100_spec_10_PSA!E149</f>
        <v>0.24990000000000001</v>
      </c>
      <c r="F149" s="1">
        <f>[2]sens_100_spec_10_PSA!F149</f>
        <v>2.2599999999999999E-2</v>
      </c>
      <c r="G149" s="2">
        <f>[2]sens_100_spec_10_PSA!G149</f>
        <v>16.945177236241399</v>
      </c>
      <c r="H149" s="2">
        <f>[2]sens_100_spec_10_PSA!H149</f>
        <v>12.8599164962373</v>
      </c>
      <c r="I149" s="2">
        <f>[2]sens_100_spec_10_PSA!I149</f>
        <v>7.7471529982962304</v>
      </c>
      <c r="J149" s="3">
        <f>[2]sens_100_spec_10_PSA!J149</f>
        <v>175991.64595000501</v>
      </c>
      <c r="K149" s="3">
        <f>[2]sens_100_spec_10_PSA!K149</f>
        <v>105715.611357113</v>
      </c>
      <c r="L149">
        <f>[2]sens_100_spec_10_PSA!L149</f>
        <v>1</v>
      </c>
      <c r="M149">
        <f>[2]sens_100_spec_10_PSA!M149</f>
        <v>0</v>
      </c>
    </row>
    <row r="150" spans="1:13" x14ac:dyDescent="0.25">
      <c r="A150">
        <f>[2]sens_100_spec_10_PSA!A150</f>
        <v>149</v>
      </c>
      <c r="B150">
        <f>[2]sens_100_spec_10_PSA!B150</f>
        <v>1</v>
      </c>
      <c r="C150" t="str">
        <f>[2]sens_100_spec_10_PSA!C150</f>
        <v>NA</v>
      </c>
      <c r="D150">
        <f>[2]sens_100_spec_10_PSA!D150</f>
        <v>1</v>
      </c>
      <c r="E150" s="1">
        <f>[2]sens_100_spec_10_PSA!E150</f>
        <v>0.1396</v>
      </c>
      <c r="F150" s="1">
        <f>[2]sens_100_spec_10_PSA!F150</f>
        <v>3.1399999999999997E-2</v>
      </c>
      <c r="G150" s="2">
        <f>[2]sens_100_spec_10_PSA!G150</f>
        <v>18.757946554694801</v>
      </c>
      <c r="H150" s="2">
        <f>[2]sens_100_spec_10_PSA!H150</f>
        <v>12.387553294202</v>
      </c>
      <c r="I150" s="2">
        <f>[2]sens_100_spec_10_PSA!I150</f>
        <v>7.46857917208012</v>
      </c>
      <c r="J150" s="3">
        <f>[2]sens_100_spec_10_PSA!J150</f>
        <v>223016.84933445399</v>
      </c>
      <c r="K150" s="3">
        <f>[2]sens_100_spec_10_PSA!K150</f>
        <v>132723.24244966701</v>
      </c>
      <c r="L150">
        <f>[2]sens_100_spec_10_PSA!L150</f>
        <v>1</v>
      </c>
      <c r="M150">
        <f>[2]sens_100_spec_10_PSA!M150</f>
        <v>0</v>
      </c>
    </row>
    <row r="151" spans="1:13" x14ac:dyDescent="0.25">
      <c r="A151">
        <f>[2]sens_100_spec_10_PSA!A151</f>
        <v>150</v>
      </c>
      <c r="B151">
        <f>[2]sens_100_spec_10_PSA!B151</f>
        <v>1</v>
      </c>
      <c r="C151" t="str">
        <f>[2]sens_100_spec_10_PSA!C151</f>
        <v>NA</v>
      </c>
      <c r="D151">
        <f>[2]sens_100_spec_10_PSA!D151</f>
        <v>1</v>
      </c>
      <c r="E151" s="1">
        <f>[2]sens_100_spec_10_PSA!E151</f>
        <v>0.1421</v>
      </c>
      <c r="F151" s="1">
        <f>[2]sens_100_spec_10_PSA!F151</f>
        <v>2.3E-2</v>
      </c>
      <c r="G151" s="2">
        <f>[2]sens_100_spec_10_PSA!G151</f>
        <v>20.043720924176601</v>
      </c>
      <c r="H151" s="2">
        <f>[2]sens_100_spec_10_PSA!H151</f>
        <v>15.5129923968874</v>
      </c>
      <c r="I151" s="2">
        <f>[2]sens_100_spec_10_PSA!I151</f>
        <v>9.2286001233785999</v>
      </c>
      <c r="J151" s="3">
        <f>[2]sens_100_spec_10_PSA!J151</f>
        <v>222631.50310442201</v>
      </c>
      <c r="K151" s="3">
        <f>[2]sens_100_spec_10_PSA!K151</f>
        <v>130435.28590854</v>
      </c>
      <c r="L151">
        <f>[2]sens_100_spec_10_PSA!L151</f>
        <v>1</v>
      </c>
      <c r="M151">
        <f>[2]sens_100_spec_10_PSA!M151</f>
        <v>0</v>
      </c>
    </row>
    <row r="152" spans="1:13" x14ac:dyDescent="0.25">
      <c r="A152">
        <f>[2]sens_100_spec_10_PSA!A152</f>
        <v>151</v>
      </c>
      <c r="B152">
        <f>[2]sens_100_spec_10_PSA!B152</f>
        <v>1</v>
      </c>
      <c r="C152" t="str">
        <f>[2]sens_100_spec_10_PSA!C152</f>
        <v>NA</v>
      </c>
      <c r="D152">
        <f>[2]sens_100_spec_10_PSA!D152</f>
        <v>1</v>
      </c>
      <c r="E152" s="1">
        <f>[2]sens_100_spec_10_PSA!E152</f>
        <v>0.1835</v>
      </c>
      <c r="F152" s="1">
        <f>[2]sens_100_spec_10_PSA!F152</f>
        <v>2.7300000000000001E-2</v>
      </c>
      <c r="G152" s="2">
        <f>[2]sens_100_spec_10_PSA!G152</f>
        <v>18.638205152377001</v>
      </c>
      <c r="H152" s="2">
        <f>[2]sens_100_spec_10_PSA!H152</f>
        <v>12.856922784492101</v>
      </c>
      <c r="I152" s="2">
        <f>[2]sens_100_spec_10_PSA!I152</f>
        <v>7.6749111416261897</v>
      </c>
      <c r="J152" s="3">
        <f>[2]sens_100_spec_10_PSA!J152</f>
        <v>247557.74773004101</v>
      </c>
      <c r="K152" s="3">
        <f>[2]sens_100_spec_10_PSA!K152</f>
        <v>144767.63364152901</v>
      </c>
      <c r="L152">
        <f>[2]sens_100_spec_10_PSA!L152</f>
        <v>1</v>
      </c>
      <c r="M152">
        <f>[2]sens_100_spec_10_PSA!M152</f>
        <v>0</v>
      </c>
    </row>
    <row r="153" spans="1:13" x14ac:dyDescent="0.25">
      <c r="A153">
        <f>[2]sens_100_spec_10_PSA!A153</f>
        <v>152</v>
      </c>
      <c r="B153">
        <f>[2]sens_100_spec_10_PSA!B153</f>
        <v>1</v>
      </c>
      <c r="C153" t="str">
        <f>[2]sens_100_spec_10_PSA!C153</f>
        <v>NA</v>
      </c>
      <c r="D153">
        <f>[2]sens_100_spec_10_PSA!D153</f>
        <v>1</v>
      </c>
      <c r="E153" s="1">
        <f>[2]sens_100_spec_10_PSA!E153</f>
        <v>0.17630000000000001</v>
      </c>
      <c r="F153" s="1">
        <f>[2]sens_100_spec_10_PSA!F153</f>
        <v>2.93E-2</v>
      </c>
      <c r="G153" s="2">
        <f>[2]sens_100_spec_10_PSA!G153</f>
        <v>18.605485479964599</v>
      </c>
      <c r="H153" s="2">
        <f>[2]sens_100_spec_10_PSA!H153</f>
        <v>13.102355973685899</v>
      </c>
      <c r="I153" s="2">
        <f>[2]sens_100_spec_10_PSA!I153</f>
        <v>7.8278335043713803</v>
      </c>
      <c r="J153" s="3">
        <f>[2]sens_100_spec_10_PSA!J153</f>
        <v>155523.530525132</v>
      </c>
      <c r="K153" s="3">
        <f>[2]sens_100_spec_10_PSA!K153</f>
        <v>93824.731005172202</v>
      </c>
      <c r="L153">
        <f>[2]sens_100_spec_10_PSA!L153</f>
        <v>1</v>
      </c>
      <c r="M153">
        <f>[2]sens_100_spec_10_PSA!M153</f>
        <v>0</v>
      </c>
    </row>
    <row r="154" spans="1:13" x14ac:dyDescent="0.25">
      <c r="A154">
        <f>[2]sens_100_spec_10_PSA!A154</f>
        <v>153</v>
      </c>
      <c r="B154">
        <f>[2]sens_100_spec_10_PSA!B154</f>
        <v>1</v>
      </c>
      <c r="C154" t="str">
        <f>[2]sens_100_spec_10_PSA!C154</f>
        <v>NA</v>
      </c>
      <c r="D154">
        <f>[2]sens_100_spec_10_PSA!D154</f>
        <v>1</v>
      </c>
      <c r="E154" s="1">
        <f>[2]sens_100_spec_10_PSA!E154</f>
        <v>0.25469999999999998</v>
      </c>
      <c r="F154" s="1">
        <f>[2]sens_100_spec_10_PSA!F154</f>
        <v>2.07E-2</v>
      </c>
      <c r="G154" s="2">
        <f>[2]sens_100_spec_10_PSA!G154</f>
        <v>16.8413656281949</v>
      </c>
      <c r="H154" s="2">
        <f>[2]sens_100_spec_10_PSA!H154</f>
        <v>10.848099257309499</v>
      </c>
      <c r="I154" s="2">
        <f>[2]sens_100_spec_10_PSA!I154</f>
        <v>6.5182502779034701</v>
      </c>
      <c r="J154" s="3">
        <f>[2]sens_100_spec_10_PSA!J154</f>
        <v>195828.83216320499</v>
      </c>
      <c r="K154" s="3">
        <f>[2]sens_100_spec_10_PSA!K154</f>
        <v>116589.907197878</v>
      </c>
      <c r="L154">
        <f>[2]sens_100_spec_10_PSA!L154</f>
        <v>1</v>
      </c>
      <c r="M154">
        <f>[2]sens_100_spec_10_PSA!M154</f>
        <v>0</v>
      </c>
    </row>
    <row r="155" spans="1:13" x14ac:dyDescent="0.25">
      <c r="A155">
        <f>[2]sens_100_spec_10_PSA!A155</f>
        <v>154</v>
      </c>
      <c r="B155">
        <f>[2]sens_100_spec_10_PSA!B155</f>
        <v>1</v>
      </c>
      <c r="C155" t="str">
        <f>[2]sens_100_spec_10_PSA!C155</f>
        <v>NA</v>
      </c>
      <c r="D155">
        <f>[2]sens_100_spec_10_PSA!D155</f>
        <v>1</v>
      </c>
      <c r="E155" s="1">
        <f>[2]sens_100_spec_10_PSA!E155</f>
        <v>8.43E-2</v>
      </c>
      <c r="F155" s="1">
        <f>[2]sens_100_spec_10_PSA!F155</f>
        <v>2.7699999999999999E-2</v>
      </c>
      <c r="G155" s="2">
        <f>[2]sens_100_spec_10_PSA!G155</f>
        <v>18.537449303181301</v>
      </c>
      <c r="H155" s="2">
        <f>[2]sens_100_spec_10_PSA!H155</f>
        <v>14.752580332739999</v>
      </c>
      <c r="I155" s="2">
        <f>[2]sens_100_spec_10_PSA!I155</f>
        <v>9.07992369342168</v>
      </c>
      <c r="J155" s="3">
        <f>[2]sens_100_spec_10_PSA!J155</f>
        <v>239848.50082640999</v>
      </c>
      <c r="K155" s="3">
        <f>[2]sens_100_spec_10_PSA!K155</f>
        <v>146126.27265667301</v>
      </c>
      <c r="L155">
        <f>[2]sens_100_spec_10_PSA!L155</f>
        <v>1</v>
      </c>
      <c r="M155">
        <f>[2]sens_100_spec_10_PSA!M155</f>
        <v>0</v>
      </c>
    </row>
    <row r="156" spans="1:13" x14ac:dyDescent="0.25">
      <c r="A156">
        <f>[2]sens_100_spec_10_PSA!A156</f>
        <v>155</v>
      </c>
      <c r="B156">
        <f>[2]sens_100_spec_10_PSA!B156</f>
        <v>1</v>
      </c>
      <c r="C156" t="str">
        <f>[2]sens_100_spec_10_PSA!C156</f>
        <v>NA</v>
      </c>
      <c r="D156">
        <f>[2]sens_100_spec_10_PSA!D156</f>
        <v>1</v>
      </c>
      <c r="E156" s="1">
        <f>[2]sens_100_spec_10_PSA!E156</f>
        <v>0.12920000000000001</v>
      </c>
      <c r="F156" s="1">
        <f>[2]sens_100_spec_10_PSA!F156</f>
        <v>2.5999999999999999E-2</v>
      </c>
      <c r="G156" s="2">
        <f>[2]sens_100_spec_10_PSA!G156</f>
        <v>18.731006888945</v>
      </c>
      <c r="H156" s="2">
        <f>[2]sens_100_spec_10_PSA!H156</f>
        <v>12.828770443442099</v>
      </c>
      <c r="I156" s="2">
        <f>[2]sens_100_spec_10_PSA!I156</f>
        <v>7.7571938279187203</v>
      </c>
      <c r="J156" s="3">
        <f>[2]sens_100_spec_10_PSA!J156</f>
        <v>278599.97504888399</v>
      </c>
      <c r="K156" s="3">
        <f>[2]sens_100_spec_10_PSA!K156</f>
        <v>164458.11221789001</v>
      </c>
      <c r="L156">
        <f>[2]sens_100_spec_10_PSA!L156</f>
        <v>1</v>
      </c>
      <c r="M156">
        <f>[2]sens_100_spec_10_PSA!M156</f>
        <v>0</v>
      </c>
    </row>
    <row r="157" spans="1:13" x14ac:dyDescent="0.25">
      <c r="A157">
        <f>[2]sens_100_spec_10_PSA!A157</f>
        <v>156</v>
      </c>
      <c r="B157">
        <f>[2]sens_100_spec_10_PSA!B157</f>
        <v>1</v>
      </c>
      <c r="C157" t="str">
        <f>[2]sens_100_spec_10_PSA!C157</f>
        <v>NA</v>
      </c>
      <c r="D157">
        <f>[2]sens_100_spec_10_PSA!D157</f>
        <v>1</v>
      </c>
      <c r="E157" s="1">
        <f>[2]sens_100_spec_10_PSA!E157</f>
        <v>0.1827</v>
      </c>
      <c r="F157" s="1">
        <f>[2]sens_100_spec_10_PSA!F157</f>
        <v>2.4299999999999999E-2</v>
      </c>
      <c r="G157" s="2">
        <f>[2]sens_100_spec_10_PSA!G157</f>
        <v>18.511652265322301</v>
      </c>
      <c r="H157" s="2">
        <f>[2]sens_100_spec_10_PSA!H157</f>
        <v>12.840535921293</v>
      </c>
      <c r="I157" s="2">
        <f>[2]sens_100_spec_10_PSA!I157</f>
        <v>7.6934809962404698</v>
      </c>
      <c r="J157" s="3">
        <f>[2]sens_100_spec_10_PSA!J157</f>
        <v>207238.53515202599</v>
      </c>
      <c r="K157" s="3">
        <f>[2]sens_100_spec_10_PSA!K157</f>
        <v>123071.848171891</v>
      </c>
      <c r="L157">
        <f>[2]sens_100_spec_10_PSA!L157</f>
        <v>1</v>
      </c>
      <c r="M157">
        <f>[2]sens_100_spec_10_PSA!M157</f>
        <v>0</v>
      </c>
    </row>
    <row r="158" spans="1:13" x14ac:dyDescent="0.25">
      <c r="A158">
        <f>[2]sens_100_spec_10_PSA!A158</f>
        <v>157</v>
      </c>
      <c r="B158">
        <f>[2]sens_100_spec_10_PSA!B158</f>
        <v>1</v>
      </c>
      <c r="C158" t="str">
        <f>[2]sens_100_spec_10_PSA!C158</f>
        <v>NA</v>
      </c>
      <c r="D158">
        <f>[2]sens_100_spec_10_PSA!D158</f>
        <v>1</v>
      </c>
      <c r="E158" s="1">
        <f>[2]sens_100_spec_10_PSA!E158</f>
        <v>0.12509999999999999</v>
      </c>
      <c r="F158" s="1">
        <f>[2]sens_100_spec_10_PSA!F158</f>
        <v>2.4E-2</v>
      </c>
      <c r="G158" s="2">
        <f>[2]sens_100_spec_10_PSA!G158</f>
        <v>18.719236560957899</v>
      </c>
      <c r="H158" s="2">
        <f>[2]sens_100_spec_10_PSA!H158</f>
        <v>14.9803764860499</v>
      </c>
      <c r="I158" s="2">
        <f>[2]sens_100_spec_10_PSA!I158</f>
        <v>9.0936912517614292</v>
      </c>
      <c r="J158" s="3">
        <f>[2]sens_100_spec_10_PSA!J158</f>
        <v>223821.527379451</v>
      </c>
      <c r="K158" s="3">
        <f>[2]sens_100_spec_10_PSA!K158</f>
        <v>134250.07363748201</v>
      </c>
      <c r="L158">
        <f>[2]sens_100_spec_10_PSA!L158</f>
        <v>1</v>
      </c>
      <c r="M158">
        <f>[2]sens_100_spec_10_PSA!M158</f>
        <v>0</v>
      </c>
    </row>
    <row r="159" spans="1:13" x14ac:dyDescent="0.25">
      <c r="A159">
        <f>[2]sens_100_spec_10_PSA!A159</f>
        <v>158</v>
      </c>
      <c r="B159">
        <f>[2]sens_100_spec_10_PSA!B159</f>
        <v>1</v>
      </c>
      <c r="C159" t="str">
        <f>[2]sens_100_spec_10_PSA!C159</f>
        <v>NA</v>
      </c>
      <c r="D159">
        <f>[2]sens_100_spec_10_PSA!D159</f>
        <v>1</v>
      </c>
      <c r="E159" s="1">
        <f>[2]sens_100_spec_10_PSA!E159</f>
        <v>0.14000000000000001</v>
      </c>
      <c r="F159" s="1">
        <f>[2]sens_100_spec_10_PSA!F159</f>
        <v>2.4500000000000001E-2</v>
      </c>
      <c r="G159" s="2">
        <f>[2]sens_100_spec_10_PSA!G159</f>
        <v>20.0955913843129</v>
      </c>
      <c r="H159" s="2">
        <f>[2]sens_100_spec_10_PSA!H159</f>
        <v>14.6497069435196</v>
      </c>
      <c r="I159" s="2">
        <f>[2]sens_100_spec_10_PSA!I159</f>
        <v>8.6726958058299299</v>
      </c>
      <c r="J159" s="3">
        <f>[2]sens_100_spec_10_PSA!J159</f>
        <v>226379.15301291001</v>
      </c>
      <c r="K159" s="3">
        <f>[2]sens_100_spec_10_PSA!K159</f>
        <v>131994.230784346</v>
      </c>
      <c r="L159">
        <f>[2]sens_100_spec_10_PSA!L159</f>
        <v>1</v>
      </c>
      <c r="M159">
        <f>[2]sens_100_spec_10_PSA!M159</f>
        <v>0</v>
      </c>
    </row>
    <row r="160" spans="1:13" x14ac:dyDescent="0.25">
      <c r="A160">
        <f>[2]sens_100_spec_10_PSA!A160</f>
        <v>159</v>
      </c>
      <c r="B160">
        <f>[2]sens_100_spec_10_PSA!B160</f>
        <v>1</v>
      </c>
      <c r="C160" t="str">
        <f>[2]sens_100_spec_10_PSA!C160</f>
        <v>NA</v>
      </c>
      <c r="D160">
        <f>[2]sens_100_spec_10_PSA!D160</f>
        <v>1</v>
      </c>
      <c r="E160" s="1">
        <f>[2]sens_100_spec_10_PSA!E160</f>
        <v>0.17280000000000001</v>
      </c>
      <c r="F160" s="1">
        <f>[2]sens_100_spec_10_PSA!F160</f>
        <v>2.4400000000000002E-2</v>
      </c>
      <c r="G160" s="2">
        <f>[2]sens_100_spec_10_PSA!G160</f>
        <v>18.007912612473199</v>
      </c>
      <c r="H160" s="2">
        <f>[2]sens_100_spec_10_PSA!H160</f>
        <v>12.8513912976711</v>
      </c>
      <c r="I160" s="2">
        <f>[2]sens_100_spec_10_PSA!I160</f>
        <v>7.7596685629132303</v>
      </c>
      <c r="J160" s="3">
        <f>[2]sens_100_spec_10_PSA!J160</f>
        <v>177906.98763666701</v>
      </c>
      <c r="K160" s="3">
        <f>[2]sens_100_spec_10_PSA!K160</f>
        <v>107778.60634213701</v>
      </c>
      <c r="L160">
        <f>[2]sens_100_spec_10_PSA!L160</f>
        <v>1</v>
      </c>
      <c r="M160">
        <f>[2]sens_100_spec_10_PSA!M160</f>
        <v>0</v>
      </c>
    </row>
    <row r="161" spans="1:13" x14ac:dyDescent="0.25">
      <c r="A161">
        <f>[2]sens_100_spec_10_PSA!A161</f>
        <v>160</v>
      </c>
      <c r="B161">
        <f>[2]sens_100_spec_10_PSA!B161</f>
        <v>1</v>
      </c>
      <c r="C161" t="str">
        <f>[2]sens_100_spec_10_PSA!C161</f>
        <v>NA</v>
      </c>
      <c r="D161">
        <f>[2]sens_100_spec_10_PSA!D161</f>
        <v>1</v>
      </c>
      <c r="E161" s="1">
        <f>[2]sens_100_spec_10_PSA!E161</f>
        <v>0.1169</v>
      </c>
      <c r="F161" s="1">
        <f>[2]sens_100_spec_10_PSA!F161</f>
        <v>2.7900000000000001E-2</v>
      </c>
      <c r="G161" s="2">
        <f>[2]sens_100_spec_10_PSA!G161</f>
        <v>18.636848136278498</v>
      </c>
      <c r="H161" s="2">
        <f>[2]sens_100_spec_10_PSA!H161</f>
        <v>13.2284675986692</v>
      </c>
      <c r="I161" s="2">
        <f>[2]sens_100_spec_10_PSA!I161</f>
        <v>8.0574486552047997</v>
      </c>
      <c r="J161" s="3">
        <f>[2]sens_100_spec_10_PSA!J161</f>
        <v>251030.180697829</v>
      </c>
      <c r="K161" s="3">
        <f>[2]sens_100_spec_10_PSA!K161</f>
        <v>150352.48084849701</v>
      </c>
      <c r="L161">
        <f>[2]sens_100_spec_10_PSA!L161</f>
        <v>1</v>
      </c>
      <c r="M161">
        <f>[2]sens_100_spec_10_PSA!M161</f>
        <v>0</v>
      </c>
    </row>
    <row r="162" spans="1:13" x14ac:dyDescent="0.25">
      <c r="A162">
        <f>[2]sens_100_spec_10_PSA!A162</f>
        <v>161</v>
      </c>
      <c r="B162">
        <f>[2]sens_100_spec_10_PSA!B162</f>
        <v>1</v>
      </c>
      <c r="C162" t="str">
        <f>[2]sens_100_spec_10_PSA!C162</f>
        <v>NA</v>
      </c>
      <c r="D162">
        <f>[2]sens_100_spec_10_PSA!D162</f>
        <v>1</v>
      </c>
      <c r="E162" s="1">
        <f>[2]sens_100_spec_10_PSA!E162</f>
        <v>0.16389999999999999</v>
      </c>
      <c r="F162" s="1">
        <f>[2]sens_100_spec_10_PSA!F162</f>
        <v>2.5999999999999999E-2</v>
      </c>
      <c r="G162" s="2">
        <f>[2]sens_100_spec_10_PSA!G162</f>
        <v>17.598348120018301</v>
      </c>
      <c r="H162" s="2">
        <f>[2]sens_100_spec_10_PSA!H162</f>
        <v>12.7072564714341</v>
      </c>
      <c r="I162" s="2">
        <f>[2]sens_100_spec_10_PSA!I162</f>
        <v>7.7700156106628198</v>
      </c>
      <c r="J162" s="3">
        <f>[2]sens_100_spec_10_PSA!J162</f>
        <v>247168.75743588101</v>
      </c>
      <c r="K162" s="3">
        <f>[2]sens_100_spec_10_PSA!K162</f>
        <v>148886.188604169</v>
      </c>
      <c r="L162">
        <f>[2]sens_100_spec_10_PSA!L162</f>
        <v>1</v>
      </c>
      <c r="M162">
        <f>[2]sens_100_spec_10_PSA!M162</f>
        <v>0</v>
      </c>
    </row>
    <row r="163" spans="1:13" x14ac:dyDescent="0.25">
      <c r="A163">
        <f>[2]sens_100_spec_10_PSA!A163</f>
        <v>162</v>
      </c>
      <c r="B163">
        <f>[2]sens_100_spec_10_PSA!B163</f>
        <v>1</v>
      </c>
      <c r="C163" t="str">
        <f>[2]sens_100_spec_10_PSA!C163</f>
        <v>NA</v>
      </c>
      <c r="D163">
        <f>[2]sens_100_spec_10_PSA!D163</f>
        <v>1</v>
      </c>
      <c r="E163" s="1">
        <f>[2]sens_100_spec_10_PSA!E163</f>
        <v>0.1477</v>
      </c>
      <c r="F163" s="1">
        <f>[2]sens_100_spec_10_PSA!F163</f>
        <v>2.6200000000000001E-2</v>
      </c>
      <c r="G163" s="2">
        <f>[2]sens_100_spec_10_PSA!G163</f>
        <v>19.886222879798598</v>
      </c>
      <c r="H163" s="2">
        <f>[2]sens_100_spec_10_PSA!H163</f>
        <v>12.517360634668201</v>
      </c>
      <c r="I163" s="2">
        <f>[2]sens_100_spec_10_PSA!I163</f>
        <v>7.4093166820841896</v>
      </c>
      <c r="J163" s="3">
        <f>[2]sens_100_spec_10_PSA!J163</f>
        <v>258333.89933423899</v>
      </c>
      <c r="K163" s="3">
        <f>[2]sens_100_spec_10_PSA!K163</f>
        <v>149344.596161644</v>
      </c>
      <c r="L163">
        <f>[2]sens_100_spec_10_PSA!L163</f>
        <v>1</v>
      </c>
      <c r="M163">
        <f>[2]sens_100_spec_10_PSA!M163</f>
        <v>0</v>
      </c>
    </row>
    <row r="164" spans="1:13" x14ac:dyDescent="0.25">
      <c r="A164">
        <f>[2]sens_100_spec_10_PSA!A164</f>
        <v>163</v>
      </c>
      <c r="B164">
        <f>[2]sens_100_spec_10_PSA!B164</f>
        <v>1</v>
      </c>
      <c r="C164" t="str">
        <f>[2]sens_100_spec_10_PSA!C164</f>
        <v>NA</v>
      </c>
      <c r="D164">
        <f>[2]sens_100_spec_10_PSA!D164</f>
        <v>1</v>
      </c>
      <c r="E164" s="1">
        <f>[2]sens_100_spec_10_PSA!E164</f>
        <v>8.2799999999999999E-2</v>
      </c>
      <c r="F164" s="1">
        <f>[2]sens_100_spec_10_PSA!F164</f>
        <v>2.9399999999999999E-2</v>
      </c>
      <c r="G164" s="2">
        <f>[2]sens_100_spec_10_PSA!G164</f>
        <v>20.0353380224992</v>
      </c>
      <c r="H164" s="2">
        <f>[2]sens_100_spec_10_PSA!H164</f>
        <v>15.4265294988839</v>
      </c>
      <c r="I164" s="2">
        <f>[2]sens_100_spec_10_PSA!I164</f>
        <v>9.2820155992509701</v>
      </c>
      <c r="J164" s="3">
        <f>[2]sens_100_spec_10_PSA!J164</f>
        <v>183933.84101909399</v>
      </c>
      <c r="K164" s="3">
        <f>[2]sens_100_spec_10_PSA!K164</f>
        <v>110718.928298924</v>
      </c>
      <c r="L164">
        <f>[2]sens_100_spec_10_PSA!L164</f>
        <v>1</v>
      </c>
      <c r="M164">
        <f>[2]sens_100_spec_10_PSA!M164</f>
        <v>0</v>
      </c>
    </row>
    <row r="165" spans="1:13" x14ac:dyDescent="0.25">
      <c r="A165">
        <f>[2]sens_100_spec_10_PSA!A165</f>
        <v>164</v>
      </c>
      <c r="B165">
        <f>[2]sens_100_spec_10_PSA!B165</f>
        <v>1</v>
      </c>
      <c r="C165" t="str">
        <f>[2]sens_100_spec_10_PSA!C165</f>
        <v>NA</v>
      </c>
      <c r="D165">
        <f>[2]sens_100_spec_10_PSA!D165</f>
        <v>1</v>
      </c>
      <c r="E165" s="1">
        <f>[2]sens_100_spec_10_PSA!E165</f>
        <v>0.11890000000000001</v>
      </c>
      <c r="F165" s="1">
        <f>[2]sens_100_spec_10_PSA!F165</f>
        <v>3.0300000000000001E-2</v>
      </c>
      <c r="G165" s="2">
        <f>[2]sens_100_spec_10_PSA!G165</f>
        <v>19.351899877319301</v>
      </c>
      <c r="H165" s="2">
        <f>[2]sens_100_spec_10_PSA!H165</f>
        <v>15.774532466807599</v>
      </c>
      <c r="I165" s="2">
        <f>[2]sens_100_spec_10_PSA!I165</f>
        <v>9.4582383419536704</v>
      </c>
      <c r="J165" s="3">
        <f>[2]sens_100_spec_10_PSA!J165</f>
        <v>229673.238932915</v>
      </c>
      <c r="K165" s="3">
        <f>[2]sens_100_spec_10_PSA!K165</f>
        <v>135676.51395101001</v>
      </c>
      <c r="L165">
        <f>[2]sens_100_spec_10_PSA!L165</f>
        <v>1</v>
      </c>
      <c r="M165">
        <f>[2]sens_100_spec_10_PSA!M165</f>
        <v>0</v>
      </c>
    </row>
    <row r="166" spans="1:13" x14ac:dyDescent="0.25">
      <c r="A166">
        <f>[2]sens_100_spec_10_PSA!A166</f>
        <v>165</v>
      </c>
      <c r="B166">
        <f>[2]sens_100_spec_10_PSA!B166</f>
        <v>1</v>
      </c>
      <c r="C166" t="str">
        <f>[2]sens_100_spec_10_PSA!C166</f>
        <v>NA</v>
      </c>
      <c r="D166">
        <f>[2]sens_100_spec_10_PSA!D166</f>
        <v>1</v>
      </c>
      <c r="E166" s="1">
        <f>[2]sens_100_spec_10_PSA!E166</f>
        <v>0.16250000000000001</v>
      </c>
      <c r="F166" s="1">
        <f>[2]sens_100_spec_10_PSA!F166</f>
        <v>2.3900000000000001E-2</v>
      </c>
      <c r="G166" s="2">
        <f>[2]sens_100_spec_10_PSA!G166</f>
        <v>19.826014846882501</v>
      </c>
      <c r="H166" s="2">
        <f>[2]sens_100_spec_10_PSA!H166</f>
        <v>13.3394924474409</v>
      </c>
      <c r="I166" s="2">
        <f>[2]sens_100_spec_10_PSA!I166</f>
        <v>7.8820855219228196</v>
      </c>
      <c r="J166" s="3">
        <f>[2]sens_100_spec_10_PSA!J166</f>
        <v>275995.530673153</v>
      </c>
      <c r="K166" s="3">
        <f>[2]sens_100_spec_10_PSA!K166</f>
        <v>158515.51365697099</v>
      </c>
      <c r="L166">
        <f>[2]sens_100_spec_10_PSA!L166</f>
        <v>1</v>
      </c>
      <c r="M166">
        <f>[2]sens_100_spec_10_PSA!M166</f>
        <v>0</v>
      </c>
    </row>
    <row r="167" spans="1:13" x14ac:dyDescent="0.25">
      <c r="A167">
        <f>[2]sens_100_spec_10_PSA!A167</f>
        <v>166</v>
      </c>
      <c r="B167">
        <f>[2]sens_100_spec_10_PSA!B167</f>
        <v>1</v>
      </c>
      <c r="C167" t="str">
        <f>[2]sens_100_spec_10_PSA!C167</f>
        <v>NA</v>
      </c>
      <c r="D167">
        <f>[2]sens_100_spec_10_PSA!D167</f>
        <v>1</v>
      </c>
      <c r="E167" s="1">
        <f>[2]sens_100_spec_10_PSA!E167</f>
        <v>0.1099</v>
      </c>
      <c r="F167" s="1">
        <f>[2]sens_100_spec_10_PSA!F167</f>
        <v>2.35E-2</v>
      </c>
      <c r="G167" s="2">
        <f>[2]sens_100_spec_10_PSA!G167</f>
        <v>19.9598897820246</v>
      </c>
      <c r="H167" s="2">
        <f>[2]sens_100_spec_10_PSA!H167</f>
        <v>12.3840343878024</v>
      </c>
      <c r="I167" s="2">
        <f>[2]sens_100_spec_10_PSA!I167</f>
        <v>7.4034170633365797</v>
      </c>
      <c r="J167" s="3">
        <f>[2]sens_100_spec_10_PSA!J167</f>
        <v>174756.14633935099</v>
      </c>
      <c r="K167" s="3">
        <f>[2]sens_100_spec_10_PSA!K167</f>
        <v>104802.168374247</v>
      </c>
      <c r="L167">
        <f>[2]sens_100_spec_10_PSA!L167</f>
        <v>1</v>
      </c>
      <c r="M167">
        <f>[2]sens_100_spec_10_PSA!M167</f>
        <v>0</v>
      </c>
    </row>
    <row r="168" spans="1:13" x14ac:dyDescent="0.25">
      <c r="A168">
        <f>[2]sens_100_spec_10_PSA!A168</f>
        <v>167</v>
      </c>
      <c r="B168">
        <f>[2]sens_100_spec_10_PSA!B168</f>
        <v>1</v>
      </c>
      <c r="C168" t="str">
        <f>[2]sens_100_spec_10_PSA!C168</f>
        <v>NA</v>
      </c>
      <c r="D168">
        <f>[2]sens_100_spec_10_PSA!D168</f>
        <v>1</v>
      </c>
      <c r="E168" s="1">
        <f>[2]sens_100_spec_10_PSA!E168</f>
        <v>0.114</v>
      </c>
      <c r="F168" s="1">
        <f>[2]sens_100_spec_10_PSA!F168</f>
        <v>3.0099999999999998E-2</v>
      </c>
      <c r="G168" s="2">
        <f>[2]sens_100_spec_10_PSA!G168</f>
        <v>19.803190963986399</v>
      </c>
      <c r="H168" s="2">
        <f>[2]sens_100_spec_10_PSA!H168</f>
        <v>13.927227801122299</v>
      </c>
      <c r="I168" s="2">
        <f>[2]sens_100_spec_10_PSA!I168</f>
        <v>8.3345489908911006</v>
      </c>
      <c r="J168" s="3">
        <f>[2]sens_100_spec_10_PSA!J168</f>
        <v>204403.209512111</v>
      </c>
      <c r="K168" s="3">
        <f>[2]sens_100_spec_10_PSA!K168</f>
        <v>121501.009261072</v>
      </c>
      <c r="L168">
        <f>[2]sens_100_spec_10_PSA!L168</f>
        <v>1</v>
      </c>
      <c r="M168">
        <f>[2]sens_100_spec_10_PSA!M168</f>
        <v>0</v>
      </c>
    </row>
    <row r="169" spans="1:13" x14ac:dyDescent="0.25">
      <c r="A169">
        <f>[2]sens_100_spec_10_PSA!A169</f>
        <v>168</v>
      </c>
      <c r="B169">
        <f>[2]sens_100_spec_10_PSA!B169</f>
        <v>1</v>
      </c>
      <c r="C169" t="str">
        <f>[2]sens_100_spec_10_PSA!C169</f>
        <v>NA</v>
      </c>
      <c r="D169">
        <f>[2]sens_100_spec_10_PSA!D169</f>
        <v>1</v>
      </c>
      <c r="E169" s="1">
        <f>[2]sens_100_spec_10_PSA!E169</f>
        <v>0.2056</v>
      </c>
      <c r="F169" s="1">
        <f>[2]sens_100_spec_10_PSA!F169</f>
        <v>2.2499999999999999E-2</v>
      </c>
      <c r="G169" s="2">
        <f>[2]sens_100_spec_10_PSA!G169</f>
        <v>18.842217645672001</v>
      </c>
      <c r="H169" s="2">
        <f>[2]sens_100_spec_10_PSA!H169</f>
        <v>12.8354913210565</v>
      </c>
      <c r="I169" s="2">
        <f>[2]sens_100_spec_10_PSA!I169</f>
        <v>7.6112316191288496</v>
      </c>
      <c r="J169" s="3">
        <f>[2]sens_100_spec_10_PSA!J169</f>
        <v>219265.731466809</v>
      </c>
      <c r="K169" s="3">
        <f>[2]sens_100_spec_10_PSA!K169</f>
        <v>127718.97584390899</v>
      </c>
      <c r="L169">
        <f>[2]sens_100_spec_10_PSA!L169</f>
        <v>1</v>
      </c>
      <c r="M169">
        <f>[2]sens_100_spec_10_PSA!M169</f>
        <v>0</v>
      </c>
    </row>
    <row r="170" spans="1:13" x14ac:dyDescent="0.25">
      <c r="A170">
        <f>[2]sens_100_spec_10_PSA!A170</f>
        <v>169</v>
      </c>
      <c r="B170">
        <f>[2]sens_100_spec_10_PSA!B170</f>
        <v>1</v>
      </c>
      <c r="C170" t="str">
        <f>[2]sens_100_spec_10_PSA!C170</f>
        <v>NA</v>
      </c>
      <c r="D170">
        <f>[2]sens_100_spec_10_PSA!D170</f>
        <v>1</v>
      </c>
      <c r="E170" s="1">
        <f>[2]sens_100_spec_10_PSA!E170</f>
        <v>0.13070000000000001</v>
      </c>
      <c r="F170" s="1">
        <f>[2]sens_100_spec_10_PSA!F170</f>
        <v>2.5700000000000001E-2</v>
      </c>
      <c r="G170" s="2">
        <f>[2]sens_100_spec_10_PSA!G170</f>
        <v>19.904892996655999</v>
      </c>
      <c r="H170" s="2">
        <f>[2]sens_100_spec_10_PSA!H170</f>
        <v>14.832048398784901</v>
      </c>
      <c r="I170" s="2">
        <f>[2]sens_100_spec_10_PSA!I170</f>
        <v>8.8543304398715108</v>
      </c>
      <c r="J170" s="3">
        <f>[2]sens_100_spec_10_PSA!J170</f>
        <v>275960.27325206</v>
      </c>
      <c r="K170" s="3">
        <f>[2]sens_100_spec_10_PSA!K170</f>
        <v>160543.57080316101</v>
      </c>
      <c r="L170">
        <f>[2]sens_100_spec_10_PSA!L170</f>
        <v>1</v>
      </c>
      <c r="M170">
        <f>[2]sens_100_spec_10_PSA!M170</f>
        <v>0</v>
      </c>
    </row>
    <row r="171" spans="1:13" x14ac:dyDescent="0.25">
      <c r="A171">
        <f>[2]sens_100_spec_10_PSA!A171</f>
        <v>170</v>
      </c>
      <c r="B171">
        <f>[2]sens_100_spec_10_PSA!B171</f>
        <v>1</v>
      </c>
      <c r="C171" t="str">
        <f>[2]sens_100_spec_10_PSA!C171</f>
        <v>NA</v>
      </c>
      <c r="D171">
        <f>[2]sens_100_spec_10_PSA!D171</f>
        <v>1</v>
      </c>
      <c r="E171" s="1">
        <f>[2]sens_100_spec_10_PSA!E171</f>
        <v>0.1739</v>
      </c>
      <c r="F171" s="1">
        <f>[2]sens_100_spec_10_PSA!F171</f>
        <v>2.6499999999999999E-2</v>
      </c>
      <c r="G171" s="2">
        <f>[2]sens_100_spec_10_PSA!G171</f>
        <v>18.680986689352501</v>
      </c>
      <c r="H171" s="2">
        <f>[2]sens_100_spec_10_PSA!H171</f>
        <v>13.0164475890285</v>
      </c>
      <c r="I171" s="2">
        <f>[2]sens_100_spec_10_PSA!I171</f>
        <v>7.7769065347066304</v>
      </c>
      <c r="J171" s="3">
        <f>[2]sens_100_spec_10_PSA!J171</f>
        <v>160418.204486587</v>
      </c>
      <c r="K171" s="3">
        <f>[2]sens_100_spec_10_PSA!K171</f>
        <v>96395.714568098003</v>
      </c>
      <c r="L171">
        <f>[2]sens_100_spec_10_PSA!L171</f>
        <v>1</v>
      </c>
      <c r="M171">
        <f>[2]sens_100_spec_10_PSA!M171</f>
        <v>0</v>
      </c>
    </row>
    <row r="172" spans="1:13" x14ac:dyDescent="0.25">
      <c r="A172">
        <f>[2]sens_100_spec_10_PSA!A172</f>
        <v>171</v>
      </c>
      <c r="B172">
        <f>[2]sens_100_spec_10_PSA!B172</f>
        <v>1</v>
      </c>
      <c r="C172" t="str">
        <f>[2]sens_100_spec_10_PSA!C172</f>
        <v>NA</v>
      </c>
      <c r="D172">
        <f>[2]sens_100_spec_10_PSA!D172</f>
        <v>1</v>
      </c>
      <c r="E172" s="1">
        <f>[2]sens_100_spec_10_PSA!E172</f>
        <v>0.14410000000000001</v>
      </c>
      <c r="F172" s="1">
        <f>[2]sens_100_spec_10_PSA!F172</f>
        <v>2.87E-2</v>
      </c>
      <c r="G172" s="2">
        <f>[2]sens_100_spec_10_PSA!G172</f>
        <v>19.335414821294901</v>
      </c>
      <c r="H172" s="2">
        <f>[2]sens_100_spec_10_PSA!H172</f>
        <v>12.6585930541649</v>
      </c>
      <c r="I172" s="2">
        <f>[2]sens_100_spec_10_PSA!I172</f>
        <v>7.5822470627173804</v>
      </c>
      <c r="J172" s="3">
        <f>[2]sens_100_spec_10_PSA!J172</f>
        <v>272102.294184267</v>
      </c>
      <c r="K172" s="3">
        <f>[2]sens_100_spec_10_PSA!K172</f>
        <v>158887.29588013701</v>
      </c>
      <c r="L172">
        <f>[2]sens_100_spec_10_PSA!L172</f>
        <v>1</v>
      </c>
      <c r="M172">
        <f>[2]sens_100_spec_10_PSA!M172</f>
        <v>0</v>
      </c>
    </row>
    <row r="173" spans="1:13" x14ac:dyDescent="0.25">
      <c r="A173">
        <f>[2]sens_100_spec_10_PSA!A173</f>
        <v>172</v>
      </c>
      <c r="B173">
        <f>[2]sens_100_spec_10_PSA!B173</f>
        <v>1</v>
      </c>
      <c r="C173" t="str">
        <f>[2]sens_100_spec_10_PSA!C173</f>
        <v>NA</v>
      </c>
      <c r="D173">
        <f>[2]sens_100_spec_10_PSA!D173</f>
        <v>1</v>
      </c>
      <c r="E173" s="1">
        <f>[2]sens_100_spec_10_PSA!E173</f>
        <v>0.109</v>
      </c>
      <c r="F173" s="1">
        <f>[2]sens_100_spec_10_PSA!F173</f>
        <v>2.76E-2</v>
      </c>
      <c r="G173" s="2">
        <f>[2]sens_100_spec_10_PSA!G173</f>
        <v>19.024067609076099</v>
      </c>
      <c r="H173" s="2">
        <f>[2]sens_100_spec_10_PSA!H173</f>
        <v>13.3243091606377</v>
      </c>
      <c r="I173" s="2">
        <f>[2]sens_100_spec_10_PSA!I173</f>
        <v>8.0805294724547796</v>
      </c>
      <c r="J173" s="3">
        <f>[2]sens_100_spec_10_PSA!J173</f>
        <v>236083.817130415</v>
      </c>
      <c r="K173" s="3">
        <f>[2]sens_100_spec_10_PSA!K173</f>
        <v>141257.19727552499</v>
      </c>
      <c r="L173">
        <f>[2]sens_100_spec_10_PSA!L173</f>
        <v>1</v>
      </c>
      <c r="M173">
        <f>[2]sens_100_spec_10_PSA!M173</f>
        <v>0</v>
      </c>
    </row>
    <row r="174" spans="1:13" x14ac:dyDescent="0.25">
      <c r="A174">
        <f>[2]sens_100_spec_10_PSA!A174</f>
        <v>173</v>
      </c>
      <c r="B174">
        <f>[2]sens_100_spec_10_PSA!B174</f>
        <v>1</v>
      </c>
      <c r="C174" t="str">
        <f>[2]sens_100_spec_10_PSA!C174</f>
        <v>NA</v>
      </c>
      <c r="D174">
        <f>[2]sens_100_spec_10_PSA!D174</f>
        <v>1</v>
      </c>
      <c r="E174" s="1">
        <f>[2]sens_100_spec_10_PSA!E174</f>
        <v>0.1072</v>
      </c>
      <c r="F174" s="1">
        <f>[2]sens_100_spec_10_PSA!F174</f>
        <v>3.0499999999999999E-2</v>
      </c>
      <c r="G174" s="2">
        <f>[2]sens_100_spec_10_PSA!G174</f>
        <v>19.4453208287024</v>
      </c>
      <c r="H174" s="2">
        <f>[2]sens_100_spec_10_PSA!H174</f>
        <v>10.962937127078501</v>
      </c>
      <c r="I174" s="2">
        <f>[2]sens_100_spec_10_PSA!I174</f>
        <v>6.5963459755342804</v>
      </c>
      <c r="J174" s="3">
        <f>[2]sens_100_spec_10_PSA!J174</f>
        <v>247174.53305722299</v>
      </c>
      <c r="K174" s="3">
        <f>[2]sens_100_spec_10_PSA!K174</f>
        <v>146080.068115912</v>
      </c>
      <c r="L174">
        <f>[2]sens_100_spec_10_PSA!L174</f>
        <v>1</v>
      </c>
      <c r="M174">
        <f>[2]sens_100_spec_10_PSA!M174</f>
        <v>0</v>
      </c>
    </row>
    <row r="175" spans="1:13" x14ac:dyDescent="0.25">
      <c r="A175">
        <f>[2]sens_100_spec_10_PSA!A175</f>
        <v>174</v>
      </c>
      <c r="B175">
        <f>[2]sens_100_spec_10_PSA!B175</f>
        <v>1</v>
      </c>
      <c r="C175" t="str">
        <f>[2]sens_100_spec_10_PSA!C175</f>
        <v>NA</v>
      </c>
      <c r="D175">
        <f>[2]sens_100_spec_10_PSA!D175</f>
        <v>1</v>
      </c>
      <c r="E175" s="1">
        <f>[2]sens_100_spec_10_PSA!E175</f>
        <v>0.224</v>
      </c>
      <c r="F175" s="1">
        <f>[2]sens_100_spec_10_PSA!F175</f>
        <v>2.5100000000000001E-2</v>
      </c>
      <c r="G175" s="2">
        <f>[2]sens_100_spec_10_PSA!G175</f>
        <v>19.283645833268402</v>
      </c>
      <c r="H175" s="2">
        <f>[2]sens_100_spec_10_PSA!H175</f>
        <v>11.5978999501116</v>
      </c>
      <c r="I175" s="2">
        <f>[2]sens_100_spec_10_PSA!I175</f>
        <v>6.7677504068227403</v>
      </c>
      <c r="J175" s="3">
        <f>[2]sens_100_spec_10_PSA!J175</f>
        <v>251417.97123606101</v>
      </c>
      <c r="K175" s="3">
        <f>[2]sens_100_spec_10_PSA!K175</f>
        <v>142539.24724526799</v>
      </c>
      <c r="L175">
        <f>[2]sens_100_spec_10_PSA!L175</f>
        <v>1</v>
      </c>
      <c r="M175">
        <f>[2]sens_100_spec_10_PSA!M175</f>
        <v>0</v>
      </c>
    </row>
    <row r="176" spans="1:13" x14ac:dyDescent="0.25">
      <c r="A176">
        <f>[2]sens_100_spec_10_PSA!A176</f>
        <v>175</v>
      </c>
      <c r="B176">
        <f>[2]sens_100_spec_10_PSA!B176</f>
        <v>1</v>
      </c>
      <c r="C176" t="str">
        <f>[2]sens_100_spec_10_PSA!C176</f>
        <v>NA</v>
      </c>
      <c r="D176">
        <f>[2]sens_100_spec_10_PSA!D176</f>
        <v>1</v>
      </c>
      <c r="E176" s="1">
        <f>[2]sens_100_spec_10_PSA!E176</f>
        <v>0.1487</v>
      </c>
      <c r="F176" s="1">
        <f>[2]sens_100_spec_10_PSA!F176</f>
        <v>2.46E-2</v>
      </c>
      <c r="G176" s="2">
        <f>[2]sens_100_spec_10_PSA!G176</f>
        <v>18.866646756226601</v>
      </c>
      <c r="H176" s="2">
        <f>[2]sens_100_spec_10_PSA!H176</f>
        <v>12.795353569239101</v>
      </c>
      <c r="I176" s="2">
        <f>[2]sens_100_spec_10_PSA!I176</f>
        <v>7.6803097007408896</v>
      </c>
      <c r="J176" s="3">
        <f>[2]sens_100_spec_10_PSA!J176</f>
        <v>247293.36804755501</v>
      </c>
      <c r="K176" s="3">
        <f>[2]sens_100_spec_10_PSA!K176</f>
        <v>145449.84356775301</v>
      </c>
      <c r="L176">
        <f>[2]sens_100_spec_10_PSA!L176</f>
        <v>1</v>
      </c>
      <c r="M176">
        <f>[2]sens_100_spec_10_PSA!M176</f>
        <v>0</v>
      </c>
    </row>
    <row r="177" spans="1:13" x14ac:dyDescent="0.25">
      <c r="A177">
        <f>[2]sens_100_spec_10_PSA!A177</f>
        <v>176</v>
      </c>
      <c r="B177">
        <f>[2]sens_100_spec_10_PSA!B177</f>
        <v>1</v>
      </c>
      <c r="C177" t="str">
        <f>[2]sens_100_spec_10_PSA!C177</f>
        <v>NA</v>
      </c>
      <c r="D177">
        <f>[2]sens_100_spec_10_PSA!D177</f>
        <v>1</v>
      </c>
      <c r="E177" s="1">
        <f>[2]sens_100_spec_10_PSA!E177</f>
        <v>0.16930000000000001</v>
      </c>
      <c r="F177" s="1">
        <f>[2]sens_100_spec_10_PSA!F177</f>
        <v>2.58E-2</v>
      </c>
      <c r="G177" s="2">
        <f>[2]sens_100_spec_10_PSA!G177</f>
        <v>19.657930766957701</v>
      </c>
      <c r="H177" s="2">
        <f>[2]sens_100_spec_10_PSA!H177</f>
        <v>14.0206918992097</v>
      </c>
      <c r="I177" s="2">
        <f>[2]sens_100_spec_10_PSA!I177</f>
        <v>8.2602248241157206</v>
      </c>
      <c r="J177" s="3">
        <f>[2]sens_100_spec_10_PSA!J177</f>
        <v>234972.55339303199</v>
      </c>
      <c r="K177" s="3">
        <f>[2]sens_100_spec_10_PSA!K177</f>
        <v>135434.86568553199</v>
      </c>
      <c r="L177">
        <f>[2]sens_100_spec_10_PSA!L177</f>
        <v>1</v>
      </c>
      <c r="M177">
        <f>[2]sens_100_spec_10_PSA!M177</f>
        <v>0</v>
      </c>
    </row>
    <row r="178" spans="1:13" x14ac:dyDescent="0.25">
      <c r="A178">
        <f>[2]sens_100_spec_10_PSA!A178</f>
        <v>177</v>
      </c>
      <c r="B178">
        <f>[2]sens_100_spec_10_PSA!B178</f>
        <v>1</v>
      </c>
      <c r="C178" t="str">
        <f>[2]sens_100_spec_10_PSA!C178</f>
        <v>NA</v>
      </c>
      <c r="D178">
        <f>[2]sens_100_spec_10_PSA!D178</f>
        <v>1</v>
      </c>
      <c r="E178" s="1">
        <f>[2]sens_100_spec_10_PSA!E178</f>
        <v>0.1258</v>
      </c>
      <c r="F178" s="1">
        <f>[2]sens_100_spec_10_PSA!F178</f>
        <v>2.5700000000000001E-2</v>
      </c>
      <c r="G178" s="2">
        <f>[2]sens_100_spec_10_PSA!G178</f>
        <v>18.679985037604499</v>
      </c>
      <c r="H178" s="2">
        <f>[2]sens_100_spec_10_PSA!H178</f>
        <v>12.6098171274897</v>
      </c>
      <c r="I178" s="2">
        <f>[2]sens_100_spec_10_PSA!I178</f>
        <v>7.6558483710411203</v>
      </c>
      <c r="J178" s="3">
        <f>[2]sens_100_spec_10_PSA!J178</f>
        <v>214063.613212481</v>
      </c>
      <c r="K178" s="3">
        <f>[2]sens_100_spec_10_PSA!K178</f>
        <v>128943.08396235701</v>
      </c>
      <c r="L178">
        <f>[2]sens_100_spec_10_PSA!L178</f>
        <v>1</v>
      </c>
      <c r="M178">
        <f>[2]sens_100_spec_10_PSA!M178</f>
        <v>0</v>
      </c>
    </row>
    <row r="179" spans="1:13" x14ac:dyDescent="0.25">
      <c r="A179">
        <f>[2]sens_100_spec_10_PSA!A179</f>
        <v>178</v>
      </c>
      <c r="B179">
        <f>[2]sens_100_spec_10_PSA!B179</f>
        <v>1</v>
      </c>
      <c r="C179" t="str">
        <f>[2]sens_100_spec_10_PSA!C179</f>
        <v>NA</v>
      </c>
      <c r="D179">
        <f>[2]sens_100_spec_10_PSA!D179</f>
        <v>1</v>
      </c>
      <c r="E179" s="1">
        <f>[2]sens_100_spec_10_PSA!E179</f>
        <v>0.11890000000000001</v>
      </c>
      <c r="F179" s="1">
        <f>[2]sens_100_spec_10_PSA!F179</f>
        <v>2.93E-2</v>
      </c>
      <c r="G179" s="2">
        <f>[2]sens_100_spec_10_PSA!G179</f>
        <v>18.2714544810006</v>
      </c>
      <c r="H179" s="2">
        <f>[2]sens_100_spec_10_PSA!H179</f>
        <v>11.761814762159201</v>
      </c>
      <c r="I179" s="2">
        <f>[2]sens_100_spec_10_PSA!I179</f>
        <v>7.1816569056393398</v>
      </c>
      <c r="J179" s="3">
        <f>[2]sens_100_spec_10_PSA!J179</f>
        <v>174408.89721674399</v>
      </c>
      <c r="K179" s="3">
        <f>[2]sens_100_spec_10_PSA!K179</f>
        <v>107189.653550705</v>
      </c>
      <c r="L179">
        <f>[2]sens_100_spec_10_PSA!L179</f>
        <v>1</v>
      </c>
      <c r="M179">
        <f>[2]sens_100_spec_10_PSA!M179</f>
        <v>0</v>
      </c>
    </row>
    <row r="180" spans="1:13" x14ac:dyDescent="0.25">
      <c r="A180">
        <f>[2]sens_100_spec_10_PSA!A180</f>
        <v>179</v>
      </c>
      <c r="B180">
        <f>[2]sens_100_spec_10_PSA!B180</f>
        <v>1</v>
      </c>
      <c r="C180" t="str">
        <f>[2]sens_100_spec_10_PSA!C180</f>
        <v>NA</v>
      </c>
      <c r="D180">
        <f>[2]sens_100_spec_10_PSA!D180</f>
        <v>1</v>
      </c>
      <c r="E180" s="1">
        <f>[2]sens_100_spec_10_PSA!E180</f>
        <v>0.10100000000000001</v>
      </c>
      <c r="F180" s="1">
        <f>[2]sens_100_spec_10_PSA!F180</f>
        <v>2.93E-2</v>
      </c>
      <c r="G180" s="2">
        <f>[2]sens_100_spec_10_PSA!G180</f>
        <v>20.2079616633937</v>
      </c>
      <c r="H180" s="2">
        <f>[2]sens_100_spec_10_PSA!H180</f>
        <v>15.1362392676601</v>
      </c>
      <c r="I180" s="2">
        <f>[2]sens_100_spec_10_PSA!I180</f>
        <v>9.0257671095240202</v>
      </c>
      <c r="J180" s="3">
        <f>[2]sens_100_spec_10_PSA!J180</f>
        <v>281638.34963065601</v>
      </c>
      <c r="K180" s="3">
        <f>[2]sens_100_spec_10_PSA!K180</f>
        <v>163675.950990627</v>
      </c>
      <c r="L180">
        <f>[2]sens_100_spec_10_PSA!L180</f>
        <v>1</v>
      </c>
      <c r="M180">
        <f>[2]sens_100_spec_10_PSA!M180</f>
        <v>0</v>
      </c>
    </row>
    <row r="181" spans="1:13" x14ac:dyDescent="0.25">
      <c r="A181">
        <f>[2]sens_100_spec_10_PSA!A181</f>
        <v>180</v>
      </c>
      <c r="B181">
        <f>[2]sens_100_spec_10_PSA!B181</f>
        <v>1</v>
      </c>
      <c r="C181" t="str">
        <f>[2]sens_100_spec_10_PSA!C181</f>
        <v>NA</v>
      </c>
      <c r="D181">
        <f>[2]sens_100_spec_10_PSA!D181</f>
        <v>1</v>
      </c>
      <c r="E181" s="1">
        <f>[2]sens_100_spec_10_PSA!E181</f>
        <v>0.1343</v>
      </c>
      <c r="F181" s="1">
        <f>[2]sens_100_spec_10_PSA!F181</f>
        <v>2.6800000000000001E-2</v>
      </c>
      <c r="G181" s="2">
        <f>[2]sens_100_spec_10_PSA!G181</f>
        <v>18.826697755599699</v>
      </c>
      <c r="H181" s="2">
        <f>[2]sens_100_spec_10_PSA!H181</f>
        <v>14.238131733811301</v>
      </c>
      <c r="I181" s="2">
        <f>[2]sens_100_spec_10_PSA!I181</f>
        <v>8.6052539057089596</v>
      </c>
      <c r="J181" s="3">
        <f>[2]sens_100_spec_10_PSA!J181</f>
        <v>222889.98035540801</v>
      </c>
      <c r="K181" s="3">
        <f>[2]sens_100_spec_10_PSA!K181</f>
        <v>133049.23874813001</v>
      </c>
      <c r="L181">
        <f>[2]sens_100_spec_10_PSA!L181</f>
        <v>1</v>
      </c>
      <c r="M181">
        <f>[2]sens_100_spec_10_PSA!M181</f>
        <v>0</v>
      </c>
    </row>
    <row r="182" spans="1:13" x14ac:dyDescent="0.25">
      <c r="A182">
        <f>[2]sens_100_spec_10_PSA!A182</f>
        <v>181</v>
      </c>
      <c r="B182">
        <f>[2]sens_100_spec_10_PSA!B182</f>
        <v>1</v>
      </c>
      <c r="C182" t="str">
        <f>[2]sens_100_spec_10_PSA!C182</f>
        <v>NA</v>
      </c>
      <c r="D182">
        <f>[2]sens_100_spec_10_PSA!D182</f>
        <v>1</v>
      </c>
      <c r="E182" s="1">
        <f>[2]sens_100_spec_10_PSA!E182</f>
        <v>0.10100000000000001</v>
      </c>
      <c r="F182" s="1">
        <f>[2]sens_100_spec_10_PSA!F182</f>
        <v>2.9000000000000001E-2</v>
      </c>
      <c r="G182" s="2">
        <f>[2]sens_100_spec_10_PSA!G182</f>
        <v>20.347052731463101</v>
      </c>
      <c r="H182" s="2">
        <f>[2]sens_100_spec_10_PSA!H182</f>
        <v>14.2332127570367</v>
      </c>
      <c r="I182" s="2">
        <f>[2]sens_100_spec_10_PSA!I182</f>
        <v>8.4768433165181296</v>
      </c>
      <c r="J182" s="3">
        <f>[2]sens_100_spec_10_PSA!J182</f>
        <v>223555.24613126699</v>
      </c>
      <c r="K182" s="3">
        <f>[2]sens_100_spec_10_PSA!K182</f>
        <v>131203.66125279601</v>
      </c>
      <c r="L182">
        <f>[2]sens_100_spec_10_PSA!L182</f>
        <v>1</v>
      </c>
      <c r="M182">
        <f>[2]sens_100_spec_10_PSA!M182</f>
        <v>0</v>
      </c>
    </row>
    <row r="183" spans="1:13" x14ac:dyDescent="0.25">
      <c r="A183">
        <f>[2]sens_100_spec_10_PSA!A183</f>
        <v>182</v>
      </c>
      <c r="B183">
        <f>[2]sens_100_spec_10_PSA!B183</f>
        <v>1</v>
      </c>
      <c r="C183" t="str">
        <f>[2]sens_100_spec_10_PSA!C183</f>
        <v>NA</v>
      </c>
      <c r="D183">
        <f>[2]sens_100_spec_10_PSA!D183</f>
        <v>1</v>
      </c>
      <c r="E183" s="1">
        <f>[2]sens_100_spec_10_PSA!E183</f>
        <v>0.12720000000000001</v>
      </c>
      <c r="F183" s="1">
        <f>[2]sens_100_spec_10_PSA!F183</f>
        <v>2.5100000000000001E-2</v>
      </c>
      <c r="G183" s="2">
        <f>[2]sens_100_spec_10_PSA!G183</f>
        <v>19.727982242325901</v>
      </c>
      <c r="H183" s="2">
        <f>[2]sens_100_spec_10_PSA!H183</f>
        <v>13.560767904580199</v>
      </c>
      <c r="I183" s="2">
        <f>[2]sens_100_spec_10_PSA!I183</f>
        <v>8.0958749343285703</v>
      </c>
      <c r="J183" s="3">
        <f>[2]sens_100_spec_10_PSA!J183</f>
        <v>248119.99497923299</v>
      </c>
      <c r="K183" s="3">
        <f>[2]sens_100_spec_10_PSA!K183</f>
        <v>145272.70989914099</v>
      </c>
      <c r="L183">
        <f>[2]sens_100_spec_10_PSA!L183</f>
        <v>1</v>
      </c>
      <c r="M183">
        <f>[2]sens_100_spec_10_PSA!M183</f>
        <v>0</v>
      </c>
    </row>
    <row r="184" spans="1:13" x14ac:dyDescent="0.25">
      <c r="A184">
        <f>[2]sens_100_spec_10_PSA!A184</f>
        <v>183</v>
      </c>
      <c r="B184">
        <f>[2]sens_100_spec_10_PSA!B184</f>
        <v>1</v>
      </c>
      <c r="C184" t="str">
        <f>[2]sens_100_spec_10_PSA!C184</f>
        <v>NA</v>
      </c>
      <c r="D184">
        <f>[2]sens_100_spec_10_PSA!D184</f>
        <v>1</v>
      </c>
      <c r="E184" s="1">
        <f>[2]sens_100_spec_10_PSA!E184</f>
        <v>0.108</v>
      </c>
      <c r="F184" s="1">
        <f>[2]sens_100_spec_10_PSA!F184</f>
        <v>2.7099999999999999E-2</v>
      </c>
      <c r="G184" s="2">
        <f>[2]sens_100_spec_10_PSA!G184</f>
        <v>19.077506933564699</v>
      </c>
      <c r="H184" s="2">
        <f>[2]sens_100_spec_10_PSA!H184</f>
        <v>13.605782710269001</v>
      </c>
      <c r="I184" s="2">
        <f>[2]sens_100_spec_10_PSA!I184</f>
        <v>8.2347074586951603</v>
      </c>
      <c r="J184" s="3">
        <f>[2]sens_100_spec_10_PSA!J184</f>
        <v>192861.637039889</v>
      </c>
      <c r="K184" s="3">
        <f>[2]sens_100_spec_10_PSA!K184</f>
        <v>116346.154038972</v>
      </c>
      <c r="L184">
        <f>[2]sens_100_spec_10_PSA!L184</f>
        <v>1</v>
      </c>
      <c r="M184">
        <f>[2]sens_100_spec_10_PSA!M184</f>
        <v>0</v>
      </c>
    </row>
    <row r="185" spans="1:13" x14ac:dyDescent="0.25">
      <c r="A185">
        <f>[2]sens_100_spec_10_PSA!A185</f>
        <v>184</v>
      </c>
      <c r="B185">
        <f>[2]sens_100_spec_10_PSA!B185</f>
        <v>1</v>
      </c>
      <c r="C185" t="str">
        <f>[2]sens_100_spec_10_PSA!C185</f>
        <v>NA</v>
      </c>
      <c r="D185">
        <f>[2]sens_100_spec_10_PSA!D185</f>
        <v>1</v>
      </c>
      <c r="E185" s="1">
        <f>[2]sens_100_spec_10_PSA!E185</f>
        <v>0.28699999999999998</v>
      </c>
      <c r="F185" s="1">
        <f>[2]sens_100_spec_10_PSA!F185</f>
        <v>1.84E-2</v>
      </c>
      <c r="G185" s="2">
        <f>[2]sens_100_spec_10_PSA!G185</f>
        <v>16.574367342219301</v>
      </c>
      <c r="H185" s="2">
        <f>[2]sens_100_spec_10_PSA!H185</f>
        <v>10.772617216858601</v>
      </c>
      <c r="I185" s="2">
        <f>[2]sens_100_spec_10_PSA!I185</f>
        <v>6.4427030231554596</v>
      </c>
      <c r="J185" s="3">
        <f>[2]sens_100_spec_10_PSA!J185</f>
        <v>231383.135435428</v>
      </c>
      <c r="K185" s="3">
        <f>[2]sens_100_spec_10_PSA!K185</f>
        <v>135592.000681726</v>
      </c>
      <c r="L185">
        <f>[2]sens_100_spec_10_PSA!L185</f>
        <v>1</v>
      </c>
      <c r="M185">
        <f>[2]sens_100_spec_10_PSA!M185</f>
        <v>0</v>
      </c>
    </row>
    <row r="186" spans="1:13" x14ac:dyDescent="0.25">
      <c r="A186">
        <f>[2]sens_100_spec_10_PSA!A186</f>
        <v>185</v>
      </c>
      <c r="B186">
        <f>[2]sens_100_spec_10_PSA!B186</f>
        <v>1</v>
      </c>
      <c r="C186" t="str">
        <f>[2]sens_100_spec_10_PSA!C186</f>
        <v>NA</v>
      </c>
      <c r="D186">
        <f>[2]sens_100_spec_10_PSA!D186</f>
        <v>1</v>
      </c>
      <c r="E186" s="1">
        <f>[2]sens_100_spec_10_PSA!E186</f>
        <v>0.20860000000000001</v>
      </c>
      <c r="F186" s="1">
        <f>[2]sens_100_spec_10_PSA!F186</f>
        <v>2.29E-2</v>
      </c>
      <c r="G186" s="2">
        <f>[2]sens_100_spec_10_PSA!G186</f>
        <v>17.722890203154499</v>
      </c>
      <c r="H186" s="2">
        <f>[2]sens_100_spec_10_PSA!H186</f>
        <v>13.075221267505601</v>
      </c>
      <c r="I186" s="2">
        <f>[2]sens_100_spec_10_PSA!I186</f>
        <v>7.8807861743242498</v>
      </c>
      <c r="J186" s="3">
        <f>[2]sens_100_spec_10_PSA!J186</f>
        <v>208652.22747453701</v>
      </c>
      <c r="K186" s="3">
        <f>[2]sens_100_spec_10_PSA!K186</f>
        <v>124559.16488734201</v>
      </c>
      <c r="L186">
        <f>[2]sens_100_spec_10_PSA!L186</f>
        <v>1</v>
      </c>
      <c r="M186">
        <f>[2]sens_100_spec_10_PSA!M186</f>
        <v>0</v>
      </c>
    </row>
    <row r="187" spans="1:13" x14ac:dyDescent="0.25">
      <c r="A187">
        <f>[2]sens_100_spec_10_PSA!A187</f>
        <v>186</v>
      </c>
      <c r="B187">
        <f>[2]sens_100_spec_10_PSA!B187</f>
        <v>1</v>
      </c>
      <c r="C187" t="str">
        <f>[2]sens_100_spec_10_PSA!C187</f>
        <v>NA</v>
      </c>
      <c r="D187">
        <f>[2]sens_100_spec_10_PSA!D187</f>
        <v>1</v>
      </c>
      <c r="E187" s="1">
        <f>[2]sens_100_spec_10_PSA!E187</f>
        <v>0.17649999999999999</v>
      </c>
      <c r="F187" s="1">
        <f>[2]sens_100_spec_10_PSA!F187</f>
        <v>2.0400000000000001E-2</v>
      </c>
      <c r="G187" s="2">
        <f>[2]sens_100_spec_10_PSA!G187</f>
        <v>18.9567138410194</v>
      </c>
      <c r="H187" s="2">
        <f>[2]sens_100_spec_10_PSA!H187</f>
        <v>14.352931314855001</v>
      </c>
      <c r="I187" s="2">
        <f>[2]sens_100_spec_10_PSA!I187</f>
        <v>8.5600704627950108</v>
      </c>
      <c r="J187" s="3">
        <f>[2]sens_100_spec_10_PSA!J187</f>
        <v>163869.659233885</v>
      </c>
      <c r="K187" s="3">
        <f>[2]sens_100_spec_10_PSA!K187</f>
        <v>98251.717911271902</v>
      </c>
      <c r="L187">
        <f>[2]sens_100_spec_10_PSA!L187</f>
        <v>1</v>
      </c>
      <c r="M187">
        <f>[2]sens_100_spec_10_PSA!M187</f>
        <v>0</v>
      </c>
    </row>
    <row r="188" spans="1:13" x14ac:dyDescent="0.25">
      <c r="A188">
        <f>[2]sens_100_spec_10_PSA!A188</f>
        <v>187</v>
      </c>
      <c r="B188">
        <f>[2]sens_100_spec_10_PSA!B188</f>
        <v>1</v>
      </c>
      <c r="C188" t="str">
        <f>[2]sens_100_spec_10_PSA!C188</f>
        <v>NA</v>
      </c>
      <c r="D188">
        <f>[2]sens_100_spec_10_PSA!D188</f>
        <v>1</v>
      </c>
      <c r="E188" s="1">
        <f>[2]sens_100_spec_10_PSA!E188</f>
        <v>0.13489999999999999</v>
      </c>
      <c r="F188" s="1">
        <f>[2]sens_100_spec_10_PSA!F188</f>
        <v>1.9400000000000001E-2</v>
      </c>
      <c r="G188" s="2">
        <f>[2]sens_100_spec_10_PSA!G188</f>
        <v>18.6725800133725</v>
      </c>
      <c r="H188" s="2">
        <f>[2]sens_100_spec_10_PSA!H188</f>
        <v>12.877963186473799</v>
      </c>
      <c r="I188" s="2">
        <f>[2]sens_100_spec_10_PSA!I188</f>
        <v>7.7996734368550804</v>
      </c>
      <c r="J188" s="3">
        <f>[2]sens_100_spec_10_PSA!J188</f>
        <v>211767.101099286</v>
      </c>
      <c r="K188" s="3">
        <f>[2]sens_100_spec_10_PSA!K188</f>
        <v>127154.659126033</v>
      </c>
      <c r="L188">
        <f>[2]sens_100_spec_10_PSA!L188</f>
        <v>1</v>
      </c>
      <c r="M188">
        <f>[2]sens_100_spec_10_PSA!M188</f>
        <v>0</v>
      </c>
    </row>
    <row r="189" spans="1:13" x14ac:dyDescent="0.25">
      <c r="A189">
        <f>[2]sens_100_spec_10_PSA!A189</f>
        <v>188</v>
      </c>
      <c r="B189">
        <f>[2]sens_100_spec_10_PSA!B189</f>
        <v>1</v>
      </c>
      <c r="C189" t="str">
        <f>[2]sens_100_spec_10_PSA!C189</f>
        <v>NA</v>
      </c>
      <c r="D189">
        <f>[2]sens_100_spec_10_PSA!D189</f>
        <v>1</v>
      </c>
      <c r="E189" s="1">
        <f>[2]sens_100_spec_10_PSA!E189</f>
        <v>0.1328</v>
      </c>
      <c r="F189" s="1">
        <f>[2]sens_100_spec_10_PSA!F189</f>
        <v>2.23E-2</v>
      </c>
      <c r="G189" s="2">
        <f>[2]sens_100_spec_10_PSA!G189</f>
        <v>19.765474845266102</v>
      </c>
      <c r="H189" s="2">
        <f>[2]sens_100_spec_10_PSA!H189</f>
        <v>13.590819338056001</v>
      </c>
      <c r="I189" s="2">
        <f>[2]sens_100_spec_10_PSA!I189</f>
        <v>8.0846475907295208</v>
      </c>
      <c r="J189" s="3">
        <f>[2]sens_100_spec_10_PSA!J189</f>
        <v>206983.04406587599</v>
      </c>
      <c r="K189" s="3">
        <f>[2]sens_100_spec_10_PSA!K189</f>
        <v>121936.563381133</v>
      </c>
      <c r="L189">
        <f>[2]sens_100_spec_10_PSA!L189</f>
        <v>1</v>
      </c>
      <c r="M189">
        <f>[2]sens_100_spec_10_PSA!M189</f>
        <v>0</v>
      </c>
    </row>
    <row r="190" spans="1:13" x14ac:dyDescent="0.25">
      <c r="A190">
        <f>[2]sens_100_spec_10_PSA!A190</f>
        <v>189</v>
      </c>
      <c r="B190">
        <f>[2]sens_100_spec_10_PSA!B190</f>
        <v>1</v>
      </c>
      <c r="C190" t="str">
        <f>[2]sens_100_spec_10_PSA!C190</f>
        <v>NA</v>
      </c>
      <c r="D190">
        <f>[2]sens_100_spec_10_PSA!D190</f>
        <v>1</v>
      </c>
      <c r="E190" s="1">
        <f>[2]sens_100_spec_10_PSA!E190</f>
        <v>0.13850000000000001</v>
      </c>
      <c r="F190" s="1">
        <f>[2]sens_100_spec_10_PSA!F190</f>
        <v>2.76E-2</v>
      </c>
      <c r="G190" s="2">
        <f>[2]sens_100_spec_10_PSA!G190</f>
        <v>19.5346754966343</v>
      </c>
      <c r="H190" s="2">
        <f>[2]sens_100_spec_10_PSA!H190</f>
        <v>13.9440273791314</v>
      </c>
      <c r="I190" s="2">
        <f>[2]sens_100_spec_10_PSA!I190</f>
        <v>8.3281293868030506</v>
      </c>
      <c r="J190" s="3">
        <f>[2]sens_100_spec_10_PSA!J190</f>
        <v>195169.83983246001</v>
      </c>
      <c r="K190" s="3">
        <f>[2]sens_100_spec_10_PSA!K190</f>
        <v>116009.39945483601</v>
      </c>
      <c r="L190">
        <f>[2]sens_100_spec_10_PSA!L190</f>
        <v>1</v>
      </c>
      <c r="M190">
        <f>[2]sens_100_spec_10_PSA!M190</f>
        <v>0</v>
      </c>
    </row>
    <row r="191" spans="1:13" x14ac:dyDescent="0.25">
      <c r="A191">
        <f>[2]sens_100_spec_10_PSA!A191</f>
        <v>190</v>
      </c>
      <c r="B191">
        <f>[2]sens_100_spec_10_PSA!B191</f>
        <v>1</v>
      </c>
      <c r="C191" t="str">
        <f>[2]sens_100_spec_10_PSA!C191</f>
        <v>NA</v>
      </c>
      <c r="D191">
        <f>[2]sens_100_spec_10_PSA!D191</f>
        <v>1</v>
      </c>
      <c r="E191" s="1">
        <f>[2]sens_100_spec_10_PSA!E191</f>
        <v>0.16200000000000001</v>
      </c>
      <c r="F191" s="1">
        <f>[2]sens_100_spec_10_PSA!F191</f>
        <v>2.5700000000000001E-2</v>
      </c>
      <c r="G191" s="2">
        <f>[2]sens_100_spec_10_PSA!G191</f>
        <v>17.710467778927701</v>
      </c>
      <c r="H191" s="2">
        <f>[2]sens_100_spec_10_PSA!H191</f>
        <v>11.7829671347787</v>
      </c>
      <c r="I191" s="2">
        <f>[2]sens_100_spec_10_PSA!I191</f>
        <v>7.1959727214826801</v>
      </c>
      <c r="J191" s="3">
        <f>[2]sens_100_spec_10_PSA!J191</f>
        <v>197587.66854616901</v>
      </c>
      <c r="K191" s="3">
        <f>[2]sens_100_spec_10_PSA!K191</f>
        <v>120071.030843559</v>
      </c>
      <c r="L191">
        <f>[2]sens_100_spec_10_PSA!L191</f>
        <v>1</v>
      </c>
      <c r="M191">
        <f>[2]sens_100_spec_10_PSA!M191</f>
        <v>0</v>
      </c>
    </row>
    <row r="192" spans="1:13" x14ac:dyDescent="0.25">
      <c r="A192">
        <f>[2]sens_100_spec_10_PSA!A192</f>
        <v>191</v>
      </c>
      <c r="B192">
        <f>[2]sens_100_spec_10_PSA!B192</f>
        <v>1</v>
      </c>
      <c r="C192" t="str">
        <f>[2]sens_100_spec_10_PSA!C192</f>
        <v>NA</v>
      </c>
      <c r="D192">
        <f>[2]sens_100_spec_10_PSA!D192</f>
        <v>1</v>
      </c>
      <c r="E192" s="1">
        <f>[2]sens_100_spec_10_PSA!E192</f>
        <v>0.15</v>
      </c>
      <c r="F192" s="1">
        <f>[2]sens_100_spec_10_PSA!F192</f>
        <v>2.58E-2</v>
      </c>
      <c r="G192" s="2">
        <f>[2]sens_100_spec_10_PSA!G192</f>
        <v>16.8031985027399</v>
      </c>
      <c r="H192" s="2">
        <f>[2]sens_100_spec_10_PSA!H192</f>
        <v>12.6046555835443</v>
      </c>
      <c r="I192" s="2">
        <f>[2]sens_100_spec_10_PSA!I192</f>
        <v>7.8030682312165602</v>
      </c>
      <c r="J192" s="3">
        <f>[2]sens_100_spec_10_PSA!J192</f>
        <v>231460.897456398</v>
      </c>
      <c r="K192" s="3">
        <f>[2]sens_100_spec_10_PSA!K192</f>
        <v>141996.300485694</v>
      </c>
      <c r="L192">
        <f>[2]sens_100_spec_10_PSA!L192</f>
        <v>1</v>
      </c>
      <c r="M192">
        <f>[2]sens_100_spec_10_PSA!M192</f>
        <v>0</v>
      </c>
    </row>
    <row r="193" spans="1:13" x14ac:dyDescent="0.25">
      <c r="A193">
        <f>[2]sens_100_spec_10_PSA!A193</f>
        <v>192</v>
      </c>
      <c r="B193">
        <f>[2]sens_100_spec_10_PSA!B193</f>
        <v>1</v>
      </c>
      <c r="C193" t="str">
        <f>[2]sens_100_spec_10_PSA!C193</f>
        <v>NA</v>
      </c>
      <c r="D193">
        <f>[2]sens_100_spec_10_PSA!D193</f>
        <v>1</v>
      </c>
      <c r="E193" s="1">
        <f>[2]sens_100_spec_10_PSA!E193</f>
        <v>0.11849999999999999</v>
      </c>
      <c r="F193" s="1">
        <f>[2]sens_100_spec_10_PSA!F193</f>
        <v>2.3900000000000001E-2</v>
      </c>
      <c r="G193" s="2">
        <f>[2]sens_100_spec_10_PSA!G193</f>
        <v>18.566155303427301</v>
      </c>
      <c r="H193" s="2">
        <f>[2]sens_100_spec_10_PSA!H193</f>
        <v>13.8446120448959</v>
      </c>
      <c r="I193" s="2">
        <f>[2]sens_100_spec_10_PSA!I193</f>
        <v>8.4512495289622205</v>
      </c>
      <c r="J193" s="3">
        <f>[2]sens_100_spec_10_PSA!J193</f>
        <v>186779.96066566501</v>
      </c>
      <c r="K193" s="3">
        <f>[2]sens_100_spec_10_PSA!K193</f>
        <v>114169.047392144</v>
      </c>
      <c r="L193">
        <f>[2]sens_100_spec_10_PSA!L193</f>
        <v>1</v>
      </c>
      <c r="M193">
        <f>[2]sens_100_spec_10_PSA!M193</f>
        <v>0</v>
      </c>
    </row>
    <row r="194" spans="1:13" x14ac:dyDescent="0.25">
      <c r="A194">
        <f>[2]sens_100_spec_10_PSA!A194</f>
        <v>193</v>
      </c>
      <c r="B194">
        <f>[2]sens_100_spec_10_PSA!B194</f>
        <v>1</v>
      </c>
      <c r="C194" t="str">
        <f>[2]sens_100_spec_10_PSA!C194</f>
        <v>NA</v>
      </c>
      <c r="D194">
        <f>[2]sens_100_spec_10_PSA!D194</f>
        <v>1</v>
      </c>
      <c r="E194" s="1">
        <f>[2]sens_100_spec_10_PSA!E194</f>
        <v>9.4500000000000001E-2</v>
      </c>
      <c r="F194" s="1">
        <f>[2]sens_100_spec_10_PSA!F194</f>
        <v>2.6100000000000002E-2</v>
      </c>
      <c r="G194" s="2">
        <f>[2]sens_100_spec_10_PSA!G194</f>
        <v>18.990874628041201</v>
      </c>
      <c r="H194" s="2">
        <f>[2]sens_100_spec_10_PSA!H194</f>
        <v>15.092275377989701</v>
      </c>
      <c r="I194" s="2">
        <f>[2]sens_100_spec_10_PSA!I194</f>
        <v>9.2034372631489507</v>
      </c>
      <c r="J194" s="3">
        <f>[2]sens_100_spec_10_PSA!J194</f>
        <v>196608.92174917299</v>
      </c>
      <c r="K194" s="3">
        <f>[2]sens_100_spec_10_PSA!K194</f>
        <v>119703.57235638599</v>
      </c>
      <c r="L194">
        <f>[2]sens_100_spec_10_PSA!L194</f>
        <v>1</v>
      </c>
      <c r="M194">
        <f>[2]sens_100_spec_10_PSA!M194</f>
        <v>0</v>
      </c>
    </row>
    <row r="195" spans="1:13" x14ac:dyDescent="0.25">
      <c r="A195">
        <f>[2]sens_100_spec_10_PSA!A195</f>
        <v>194</v>
      </c>
      <c r="B195">
        <f>[2]sens_100_spec_10_PSA!B195</f>
        <v>1</v>
      </c>
      <c r="C195" t="str">
        <f>[2]sens_100_spec_10_PSA!C195</f>
        <v>NA</v>
      </c>
      <c r="D195">
        <f>[2]sens_100_spec_10_PSA!D195</f>
        <v>1</v>
      </c>
      <c r="E195" s="1">
        <f>[2]sens_100_spec_10_PSA!E195</f>
        <v>0.15970000000000001</v>
      </c>
      <c r="F195" s="1">
        <f>[2]sens_100_spec_10_PSA!F195</f>
        <v>2.4799999999999999E-2</v>
      </c>
      <c r="G195" s="2">
        <f>[2]sens_100_spec_10_PSA!G195</f>
        <v>17.928928226284199</v>
      </c>
      <c r="H195" s="2">
        <f>[2]sens_100_spec_10_PSA!H195</f>
        <v>12.6354146843631</v>
      </c>
      <c r="I195" s="2">
        <f>[2]sens_100_spec_10_PSA!I195</f>
        <v>7.6995919404205804</v>
      </c>
      <c r="J195" s="3">
        <f>[2]sens_100_spec_10_PSA!J195</f>
        <v>180554.46625864299</v>
      </c>
      <c r="K195" s="3">
        <f>[2]sens_100_spec_10_PSA!K195</f>
        <v>110387.687778714</v>
      </c>
      <c r="L195">
        <f>[2]sens_100_spec_10_PSA!L195</f>
        <v>1</v>
      </c>
      <c r="M195">
        <f>[2]sens_100_spec_10_PSA!M195</f>
        <v>0</v>
      </c>
    </row>
    <row r="196" spans="1:13" x14ac:dyDescent="0.25">
      <c r="A196">
        <f>[2]sens_100_spec_10_PSA!A196</f>
        <v>195</v>
      </c>
      <c r="B196">
        <f>[2]sens_100_spec_10_PSA!B196</f>
        <v>1</v>
      </c>
      <c r="C196" t="str">
        <f>[2]sens_100_spec_10_PSA!C196</f>
        <v>NA</v>
      </c>
      <c r="D196">
        <f>[2]sens_100_spec_10_PSA!D196</f>
        <v>1</v>
      </c>
      <c r="E196" s="1">
        <f>[2]sens_100_spec_10_PSA!E196</f>
        <v>0.1628</v>
      </c>
      <c r="F196" s="1">
        <f>[2]sens_100_spec_10_PSA!F196</f>
        <v>2.3E-2</v>
      </c>
      <c r="G196" s="2">
        <f>[2]sens_100_spec_10_PSA!G196</f>
        <v>19.466107253243202</v>
      </c>
      <c r="H196" s="2">
        <f>[2]sens_100_spec_10_PSA!H196</f>
        <v>14.345921215202599</v>
      </c>
      <c r="I196" s="2">
        <f>[2]sens_100_spec_10_PSA!I196</f>
        <v>8.5025468486780795</v>
      </c>
      <c r="J196" s="3">
        <f>[2]sens_100_spec_10_PSA!J196</f>
        <v>204084.77612514299</v>
      </c>
      <c r="K196" s="3">
        <f>[2]sens_100_spec_10_PSA!K196</f>
        <v>119753.402596243</v>
      </c>
      <c r="L196">
        <f>[2]sens_100_spec_10_PSA!L196</f>
        <v>1</v>
      </c>
      <c r="M196">
        <f>[2]sens_100_spec_10_PSA!M196</f>
        <v>0</v>
      </c>
    </row>
    <row r="197" spans="1:13" x14ac:dyDescent="0.25">
      <c r="A197">
        <f>[2]sens_100_spec_10_PSA!A197</f>
        <v>196</v>
      </c>
      <c r="B197">
        <f>[2]sens_100_spec_10_PSA!B197</f>
        <v>1</v>
      </c>
      <c r="C197" t="str">
        <f>[2]sens_100_spec_10_PSA!C197</f>
        <v>NA</v>
      </c>
      <c r="D197">
        <f>[2]sens_100_spec_10_PSA!D197</f>
        <v>1</v>
      </c>
      <c r="E197" s="1">
        <f>[2]sens_100_spec_10_PSA!E197</f>
        <v>0.14349999999999999</v>
      </c>
      <c r="F197" s="1">
        <f>[2]sens_100_spec_10_PSA!F197</f>
        <v>2.1600000000000001E-2</v>
      </c>
      <c r="G197" s="2">
        <f>[2]sens_100_spec_10_PSA!G197</f>
        <v>18.218362613884501</v>
      </c>
      <c r="H197" s="2">
        <f>[2]sens_100_spec_10_PSA!H197</f>
        <v>13.494580106020299</v>
      </c>
      <c r="I197" s="2">
        <f>[2]sens_100_spec_10_PSA!I197</f>
        <v>8.2231741358861292</v>
      </c>
      <c r="J197" s="3">
        <f>[2]sens_100_spec_10_PSA!J197</f>
        <v>137871.74466123301</v>
      </c>
      <c r="K197" s="3">
        <f>[2]sens_100_spec_10_PSA!K197</f>
        <v>85983.404499355194</v>
      </c>
      <c r="L197">
        <f>[2]sens_100_spec_10_PSA!L197</f>
        <v>1</v>
      </c>
      <c r="M197">
        <f>[2]sens_100_spec_10_PSA!M197</f>
        <v>0</v>
      </c>
    </row>
    <row r="198" spans="1:13" x14ac:dyDescent="0.25">
      <c r="A198">
        <f>[2]sens_100_spec_10_PSA!A198</f>
        <v>197</v>
      </c>
      <c r="B198">
        <f>[2]sens_100_spec_10_PSA!B198</f>
        <v>1</v>
      </c>
      <c r="C198" t="str">
        <f>[2]sens_100_spec_10_PSA!C198</f>
        <v>NA</v>
      </c>
      <c r="D198">
        <f>[2]sens_100_spec_10_PSA!D198</f>
        <v>1</v>
      </c>
      <c r="E198" s="1">
        <f>[2]sens_100_spec_10_PSA!E198</f>
        <v>0.14680000000000001</v>
      </c>
      <c r="F198" s="1">
        <f>[2]sens_100_spec_10_PSA!F198</f>
        <v>2.64E-2</v>
      </c>
      <c r="G198" s="2">
        <f>[2]sens_100_spec_10_PSA!G198</f>
        <v>18.497802000584201</v>
      </c>
      <c r="H198" s="2">
        <f>[2]sens_100_spec_10_PSA!H198</f>
        <v>12.619288048169199</v>
      </c>
      <c r="I198" s="2">
        <f>[2]sens_100_spec_10_PSA!I198</f>
        <v>7.6341241814370697</v>
      </c>
      <c r="J198" s="3">
        <f>[2]sens_100_spec_10_PSA!J198</f>
        <v>305825.092149359</v>
      </c>
      <c r="K198" s="3">
        <f>[2]sens_100_spec_10_PSA!K198</f>
        <v>180420.52866512601</v>
      </c>
      <c r="L198">
        <f>[2]sens_100_spec_10_PSA!L198</f>
        <v>1</v>
      </c>
      <c r="M198">
        <f>[2]sens_100_spec_10_PSA!M198</f>
        <v>0</v>
      </c>
    </row>
    <row r="199" spans="1:13" x14ac:dyDescent="0.25">
      <c r="A199">
        <f>[2]sens_100_spec_10_PSA!A199</f>
        <v>198</v>
      </c>
      <c r="B199">
        <f>[2]sens_100_spec_10_PSA!B199</f>
        <v>1</v>
      </c>
      <c r="C199" t="str">
        <f>[2]sens_100_spec_10_PSA!C199</f>
        <v>NA</v>
      </c>
      <c r="D199">
        <f>[2]sens_100_spec_10_PSA!D199</f>
        <v>1</v>
      </c>
      <c r="E199" s="1">
        <f>[2]sens_100_spec_10_PSA!E199</f>
        <v>0.17319999999999999</v>
      </c>
      <c r="F199" s="1">
        <f>[2]sens_100_spec_10_PSA!F199</f>
        <v>2.1100000000000001E-2</v>
      </c>
      <c r="G199" s="2">
        <f>[2]sens_100_spec_10_PSA!G199</f>
        <v>18.7051703585052</v>
      </c>
      <c r="H199" s="2">
        <f>[2]sens_100_spec_10_PSA!H199</f>
        <v>12.0196308227377</v>
      </c>
      <c r="I199" s="2">
        <f>[2]sens_100_spec_10_PSA!I199</f>
        <v>7.1960245676390997</v>
      </c>
      <c r="J199" s="3">
        <f>[2]sens_100_spec_10_PSA!J199</f>
        <v>234597.243202304</v>
      </c>
      <c r="K199" s="3">
        <f>[2]sens_100_spec_10_PSA!K199</f>
        <v>138077.038442752</v>
      </c>
      <c r="L199">
        <f>[2]sens_100_spec_10_PSA!L199</f>
        <v>1</v>
      </c>
      <c r="M199">
        <f>[2]sens_100_spec_10_PSA!M199</f>
        <v>0</v>
      </c>
    </row>
    <row r="200" spans="1:13" x14ac:dyDescent="0.25">
      <c r="A200">
        <f>[2]sens_100_spec_10_PSA!A200</f>
        <v>199</v>
      </c>
      <c r="B200">
        <f>[2]sens_100_spec_10_PSA!B200</f>
        <v>1</v>
      </c>
      <c r="C200" t="str">
        <f>[2]sens_100_spec_10_PSA!C200</f>
        <v>NA</v>
      </c>
      <c r="D200">
        <f>[2]sens_100_spec_10_PSA!D200</f>
        <v>1</v>
      </c>
      <c r="E200" s="1">
        <f>[2]sens_100_spec_10_PSA!E200</f>
        <v>7.0999999999999994E-2</v>
      </c>
      <c r="F200" s="1">
        <f>[2]sens_100_spec_10_PSA!F200</f>
        <v>2.7400000000000001E-2</v>
      </c>
      <c r="G200" s="2">
        <f>[2]sens_100_spec_10_PSA!G200</f>
        <v>20.541138907868199</v>
      </c>
      <c r="H200" s="2">
        <f>[2]sens_100_spec_10_PSA!H200</f>
        <v>14.796907416446601</v>
      </c>
      <c r="I200" s="2">
        <f>[2]sens_100_spec_10_PSA!I200</f>
        <v>8.8509454071845504</v>
      </c>
      <c r="J200" s="3">
        <f>[2]sens_100_spec_10_PSA!J200</f>
        <v>224276.66579981201</v>
      </c>
      <c r="K200" s="3">
        <f>[2]sens_100_spec_10_PSA!K200</f>
        <v>132649.890773344</v>
      </c>
      <c r="L200">
        <f>[2]sens_100_spec_10_PSA!L200</f>
        <v>1</v>
      </c>
      <c r="M200">
        <f>[2]sens_100_spec_10_PSA!M200</f>
        <v>0</v>
      </c>
    </row>
    <row r="201" spans="1:13" x14ac:dyDescent="0.25">
      <c r="A201">
        <f>[2]sens_100_spec_10_PSA!A201</f>
        <v>200</v>
      </c>
      <c r="B201">
        <f>[2]sens_100_spec_10_PSA!B201</f>
        <v>1</v>
      </c>
      <c r="C201" t="str">
        <f>[2]sens_100_spec_10_PSA!C201</f>
        <v>NA</v>
      </c>
      <c r="D201">
        <f>[2]sens_100_spec_10_PSA!D201</f>
        <v>1</v>
      </c>
      <c r="E201" s="1">
        <f>[2]sens_100_spec_10_PSA!E201</f>
        <v>0.122</v>
      </c>
      <c r="F201" s="1">
        <f>[2]sens_100_spec_10_PSA!F201</f>
        <v>2.63E-2</v>
      </c>
      <c r="G201" s="2">
        <f>[2]sens_100_spec_10_PSA!G201</f>
        <v>19.1610381809937</v>
      </c>
      <c r="H201" s="2">
        <f>[2]sens_100_spec_10_PSA!H201</f>
        <v>12.5066347144985</v>
      </c>
      <c r="I201" s="2">
        <f>[2]sens_100_spec_10_PSA!I201</f>
        <v>7.5509661371683299</v>
      </c>
      <c r="J201" s="3">
        <f>[2]sens_100_spec_10_PSA!J201</f>
        <v>242292.20879746799</v>
      </c>
      <c r="K201" s="3">
        <f>[2]sens_100_spec_10_PSA!K201</f>
        <v>143906.52943395899</v>
      </c>
      <c r="L201">
        <f>[2]sens_100_spec_10_PSA!L201</f>
        <v>1</v>
      </c>
      <c r="M201">
        <f>[2]sens_100_spec_10_PSA!M201</f>
        <v>0</v>
      </c>
    </row>
    <row r="202" spans="1:13" x14ac:dyDescent="0.25">
      <c r="A202">
        <f>[2]sens_100_spec_10_PSA!A202</f>
        <v>201</v>
      </c>
      <c r="B202">
        <f>[2]sens_100_spec_10_PSA!B202</f>
        <v>1</v>
      </c>
      <c r="C202" t="str">
        <f>[2]sens_100_spec_10_PSA!C202</f>
        <v>NA</v>
      </c>
      <c r="D202">
        <f>[2]sens_100_spec_10_PSA!D202</f>
        <v>1</v>
      </c>
      <c r="E202" s="1">
        <f>[2]sens_100_spec_10_PSA!E202</f>
        <v>0.16569999999999999</v>
      </c>
      <c r="F202" s="1">
        <f>[2]sens_100_spec_10_PSA!F202</f>
        <v>2.5100000000000001E-2</v>
      </c>
      <c r="G202" s="2">
        <f>[2]sens_100_spec_10_PSA!G202</f>
        <v>17.639788343928998</v>
      </c>
      <c r="H202" s="2">
        <f>[2]sens_100_spec_10_PSA!H202</f>
        <v>10.4541404889252</v>
      </c>
      <c r="I202" s="2">
        <f>[2]sens_100_spec_10_PSA!I202</f>
        <v>6.3689673981936803</v>
      </c>
      <c r="J202" s="3">
        <f>[2]sens_100_spec_10_PSA!J202</f>
        <v>210217.84690566501</v>
      </c>
      <c r="K202" s="3">
        <f>[2]sens_100_spec_10_PSA!K202</f>
        <v>127024.32217400199</v>
      </c>
      <c r="L202">
        <f>[2]sens_100_spec_10_PSA!L202</f>
        <v>1</v>
      </c>
      <c r="M202">
        <f>[2]sens_100_spec_10_PSA!M202</f>
        <v>0</v>
      </c>
    </row>
    <row r="203" spans="1:13" x14ac:dyDescent="0.25">
      <c r="A203">
        <f>[2]sens_100_spec_10_PSA!A203</f>
        <v>202</v>
      </c>
      <c r="B203">
        <f>[2]sens_100_spec_10_PSA!B203</f>
        <v>1</v>
      </c>
      <c r="C203" t="str">
        <f>[2]sens_100_spec_10_PSA!C203</f>
        <v>NA</v>
      </c>
      <c r="D203">
        <f>[2]sens_100_spec_10_PSA!D203</f>
        <v>1</v>
      </c>
      <c r="E203" s="1">
        <f>[2]sens_100_spec_10_PSA!E203</f>
        <v>0.1389</v>
      </c>
      <c r="F203" s="1">
        <f>[2]sens_100_spec_10_PSA!F203</f>
        <v>2.92E-2</v>
      </c>
      <c r="G203" s="2">
        <f>[2]sens_100_spec_10_PSA!G203</f>
        <v>19.3473121092767</v>
      </c>
      <c r="H203" s="2">
        <f>[2]sens_100_spec_10_PSA!H203</f>
        <v>14.478877104305299</v>
      </c>
      <c r="I203" s="2">
        <f>[2]sens_100_spec_10_PSA!I203</f>
        <v>8.6777756359360403</v>
      </c>
      <c r="J203" s="3">
        <f>[2]sens_100_spec_10_PSA!J203</f>
        <v>227028.86033348701</v>
      </c>
      <c r="K203" s="3">
        <f>[2]sens_100_spec_10_PSA!K203</f>
        <v>133920.497652447</v>
      </c>
      <c r="L203">
        <f>[2]sens_100_spec_10_PSA!L203</f>
        <v>1</v>
      </c>
      <c r="M203">
        <f>[2]sens_100_spec_10_PSA!M203</f>
        <v>0</v>
      </c>
    </row>
    <row r="204" spans="1:13" x14ac:dyDescent="0.25">
      <c r="A204">
        <f>[2]sens_100_spec_10_PSA!A204</f>
        <v>203</v>
      </c>
      <c r="B204">
        <f>[2]sens_100_spec_10_PSA!B204</f>
        <v>1</v>
      </c>
      <c r="C204" t="str">
        <f>[2]sens_100_spec_10_PSA!C204</f>
        <v>NA</v>
      </c>
      <c r="D204">
        <f>[2]sens_100_spec_10_PSA!D204</f>
        <v>1</v>
      </c>
      <c r="E204" s="1">
        <f>[2]sens_100_spec_10_PSA!E204</f>
        <v>0.1046</v>
      </c>
      <c r="F204" s="1">
        <f>[2]sens_100_spec_10_PSA!F204</f>
        <v>2.6700000000000002E-2</v>
      </c>
      <c r="G204" s="2">
        <f>[2]sens_100_spec_10_PSA!G204</f>
        <v>17.6832371311706</v>
      </c>
      <c r="H204" s="2">
        <f>[2]sens_100_spec_10_PSA!H204</f>
        <v>14.176733319539601</v>
      </c>
      <c r="I204" s="2">
        <f>[2]sens_100_spec_10_PSA!I204</f>
        <v>8.7790885985314304</v>
      </c>
      <c r="J204" s="3">
        <f>[2]sens_100_spec_10_PSA!J204</f>
        <v>211415.66775761201</v>
      </c>
      <c r="K204" s="3">
        <f>[2]sens_100_spec_10_PSA!K204</f>
        <v>130070.502923215</v>
      </c>
      <c r="L204">
        <f>[2]sens_100_spec_10_PSA!L204</f>
        <v>1</v>
      </c>
      <c r="M204">
        <f>[2]sens_100_spec_10_PSA!M204</f>
        <v>0</v>
      </c>
    </row>
    <row r="205" spans="1:13" x14ac:dyDescent="0.25">
      <c r="A205">
        <f>[2]sens_100_spec_10_PSA!A205</f>
        <v>204</v>
      </c>
      <c r="B205">
        <f>[2]sens_100_spec_10_PSA!B205</f>
        <v>1</v>
      </c>
      <c r="C205" t="str">
        <f>[2]sens_100_spec_10_PSA!C205</f>
        <v>NA</v>
      </c>
      <c r="D205">
        <f>[2]sens_100_spec_10_PSA!D205</f>
        <v>1</v>
      </c>
      <c r="E205" s="1">
        <f>[2]sens_100_spec_10_PSA!E205</f>
        <v>0.1234</v>
      </c>
      <c r="F205" s="1">
        <f>[2]sens_100_spec_10_PSA!F205</f>
        <v>2.29E-2</v>
      </c>
      <c r="G205" s="2">
        <f>[2]sens_100_spec_10_PSA!G205</f>
        <v>19.262524935049001</v>
      </c>
      <c r="H205" s="2">
        <f>[2]sens_100_spec_10_PSA!H205</f>
        <v>13.077926852024699</v>
      </c>
      <c r="I205" s="2">
        <f>[2]sens_100_spec_10_PSA!I205</f>
        <v>7.8903075055954801</v>
      </c>
      <c r="J205" s="3">
        <f>[2]sens_100_spec_10_PSA!J205</f>
        <v>172340.00444520701</v>
      </c>
      <c r="K205" s="3">
        <f>[2]sens_100_spec_10_PSA!K205</f>
        <v>104441.472376937</v>
      </c>
      <c r="L205">
        <f>[2]sens_100_spec_10_PSA!L205</f>
        <v>1</v>
      </c>
      <c r="M205">
        <f>[2]sens_100_spec_10_PSA!M205</f>
        <v>0</v>
      </c>
    </row>
    <row r="206" spans="1:13" x14ac:dyDescent="0.25">
      <c r="A206">
        <f>[2]sens_100_spec_10_PSA!A206</f>
        <v>205</v>
      </c>
      <c r="B206">
        <f>[2]sens_100_spec_10_PSA!B206</f>
        <v>1</v>
      </c>
      <c r="C206" t="str">
        <f>[2]sens_100_spec_10_PSA!C206</f>
        <v>NA</v>
      </c>
      <c r="D206">
        <f>[2]sens_100_spec_10_PSA!D206</f>
        <v>1</v>
      </c>
      <c r="E206" s="1">
        <f>[2]sens_100_spec_10_PSA!E206</f>
        <v>0.1203</v>
      </c>
      <c r="F206" s="1">
        <f>[2]sens_100_spec_10_PSA!F206</f>
        <v>2.35E-2</v>
      </c>
      <c r="G206" s="2">
        <f>[2]sens_100_spec_10_PSA!G206</f>
        <v>20.968308181894301</v>
      </c>
      <c r="H206" s="2">
        <f>[2]sens_100_spec_10_PSA!H206</f>
        <v>13.7548805969633</v>
      </c>
      <c r="I206" s="2">
        <f>[2]sens_100_spec_10_PSA!I206</f>
        <v>8.09244992043166</v>
      </c>
      <c r="J206" s="3">
        <f>[2]sens_100_spec_10_PSA!J206</f>
        <v>227092.43951784301</v>
      </c>
      <c r="K206" s="3">
        <f>[2]sens_100_spec_10_PSA!K206</f>
        <v>131348.62992738499</v>
      </c>
      <c r="L206">
        <f>[2]sens_100_spec_10_PSA!L206</f>
        <v>1</v>
      </c>
      <c r="M206">
        <f>[2]sens_100_spec_10_PSA!M206</f>
        <v>0</v>
      </c>
    </row>
    <row r="207" spans="1:13" x14ac:dyDescent="0.25">
      <c r="A207">
        <f>[2]sens_100_spec_10_PSA!A207</f>
        <v>206</v>
      </c>
      <c r="B207">
        <f>[2]sens_100_spec_10_PSA!B207</f>
        <v>1</v>
      </c>
      <c r="C207" t="str">
        <f>[2]sens_100_spec_10_PSA!C207</f>
        <v>NA</v>
      </c>
      <c r="D207">
        <f>[2]sens_100_spec_10_PSA!D207</f>
        <v>1</v>
      </c>
      <c r="E207" s="1">
        <f>[2]sens_100_spec_10_PSA!E207</f>
        <v>0.1163</v>
      </c>
      <c r="F207" s="1">
        <f>[2]sens_100_spec_10_PSA!F207</f>
        <v>2.8799999999999999E-2</v>
      </c>
      <c r="G207" s="2">
        <f>[2]sens_100_spec_10_PSA!G207</f>
        <v>20.922957784776699</v>
      </c>
      <c r="H207" s="2">
        <f>[2]sens_100_spec_10_PSA!H207</f>
        <v>13.202004850422201</v>
      </c>
      <c r="I207" s="2">
        <f>[2]sens_100_spec_10_PSA!I207</f>
        <v>7.7604809564097001</v>
      </c>
      <c r="J207" s="3">
        <f>[2]sens_100_spec_10_PSA!J207</f>
        <v>171819.841642082</v>
      </c>
      <c r="K207" s="3">
        <f>[2]sens_100_spec_10_PSA!K207</f>
        <v>101161.440530751</v>
      </c>
      <c r="L207">
        <f>[2]sens_100_spec_10_PSA!L207</f>
        <v>1</v>
      </c>
      <c r="M207">
        <f>[2]sens_100_spec_10_PSA!M207</f>
        <v>0</v>
      </c>
    </row>
    <row r="208" spans="1:13" x14ac:dyDescent="0.25">
      <c r="A208">
        <f>[2]sens_100_spec_10_PSA!A208</f>
        <v>207</v>
      </c>
      <c r="B208">
        <f>[2]sens_100_spec_10_PSA!B208</f>
        <v>1</v>
      </c>
      <c r="C208" t="str">
        <f>[2]sens_100_spec_10_PSA!C208</f>
        <v>NA</v>
      </c>
      <c r="D208">
        <f>[2]sens_100_spec_10_PSA!D208</f>
        <v>1</v>
      </c>
      <c r="E208" s="1">
        <f>[2]sens_100_spec_10_PSA!E208</f>
        <v>0.14199999999999999</v>
      </c>
      <c r="F208" s="1">
        <f>[2]sens_100_spec_10_PSA!F208</f>
        <v>2.8400000000000002E-2</v>
      </c>
      <c r="G208" s="2">
        <f>[2]sens_100_spec_10_PSA!G208</f>
        <v>17.923912972661899</v>
      </c>
      <c r="H208" s="2">
        <f>[2]sens_100_spec_10_PSA!H208</f>
        <v>12.9994956047216</v>
      </c>
      <c r="I208" s="2">
        <f>[2]sens_100_spec_10_PSA!I208</f>
        <v>7.9333449789774502</v>
      </c>
      <c r="J208" s="3">
        <f>[2]sens_100_spec_10_PSA!J208</f>
        <v>214696.55387202199</v>
      </c>
      <c r="K208" s="3">
        <f>[2]sens_100_spec_10_PSA!K208</f>
        <v>129915.829073035</v>
      </c>
      <c r="L208">
        <f>[2]sens_100_spec_10_PSA!L208</f>
        <v>1</v>
      </c>
      <c r="M208">
        <f>[2]sens_100_spec_10_PSA!M208</f>
        <v>0</v>
      </c>
    </row>
    <row r="209" spans="1:13" x14ac:dyDescent="0.25">
      <c r="A209">
        <f>[2]sens_100_spec_10_PSA!A209</f>
        <v>208</v>
      </c>
      <c r="B209">
        <f>[2]sens_100_spec_10_PSA!B209</f>
        <v>1</v>
      </c>
      <c r="C209" t="str">
        <f>[2]sens_100_spec_10_PSA!C209</f>
        <v>NA</v>
      </c>
      <c r="D209">
        <f>[2]sens_100_spec_10_PSA!D209</f>
        <v>1</v>
      </c>
      <c r="E209" s="1">
        <f>[2]sens_100_spec_10_PSA!E209</f>
        <v>9.0899999999999995E-2</v>
      </c>
      <c r="F209" s="1">
        <f>[2]sens_100_spec_10_PSA!F209</f>
        <v>3.2599999999999997E-2</v>
      </c>
      <c r="G209" s="2">
        <f>[2]sens_100_spec_10_PSA!G209</f>
        <v>20.192528350365599</v>
      </c>
      <c r="H209" s="2">
        <f>[2]sens_100_spec_10_PSA!H209</f>
        <v>12.745384877356701</v>
      </c>
      <c r="I209" s="2">
        <f>[2]sens_100_spec_10_PSA!I209</f>
        <v>7.6053463664778098</v>
      </c>
      <c r="J209" s="3">
        <f>[2]sens_100_spec_10_PSA!J209</f>
        <v>281233.96544917801</v>
      </c>
      <c r="K209" s="3">
        <f>[2]sens_100_spec_10_PSA!K209</f>
        <v>163831.934859651</v>
      </c>
      <c r="L209">
        <f>[2]sens_100_spec_10_PSA!L209</f>
        <v>1</v>
      </c>
      <c r="M209">
        <f>[2]sens_100_spec_10_PSA!M209</f>
        <v>0</v>
      </c>
    </row>
    <row r="210" spans="1:13" x14ac:dyDescent="0.25">
      <c r="A210">
        <f>[2]sens_100_spec_10_PSA!A210</f>
        <v>209</v>
      </c>
      <c r="B210">
        <f>[2]sens_100_spec_10_PSA!B210</f>
        <v>1</v>
      </c>
      <c r="C210" t="str">
        <f>[2]sens_100_spec_10_PSA!C210</f>
        <v>NA</v>
      </c>
      <c r="D210">
        <f>[2]sens_100_spec_10_PSA!D210</f>
        <v>1</v>
      </c>
      <c r="E210" s="1">
        <f>[2]sens_100_spec_10_PSA!E210</f>
        <v>0.23230000000000001</v>
      </c>
      <c r="F210" s="1">
        <f>[2]sens_100_spec_10_PSA!F210</f>
        <v>2.5899999999999999E-2</v>
      </c>
      <c r="G210" s="2">
        <f>[2]sens_100_spec_10_PSA!G210</f>
        <v>17.157682429811501</v>
      </c>
      <c r="H210" s="2">
        <f>[2]sens_100_spec_10_PSA!H210</f>
        <v>11.915493163550099</v>
      </c>
      <c r="I210" s="2">
        <f>[2]sens_100_spec_10_PSA!I210</f>
        <v>7.1734540350412601</v>
      </c>
      <c r="J210" s="3">
        <f>[2]sens_100_spec_10_PSA!J210</f>
        <v>218596.831611236</v>
      </c>
      <c r="K210" s="3">
        <f>[2]sens_100_spec_10_PSA!K210</f>
        <v>129570.63437331701</v>
      </c>
      <c r="L210">
        <f>[2]sens_100_spec_10_PSA!L210</f>
        <v>1</v>
      </c>
      <c r="M210">
        <f>[2]sens_100_spec_10_PSA!M210</f>
        <v>0</v>
      </c>
    </row>
    <row r="211" spans="1:13" x14ac:dyDescent="0.25">
      <c r="A211">
        <f>[2]sens_100_spec_10_PSA!A211</f>
        <v>210</v>
      </c>
      <c r="B211">
        <f>[2]sens_100_spec_10_PSA!B211</f>
        <v>1</v>
      </c>
      <c r="C211" t="str">
        <f>[2]sens_100_spec_10_PSA!C211</f>
        <v>NA</v>
      </c>
      <c r="D211">
        <f>[2]sens_100_spec_10_PSA!D211</f>
        <v>1</v>
      </c>
      <c r="E211" s="1">
        <f>[2]sens_100_spec_10_PSA!E211</f>
        <v>0.1231</v>
      </c>
      <c r="F211" s="1">
        <f>[2]sens_100_spec_10_PSA!F211</f>
        <v>3.1099999999999999E-2</v>
      </c>
      <c r="G211" s="2">
        <f>[2]sens_100_spec_10_PSA!G211</f>
        <v>16.939714748453301</v>
      </c>
      <c r="H211" s="2">
        <f>[2]sens_100_spec_10_PSA!H211</f>
        <v>14.045366717576099</v>
      </c>
      <c r="I211" s="2">
        <f>[2]sens_100_spec_10_PSA!I211</f>
        <v>8.7413274282126405</v>
      </c>
      <c r="J211" s="3">
        <f>[2]sens_100_spec_10_PSA!J211</f>
        <v>205399.05574550899</v>
      </c>
      <c r="K211" s="3">
        <f>[2]sens_100_spec_10_PSA!K211</f>
        <v>127661.04596733399</v>
      </c>
      <c r="L211">
        <f>[2]sens_100_spec_10_PSA!L211</f>
        <v>1</v>
      </c>
      <c r="M211">
        <f>[2]sens_100_spec_10_PSA!M211</f>
        <v>0</v>
      </c>
    </row>
    <row r="212" spans="1:13" x14ac:dyDescent="0.25">
      <c r="A212">
        <f>[2]sens_100_spec_10_PSA!A212</f>
        <v>211</v>
      </c>
      <c r="B212">
        <f>[2]sens_100_spec_10_PSA!B212</f>
        <v>1</v>
      </c>
      <c r="C212" t="str">
        <f>[2]sens_100_spec_10_PSA!C212</f>
        <v>NA</v>
      </c>
      <c r="D212">
        <f>[2]sens_100_spec_10_PSA!D212</f>
        <v>1</v>
      </c>
      <c r="E212" s="1">
        <f>[2]sens_100_spec_10_PSA!E212</f>
        <v>9.7699999999999995E-2</v>
      </c>
      <c r="F212" s="1">
        <f>[2]sens_100_spec_10_PSA!F212</f>
        <v>2.93E-2</v>
      </c>
      <c r="G212" s="2">
        <f>[2]sens_100_spec_10_PSA!G212</f>
        <v>20.075184235306899</v>
      </c>
      <c r="H212" s="2">
        <f>[2]sens_100_spec_10_PSA!H212</f>
        <v>12.099784134354</v>
      </c>
      <c r="I212" s="2">
        <f>[2]sens_100_spec_10_PSA!I212</f>
        <v>7.2526162744171998</v>
      </c>
      <c r="J212" s="3">
        <f>[2]sens_100_spec_10_PSA!J212</f>
        <v>244034.03987504099</v>
      </c>
      <c r="K212" s="3">
        <f>[2]sens_100_spec_10_PSA!K212</f>
        <v>143789.14083340499</v>
      </c>
      <c r="L212">
        <f>[2]sens_100_spec_10_PSA!L212</f>
        <v>1</v>
      </c>
      <c r="M212">
        <f>[2]sens_100_spec_10_PSA!M212</f>
        <v>0</v>
      </c>
    </row>
    <row r="213" spans="1:13" x14ac:dyDescent="0.25">
      <c r="A213">
        <f>[2]sens_100_spec_10_PSA!A213</f>
        <v>212</v>
      </c>
      <c r="B213">
        <f>[2]sens_100_spec_10_PSA!B213</f>
        <v>1</v>
      </c>
      <c r="C213" t="str">
        <f>[2]sens_100_spec_10_PSA!C213</f>
        <v>NA</v>
      </c>
      <c r="D213">
        <f>[2]sens_100_spec_10_PSA!D213</f>
        <v>1</v>
      </c>
      <c r="E213" s="1">
        <f>[2]sens_100_spec_10_PSA!E213</f>
        <v>0.10199999999999999</v>
      </c>
      <c r="F213" s="1">
        <f>[2]sens_100_spec_10_PSA!F213</f>
        <v>2.63E-2</v>
      </c>
      <c r="G213" s="2">
        <f>[2]sens_100_spec_10_PSA!G213</f>
        <v>21.363899638069199</v>
      </c>
      <c r="H213" s="2">
        <f>[2]sens_100_spec_10_PSA!H213</f>
        <v>15.518482130516499</v>
      </c>
      <c r="I213" s="2">
        <f>[2]sens_100_spec_10_PSA!I213</f>
        <v>9.1187324348314096</v>
      </c>
      <c r="J213" s="3">
        <f>[2]sens_100_spec_10_PSA!J213</f>
        <v>292061.59479329397</v>
      </c>
      <c r="K213" s="3">
        <f>[2]sens_100_spec_10_PSA!K213</f>
        <v>166331.84382549199</v>
      </c>
      <c r="L213">
        <f>[2]sens_100_spec_10_PSA!L213</f>
        <v>1</v>
      </c>
      <c r="M213">
        <f>[2]sens_100_spec_10_PSA!M213</f>
        <v>0</v>
      </c>
    </row>
    <row r="214" spans="1:13" x14ac:dyDescent="0.25">
      <c r="A214">
        <f>[2]sens_100_spec_10_PSA!A214</f>
        <v>213</v>
      </c>
      <c r="B214">
        <f>[2]sens_100_spec_10_PSA!B214</f>
        <v>1</v>
      </c>
      <c r="C214" t="str">
        <f>[2]sens_100_spec_10_PSA!C214</f>
        <v>NA</v>
      </c>
      <c r="D214">
        <f>[2]sens_100_spec_10_PSA!D214</f>
        <v>1</v>
      </c>
      <c r="E214" s="1">
        <f>[2]sens_100_spec_10_PSA!E214</f>
        <v>0.1484</v>
      </c>
      <c r="F214" s="1">
        <f>[2]sens_100_spec_10_PSA!F214</f>
        <v>2.2499999999999999E-2</v>
      </c>
      <c r="G214" s="2">
        <f>[2]sens_100_spec_10_PSA!G214</f>
        <v>19.091999207859399</v>
      </c>
      <c r="H214" s="2">
        <f>[2]sens_100_spec_10_PSA!H214</f>
        <v>12.622778086913</v>
      </c>
      <c r="I214" s="2">
        <f>[2]sens_100_spec_10_PSA!I214</f>
        <v>7.5679648136531998</v>
      </c>
      <c r="J214" s="3">
        <f>[2]sens_100_spec_10_PSA!J214</f>
        <v>141765.88073818001</v>
      </c>
      <c r="K214" s="3">
        <f>[2]sens_100_spec_10_PSA!K214</f>
        <v>86791.917941238498</v>
      </c>
      <c r="L214">
        <f>[2]sens_100_spec_10_PSA!L214</f>
        <v>1</v>
      </c>
      <c r="M214">
        <f>[2]sens_100_spec_10_PSA!M214</f>
        <v>0</v>
      </c>
    </row>
    <row r="215" spans="1:13" x14ac:dyDescent="0.25">
      <c r="A215">
        <f>[2]sens_100_spec_10_PSA!A215</f>
        <v>214</v>
      </c>
      <c r="B215">
        <f>[2]sens_100_spec_10_PSA!B215</f>
        <v>1</v>
      </c>
      <c r="C215" t="str">
        <f>[2]sens_100_spec_10_PSA!C215</f>
        <v>NA</v>
      </c>
      <c r="D215">
        <f>[2]sens_100_spec_10_PSA!D215</f>
        <v>1</v>
      </c>
      <c r="E215" s="1">
        <f>[2]sens_100_spec_10_PSA!E215</f>
        <v>0.12790000000000001</v>
      </c>
      <c r="F215" s="1">
        <f>[2]sens_100_spec_10_PSA!F215</f>
        <v>2.7199999999999998E-2</v>
      </c>
      <c r="G215" s="2">
        <f>[2]sens_100_spec_10_PSA!G215</f>
        <v>19.2746985676912</v>
      </c>
      <c r="H215" s="2">
        <f>[2]sens_100_spec_10_PSA!H215</f>
        <v>14.666786724948</v>
      </c>
      <c r="I215" s="2">
        <f>[2]sens_100_spec_10_PSA!I215</f>
        <v>8.8126975929424098</v>
      </c>
      <c r="J215" s="3">
        <f>[2]sens_100_spec_10_PSA!J215</f>
        <v>235161.27629668801</v>
      </c>
      <c r="K215" s="3">
        <f>[2]sens_100_spec_10_PSA!K215</f>
        <v>139060.77768372101</v>
      </c>
      <c r="L215">
        <f>[2]sens_100_spec_10_PSA!L215</f>
        <v>1</v>
      </c>
      <c r="M215">
        <f>[2]sens_100_spec_10_PSA!M215</f>
        <v>0</v>
      </c>
    </row>
    <row r="216" spans="1:13" x14ac:dyDescent="0.25">
      <c r="A216">
        <f>[2]sens_100_spec_10_PSA!A216</f>
        <v>215</v>
      </c>
      <c r="B216">
        <f>[2]sens_100_spec_10_PSA!B216</f>
        <v>1</v>
      </c>
      <c r="C216" t="str">
        <f>[2]sens_100_spec_10_PSA!C216</f>
        <v>NA</v>
      </c>
      <c r="D216">
        <f>[2]sens_100_spec_10_PSA!D216</f>
        <v>1</v>
      </c>
      <c r="E216" s="1">
        <f>[2]sens_100_spec_10_PSA!E216</f>
        <v>0.14560000000000001</v>
      </c>
      <c r="F216" s="1">
        <f>[2]sens_100_spec_10_PSA!F216</f>
        <v>2.69E-2</v>
      </c>
      <c r="G216" s="2">
        <f>[2]sens_100_spec_10_PSA!G216</f>
        <v>18.781324715517599</v>
      </c>
      <c r="H216" s="2">
        <f>[2]sens_100_spec_10_PSA!H216</f>
        <v>14.1853191020026</v>
      </c>
      <c r="I216" s="2">
        <f>[2]sens_100_spec_10_PSA!I216</f>
        <v>8.5333244636358803</v>
      </c>
      <c r="J216" s="3">
        <f>[2]sens_100_spec_10_PSA!J216</f>
        <v>191900.57950341899</v>
      </c>
      <c r="K216" s="3">
        <f>[2]sens_100_spec_10_PSA!K216</f>
        <v>115076.221841087</v>
      </c>
      <c r="L216">
        <f>[2]sens_100_spec_10_PSA!L216</f>
        <v>1</v>
      </c>
      <c r="M216">
        <f>[2]sens_100_spec_10_PSA!M216</f>
        <v>0</v>
      </c>
    </row>
    <row r="217" spans="1:13" x14ac:dyDescent="0.25">
      <c r="A217">
        <f>[2]sens_100_spec_10_PSA!A217</f>
        <v>216</v>
      </c>
      <c r="B217">
        <f>[2]sens_100_spec_10_PSA!B217</f>
        <v>1</v>
      </c>
      <c r="C217" t="str">
        <f>[2]sens_100_spec_10_PSA!C217</f>
        <v>NA</v>
      </c>
      <c r="D217">
        <f>[2]sens_100_spec_10_PSA!D217</f>
        <v>1</v>
      </c>
      <c r="E217" s="1">
        <f>[2]sens_100_spec_10_PSA!E217</f>
        <v>0.17460000000000001</v>
      </c>
      <c r="F217" s="1">
        <f>[2]sens_100_spec_10_PSA!F217</f>
        <v>2.6200000000000001E-2</v>
      </c>
      <c r="G217" s="2">
        <f>[2]sens_100_spec_10_PSA!G217</f>
        <v>19.1233821022158</v>
      </c>
      <c r="H217" s="2">
        <f>[2]sens_100_spec_10_PSA!H217</f>
        <v>14.2949550384734</v>
      </c>
      <c r="I217" s="2">
        <f>[2]sens_100_spec_10_PSA!I217</f>
        <v>8.4999583549953304</v>
      </c>
      <c r="J217" s="3">
        <f>[2]sens_100_spec_10_PSA!J217</f>
        <v>209362.33189302401</v>
      </c>
      <c r="K217" s="3">
        <f>[2]sens_100_spec_10_PSA!K217</f>
        <v>122877.186568773</v>
      </c>
      <c r="L217">
        <f>[2]sens_100_spec_10_PSA!L217</f>
        <v>1</v>
      </c>
      <c r="M217">
        <f>[2]sens_100_spec_10_PSA!M217</f>
        <v>0</v>
      </c>
    </row>
    <row r="218" spans="1:13" x14ac:dyDescent="0.25">
      <c r="A218">
        <f>[2]sens_100_spec_10_PSA!A218</f>
        <v>217</v>
      </c>
      <c r="B218">
        <f>[2]sens_100_spec_10_PSA!B218</f>
        <v>1</v>
      </c>
      <c r="C218" t="str">
        <f>[2]sens_100_spec_10_PSA!C218</f>
        <v>NA</v>
      </c>
      <c r="D218">
        <f>[2]sens_100_spec_10_PSA!D218</f>
        <v>1</v>
      </c>
      <c r="E218" s="1">
        <f>[2]sens_100_spec_10_PSA!E218</f>
        <v>0.12230000000000001</v>
      </c>
      <c r="F218" s="1">
        <f>[2]sens_100_spec_10_PSA!F218</f>
        <v>2.2100000000000002E-2</v>
      </c>
      <c r="G218" s="2">
        <f>[2]sens_100_spec_10_PSA!G218</f>
        <v>19.735367354549801</v>
      </c>
      <c r="H218" s="2">
        <f>[2]sens_100_spec_10_PSA!H218</f>
        <v>14.887455720621</v>
      </c>
      <c r="I218" s="2">
        <f>[2]sens_100_spec_10_PSA!I218</f>
        <v>8.9064361366967493</v>
      </c>
      <c r="J218" s="3">
        <f>[2]sens_100_spec_10_PSA!J218</f>
        <v>214788.94727874099</v>
      </c>
      <c r="K218" s="3">
        <f>[2]sens_100_spec_10_PSA!K218</f>
        <v>126885.37181460499</v>
      </c>
      <c r="L218">
        <f>[2]sens_100_spec_10_PSA!L218</f>
        <v>1</v>
      </c>
      <c r="M218">
        <f>[2]sens_100_spec_10_PSA!M218</f>
        <v>0</v>
      </c>
    </row>
    <row r="219" spans="1:13" x14ac:dyDescent="0.25">
      <c r="A219">
        <f>[2]sens_100_spec_10_PSA!A219</f>
        <v>218</v>
      </c>
      <c r="B219">
        <f>[2]sens_100_spec_10_PSA!B219</f>
        <v>1</v>
      </c>
      <c r="C219" t="str">
        <f>[2]sens_100_spec_10_PSA!C219</f>
        <v>NA</v>
      </c>
      <c r="D219">
        <f>[2]sens_100_spec_10_PSA!D219</f>
        <v>1</v>
      </c>
      <c r="E219" s="1">
        <f>[2]sens_100_spec_10_PSA!E219</f>
        <v>9.5799999999999996E-2</v>
      </c>
      <c r="F219" s="1">
        <f>[2]sens_100_spec_10_PSA!F219</f>
        <v>2.5000000000000001E-2</v>
      </c>
      <c r="G219" s="2">
        <f>[2]sens_100_spec_10_PSA!G219</f>
        <v>19.5066461127347</v>
      </c>
      <c r="H219" s="2">
        <f>[2]sens_100_spec_10_PSA!H219</f>
        <v>13.908199374681301</v>
      </c>
      <c r="I219" s="2">
        <f>[2]sens_100_spec_10_PSA!I219</f>
        <v>8.3951146275379003</v>
      </c>
      <c r="J219" s="3">
        <f>[2]sens_100_spec_10_PSA!J219</f>
        <v>275549.16339873098</v>
      </c>
      <c r="K219" s="3">
        <f>[2]sens_100_spec_10_PSA!K219</f>
        <v>162639.079476599</v>
      </c>
      <c r="L219">
        <f>[2]sens_100_spec_10_PSA!L219</f>
        <v>1</v>
      </c>
      <c r="M219">
        <f>[2]sens_100_spec_10_PSA!M219</f>
        <v>0</v>
      </c>
    </row>
    <row r="220" spans="1:13" x14ac:dyDescent="0.25">
      <c r="A220">
        <f>[2]sens_100_spec_10_PSA!A220</f>
        <v>219</v>
      </c>
      <c r="B220">
        <f>[2]sens_100_spec_10_PSA!B220</f>
        <v>1</v>
      </c>
      <c r="C220" t="str">
        <f>[2]sens_100_spec_10_PSA!C220</f>
        <v>NA</v>
      </c>
      <c r="D220">
        <f>[2]sens_100_spec_10_PSA!D220</f>
        <v>1</v>
      </c>
      <c r="E220" s="1">
        <f>[2]sens_100_spec_10_PSA!E220</f>
        <v>0.14399999999999999</v>
      </c>
      <c r="F220" s="1">
        <f>[2]sens_100_spec_10_PSA!F220</f>
        <v>2.53E-2</v>
      </c>
      <c r="G220" s="2">
        <f>[2]sens_100_spec_10_PSA!G220</f>
        <v>19.4203231880891</v>
      </c>
      <c r="H220" s="2">
        <f>[2]sens_100_spec_10_PSA!H220</f>
        <v>13.874281088261601</v>
      </c>
      <c r="I220" s="2">
        <f>[2]sens_100_spec_10_PSA!I220</f>
        <v>8.2884695564760396</v>
      </c>
      <c r="J220" s="3">
        <f>[2]sens_100_spec_10_PSA!J220</f>
        <v>260423.25764522501</v>
      </c>
      <c r="K220" s="3">
        <f>[2]sens_100_spec_10_PSA!K220</f>
        <v>152036.00792952499</v>
      </c>
      <c r="L220">
        <f>[2]sens_100_spec_10_PSA!L220</f>
        <v>1</v>
      </c>
      <c r="M220">
        <f>[2]sens_100_spec_10_PSA!M220</f>
        <v>0</v>
      </c>
    </row>
    <row r="221" spans="1:13" x14ac:dyDescent="0.25">
      <c r="A221">
        <f>[2]sens_100_spec_10_PSA!A221</f>
        <v>220</v>
      </c>
      <c r="B221">
        <f>[2]sens_100_spec_10_PSA!B221</f>
        <v>1</v>
      </c>
      <c r="C221" t="str">
        <f>[2]sens_100_spec_10_PSA!C221</f>
        <v>NA</v>
      </c>
      <c r="D221">
        <f>[2]sens_100_spec_10_PSA!D221</f>
        <v>1</v>
      </c>
      <c r="E221" s="1">
        <f>[2]sens_100_spec_10_PSA!E221</f>
        <v>0.20230000000000001</v>
      </c>
      <c r="F221" s="1">
        <f>[2]sens_100_spec_10_PSA!F221</f>
        <v>2.1499999999999998E-2</v>
      </c>
      <c r="G221" s="2">
        <f>[2]sens_100_spec_10_PSA!G221</f>
        <v>16.7084861075225</v>
      </c>
      <c r="H221" s="2">
        <f>[2]sens_100_spec_10_PSA!H221</f>
        <v>11.6896182561093</v>
      </c>
      <c r="I221" s="2">
        <f>[2]sens_100_spec_10_PSA!I221</f>
        <v>7.1762251310835596</v>
      </c>
      <c r="J221" s="3">
        <f>[2]sens_100_spec_10_PSA!J221</f>
        <v>180721.042094356</v>
      </c>
      <c r="K221" s="3">
        <f>[2]sens_100_spec_10_PSA!K221</f>
        <v>111168.602365514</v>
      </c>
      <c r="L221">
        <f>[2]sens_100_spec_10_PSA!L221</f>
        <v>1</v>
      </c>
      <c r="M221">
        <f>[2]sens_100_spec_10_PSA!M221</f>
        <v>0</v>
      </c>
    </row>
    <row r="222" spans="1:13" x14ac:dyDescent="0.25">
      <c r="A222">
        <f>[2]sens_100_spec_10_PSA!A222</f>
        <v>221</v>
      </c>
      <c r="B222">
        <f>[2]sens_100_spec_10_PSA!B222</f>
        <v>1</v>
      </c>
      <c r="C222" t="str">
        <f>[2]sens_100_spec_10_PSA!C222</f>
        <v>NA</v>
      </c>
      <c r="D222">
        <f>[2]sens_100_spec_10_PSA!D222</f>
        <v>1</v>
      </c>
      <c r="E222" s="1">
        <f>[2]sens_100_spec_10_PSA!E222</f>
        <v>0.1295</v>
      </c>
      <c r="F222" s="1">
        <f>[2]sens_100_spec_10_PSA!F222</f>
        <v>2.92E-2</v>
      </c>
      <c r="G222" s="2">
        <f>[2]sens_100_spec_10_PSA!G222</f>
        <v>19.0371333822739</v>
      </c>
      <c r="H222" s="2">
        <f>[2]sens_100_spec_10_PSA!H222</f>
        <v>14.075198327692499</v>
      </c>
      <c r="I222" s="2">
        <f>[2]sens_100_spec_10_PSA!I222</f>
        <v>8.4690922948544802</v>
      </c>
      <c r="J222" s="3">
        <f>[2]sens_100_spec_10_PSA!J222</f>
        <v>192379.414295019</v>
      </c>
      <c r="K222" s="3">
        <f>[2]sens_100_spec_10_PSA!K222</f>
        <v>115263.309069857</v>
      </c>
      <c r="L222">
        <f>[2]sens_100_spec_10_PSA!L222</f>
        <v>1</v>
      </c>
      <c r="M222">
        <f>[2]sens_100_spec_10_PSA!M222</f>
        <v>0</v>
      </c>
    </row>
    <row r="223" spans="1:13" x14ac:dyDescent="0.25">
      <c r="A223">
        <f>[2]sens_100_spec_10_PSA!A223</f>
        <v>222</v>
      </c>
      <c r="B223">
        <f>[2]sens_100_spec_10_PSA!B223</f>
        <v>1</v>
      </c>
      <c r="C223" t="str">
        <f>[2]sens_100_spec_10_PSA!C223</f>
        <v>NA</v>
      </c>
      <c r="D223">
        <f>[2]sens_100_spec_10_PSA!D223</f>
        <v>1</v>
      </c>
      <c r="E223" s="1">
        <f>[2]sens_100_spec_10_PSA!E223</f>
        <v>0.15570000000000001</v>
      </c>
      <c r="F223" s="1">
        <f>[2]sens_100_spec_10_PSA!F223</f>
        <v>2.5399999999999999E-2</v>
      </c>
      <c r="G223" s="2">
        <f>[2]sens_100_spec_10_PSA!G223</f>
        <v>18.029016779908101</v>
      </c>
      <c r="H223" s="2">
        <f>[2]sens_100_spec_10_PSA!H223</f>
        <v>11.02982761596</v>
      </c>
      <c r="I223" s="2">
        <f>[2]sens_100_spec_10_PSA!I223</f>
        <v>6.7281612209807902</v>
      </c>
      <c r="J223" s="3">
        <f>[2]sens_100_spec_10_PSA!J223</f>
        <v>199966.93138686399</v>
      </c>
      <c r="K223" s="3">
        <f>[2]sens_100_spec_10_PSA!K223</f>
        <v>121357.91329895399</v>
      </c>
      <c r="L223">
        <f>[2]sens_100_spec_10_PSA!L223</f>
        <v>1</v>
      </c>
      <c r="M223">
        <f>[2]sens_100_spec_10_PSA!M223</f>
        <v>0</v>
      </c>
    </row>
    <row r="224" spans="1:13" x14ac:dyDescent="0.25">
      <c r="A224">
        <f>[2]sens_100_spec_10_PSA!A224</f>
        <v>223</v>
      </c>
      <c r="B224">
        <f>[2]sens_100_spec_10_PSA!B224</f>
        <v>1</v>
      </c>
      <c r="C224" t="str">
        <f>[2]sens_100_spec_10_PSA!C224</f>
        <v>NA</v>
      </c>
      <c r="D224">
        <f>[2]sens_100_spec_10_PSA!D224</f>
        <v>1</v>
      </c>
      <c r="E224" s="1">
        <f>[2]sens_100_spec_10_PSA!E224</f>
        <v>0.14580000000000001</v>
      </c>
      <c r="F224" s="1">
        <f>[2]sens_100_spec_10_PSA!F224</f>
        <v>2.3699999999999999E-2</v>
      </c>
      <c r="G224" s="2">
        <f>[2]sens_100_spec_10_PSA!G224</f>
        <v>18.7214293516395</v>
      </c>
      <c r="H224" s="2">
        <f>[2]sens_100_spec_10_PSA!H224</f>
        <v>13.052573164670299</v>
      </c>
      <c r="I224" s="2">
        <f>[2]sens_100_spec_10_PSA!I224</f>
        <v>7.8707507182951799</v>
      </c>
      <c r="J224" s="3">
        <f>[2]sens_100_spec_10_PSA!J224</f>
        <v>209818.996719802</v>
      </c>
      <c r="K224" s="3">
        <f>[2]sens_100_spec_10_PSA!K224</f>
        <v>125377.59301117</v>
      </c>
      <c r="L224">
        <f>[2]sens_100_spec_10_PSA!L224</f>
        <v>1</v>
      </c>
      <c r="M224">
        <f>[2]sens_100_spec_10_PSA!M224</f>
        <v>0</v>
      </c>
    </row>
    <row r="225" spans="1:13" x14ac:dyDescent="0.25">
      <c r="A225">
        <f>[2]sens_100_spec_10_PSA!A225</f>
        <v>224</v>
      </c>
      <c r="B225">
        <f>[2]sens_100_spec_10_PSA!B225</f>
        <v>1</v>
      </c>
      <c r="C225" t="str">
        <f>[2]sens_100_spec_10_PSA!C225</f>
        <v>NA</v>
      </c>
      <c r="D225">
        <f>[2]sens_100_spec_10_PSA!D225</f>
        <v>1</v>
      </c>
      <c r="E225" s="1">
        <f>[2]sens_100_spec_10_PSA!E225</f>
        <v>0.1303</v>
      </c>
      <c r="F225" s="1">
        <f>[2]sens_100_spec_10_PSA!F225</f>
        <v>2.2800000000000001E-2</v>
      </c>
      <c r="G225" s="2">
        <f>[2]sens_100_spec_10_PSA!G225</f>
        <v>17.763463932288399</v>
      </c>
      <c r="H225" s="2">
        <f>[2]sens_100_spec_10_PSA!H225</f>
        <v>11.915673735335799</v>
      </c>
      <c r="I225" s="2">
        <f>[2]sens_100_spec_10_PSA!I225</f>
        <v>7.3236323180896497</v>
      </c>
      <c r="J225" s="3">
        <f>[2]sens_100_spec_10_PSA!J225</f>
        <v>210800.02903242901</v>
      </c>
      <c r="K225" s="3">
        <f>[2]sens_100_spec_10_PSA!K225</f>
        <v>128799.117952274</v>
      </c>
      <c r="L225">
        <f>[2]sens_100_spec_10_PSA!L225</f>
        <v>1</v>
      </c>
      <c r="M225">
        <f>[2]sens_100_spec_10_PSA!M225</f>
        <v>0</v>
      </c>
    </row>
    <row r="226" spans="1:13" x14ac:dyDescent="0.25">
      <c r="A226">
        <f>[2]sens_100_spec_10_PSA!A226</f>
        <v>225</v>
      </c>
      <c r="B226">
        <f>[2]sens_100_spec_10_PSA!B226</f>
        <v>1</v>
      </c>
      <c r="C226" t="str">
        <f>[2]sens_100_spec_10_PSA!C226</f>
        <v>NA</v>
      </c>
      <c r="D226">
        <f>[2]sens_100_spec_10_PSA!D226</f>
        <v>1</v>
      </c>
      <c r="E226" s="1">
        <f>[2]sens_100_spec_10_PSA!E226</f>
        <v>0.12609999999999999</v>
      </c>
      <c r="F226" s="1">
        <f>[2]sens_100_spec_10_PSA!F226</f>
        <v>2.64E-2</v>
      </c>
      <c r="G226" s="2">
        <f>[2]sens_100_spec_10_PSA!G226</f>
        <v>19.681524551400798</v>
      </c>
      <c r="H226" s="2">
        <f>[2]sens_100_spec_10_PSA!H226</f>
        <v>13.959805455746199</v>
      </c>
      <c r="I226" s="2">
        <f>[2]sens_100_spec_10_PSA!I226</f>
        <v>8.33904403841996</v>
      </c>
      <c r="J226" s="3">
        <f>[2]sens_100_spec_10_PSA!J226</f>
        <v>236922.78063991701</v>
      </c>
      <c r="K226" s="3">
        <f>[2]sens_100_spec_10_PSA!K226</f>
        <v>139032.588895528</v>
      </c>
      <c r="L226">
        <f>[2]sens_100_spec_10_PSA!L226</f>
        <v>1</v>
      </c>
      <c r="M226">
        <f>[2]sens_100_spec_10_PSA!M226</f>
        <v>0</v>
      </c>
    </row>
    <row r="227" spans="1:13" x14ac:dyDescent="0.25">
      <c r="A227">
        <f>[2]sens_100_spec_10_PSA!A227</f>
        <v>226</v>
      </c>
      <c r="B227">
        <f>[2]sens_100_spec_10_PSA!B227</f>
        <v>1</v>
      </c>
      <c r="C227" t="str">
        <f>[2]sens_100_spec_10_PSA!C227</f>
        <v>NA</v>
      </c>
      <c r="D227">
        <f>[2]sens_100_spec_10_PSA!D227</f>
        <v>1</v>
      </c>
      <c r="E227" s="1">
        <f>[2]sens_100_spec_10_PSA!E227</f>
        <v>0.1157</v>
      </c>
      <c r="F227" s="1">
        <f>[2]sens_100_spec_10_PSA!F227</f>
        <v>2.5899999999999999E-2</v>
      </c>
      <c r="G227" s="2">
        <f>[2]sens_100_spec_10_PSA!G227</f>
        <v>17.1414739355791</v>
      </c>
      <c r="H227" s="2">
        <f>[2]sens_100_spec_10_PSA!H227</f>
        <v>13.3887022622981</v>
      </c>
      <c r="I227" s="2">
        <f>[2]sens_100_spec_10_PSA!I227</f>
        <v>8.3434619496273008</v>
      </c>
      <c r="J227" s="3">
        <f>[2]sens_100_spec_10_PSA!J227</f>
        <v>174605.738308128</v>
      </c>
      <c r="K227" s="3">
        <f>[2]sens_100_spec_10_PSA!K227</f>
        <v>109594.001427264</v>
      </c>
      <c r="L227">
        <f>[2]sens_100_spec_10_PSA!L227</f>
        <v>1</v>
      </c>
      <c r="M227">
        <f>[2]sens_100_spec_10_PSA!M227</f>
        <v>0</v>
      </c>
    </row>
    <row r="228" spans="1:13" x14ac:dyDescent="0.25">
      <c r="A228">
        <f>[2]sens_100_spec_10_PSA!A228</f>
        <v>227</v>
      </c>
      <c r="B228">
        <f>[2]sens_100_spec_10_PSA!B228</f>
        <v>1</v>
      </c>
      <c r="C228" t="str">
        <f>[2]sens_100_spec_10_PSA!C228</f>
        <v>NA</v>
      </c>
      <c r="D228">
        <f>[2]sens_100_spec_10_PSA!D228</f>
        <v>1</v>
      </c>
      <c r="E228" s="1">
        <f>[2]sens_100_spec_10_PSA!E228</f>
        <v>0.15540000000000001</v>
      </c>
      <c r="F228" s="1">
        <f>[2]sens_100_spec_10_PSA!F228</f>
        <v>2.3900000000000001E-2</v>
      </c>
      <c r="G228" s="2">
        <f>[2]sens_100_spec_10_PSA!G228</f>
        <v>18.494526249222101</v>
      </c>
      <c r="H228" s="2">
        <f>[2]sens_100_spec_10_PSA!H228</f>
        <v>12.435238161459999</v>
      </c>
      <c r="I228" s="2">
        <f>[2]sens_100_spec_10_PSA!I228</f>
        <v>7.4997211578338003</v>
      </c>
      <c r="J228" s="3">
        <f>[2]sens_100_spec_10_PSA!J228</f>
        <v>233497.61549205601</v>
      </c>
      <c r="K228" s="3">
        <f>[2]sens_100_spec_10_PSA!K228</f>
        <v>138514.605550632</v>
      </c>
      <c r="L228">
        <f>[2]sens_100_spec_10_PSA!L228</f>
        <v>1</v>
      </c>
      <c r="M228">
        <f>[2]sens_100_spec_10_PSA!M228</f>
        <v>0</v>
      </c>
    </row>
    <row r="229" spans="1:13" x14ac:dyDescent="0.25">
      <c r="A229">
        <f>[2]sens_100_spec_10_PSA!A229</f>
        <v>228</v>
      </c>
      <c r="B229">
        <f>[2]sens_100_spec_10_PSA!B229</f>
        <v>1</v>
      </c>
      <c r="C229" t="str">
        <f>[2]sens_100_spec_10_PSA!C229</f>
        <v>NA</v>
      </c>
      <c r="D229">
        <f>[2]sens_100_spec_10_PSA!D229</f>
        <v>1</v>
      </c>
      <c r="E229" s="1">
        <f>[2]sens_100_spec_10_PSA!E229</f>
        <v>0.12429999999999999</v>
      </c>
      <c r="F229" s="1">
        <f>[2]sens_100_spec_10_PSA!F229</f>
        <v>2.53E-2</v>
      </c>
      <c r="G229" s="2">
        <f>[2]sens_100_spec_10_PSA!G229</f>
        <v>20.216728312279301</v>
      </c>
      <c r="H229" s="2">
        <f>[2]sens_100_spec_10_PSA!H229</f>
        <v>14.4924435923879</v>
      </c>
      <c r="I229" s="2">
        <f>[2]sens_100_spec_10_PSA!I229</f>
        <v>8.6140553036879695</v>
      </c>
      <c r="J229" s="3">
        <f>[2]sens_100_spec_10_PSA!J229</f>
        <v>209476.84606179499</v>
      </c>
      <c r="K229" s="3">
        <f>[2]sens_100_spec_10_PSA!K229</f>
        <v>123127.11819951401</v>
      </c>
      <c r="L229">
        <f>[2]sens_100_spec_10_PSA!L229</f>
        <v>1</v>
      </c>
      <c r="M229">
        <f>[2]sens_100_spec_10_PSA!M229</f>
        <v>0</v>
      </c>
    </row>
    <row r="230" spans="1:13" x14ac:dyDescent="0.25">
      <c r="A230">
        <f>[2]sens_100_spec_10_PSA!A230</f>
        <v>229</v>
      </c>
      <c r="B230">
        <f>[2]sens_100_spec_10_PSA!B230</f>
        <v>1</v>
      </c>
      <c r="C230" t="str">
        <f>[2]sens_100_spec_10_PSA!C230</f>
        <v>NA</v>
      </c>
      <c r="D230">
        <f>[2]sens_100_spec_10_PSA!D230</f>
        <v>1</v>
      </c>
      <c r="E230" s="1">
        <f>[2]sens_100_spec_10_PSA!E230</f>
        <v>0.1109</v>
      </c>
      <c r="F230" s="1">
        <f>[2]sens_100_spec_10_PSA!F230</f>
        <v>2.7799999999999998E-2</v>
      </c>
      <c r="G230" s="2">
        <f>[2]sens_100_spec_10_PSA!G230</f>
        <v>18.358625693262699</v>
      </c>
      <c r="H230" s="2">
        <f>[2]sens_100_spec_10_PSA!H230</f>
        <v>13.184495890945</v>
      </c>
      <c r="I230" s="2">
        <f>[2]sens_100_spec_10_PSA!I230</f>
        <v>8.0606986662842299</v>
      </c>
      <c r="J230" s="3">
        <f>[2]sens_100_spec_10_PSA!J230</f>
        <v>204451.892298241</v>
      </c>
      <c r="K230" s="3">
        <f>[2]sens_100_spec_10_PSA!K230</f>
        <v>124619.544446991</v>
      </c>
      <c r="L230">
        <f>[2]sens_100_spec_10_PSA!L230</f>
        <v>1</v>
      </c>
      <c r="M230">
        <f>[2]sens_100_spec_10_PSA!M230</f>
        <v>0</v>
      </c>
    </row>
    <row r="231" spans="1:13" x14ac:dyDescent="0.25">
      <c r="A231">
        <f>[2]sens_100_spec_10_PSA!A231</f>
        <v>230</v>
      </c>
      <c r="B231">
        <f>[2]sens_100_spec_10_PSA!B231</f>
        <v>1</v>
      </c>
      <c r="C231" t="str">
        <f>[2]sens_100_spec_10_PSA!C231</f>
        <v>NA</v>
      </c>
      <c r="D231">
        <f>[2]sens_100_spec_10_PSA!D231</f>
        <v>1</v>
      </c>
      <c r="E231" s="1">
        <f>[2]sens_100_spec_10_PSA!E231</f>
        <v>0.1305</v>
      </c>
      <c r="F231" s="1">
        <f>[2]sens_100_spec_10_PSA!F231</f>
        <v>2.5000000000000001E-2</v>
      </c>
      <c r="G231" s="2">
        <f>[2]sens_100_spec_10_PSA!G231</f>
        <v>19.3008089768486</v>
      </c>
      <c r="H231" s="2">
        <f>[2]sens_100_spec_10_PSA!H231</f>
        <v>14.967036555108701</v>
      </c>
      <c r="I231" s="2">
        <f>[2]sens_100_spec_10_PSA!I231</f>
        <v>8.9865593432522406</v>
      </c>
      <c r="J231" s="3">
        <f>[2]sens_100_spec_10_PSA!J231</f>
        <v>273693.52368007501</v>
      </c>
      <c r="K231" s="3">
        <f>[2]sens_100_spec_10_PSA!K231</f>
        <v>160538.61554694601</v>
      </c>
      <c r="L231">
        <f>[2]sens_100_spec_10_PSA!L231</f>
        <v>1</v>
      </c>
      <c r="M231">
        <f>[2]sens_100_spec_10_PSA!M231</f>
        <v>0</v>
      </c>
    </row>
    <row r="232" spans="1:13" x14ac:dyDescent="0.25">
      <c r="A232">
        <f>[2]sens_100_spec_10_PSA!A232</f>
        <v>231</v>
      </c>
      <c r="B232">
        <f>[2]sens_100_spec_10_PSA!B232</f>
        <v>1</v>
      </c>
      <c r="C232" t="str">
        <f>[2]sens_100_spec_10_PSA!C232</f>
        <v>NA</v>
      </c>
      <c r="D232">
        <f>[2]sens_100_spec_10_PSA!D232</f>
        <v>1</v>
      </c>
      <c r="E232" s="1">
        <f>[2]sens_100_spec_10_PSA!E232</f>
        <v>0.1145</v>
      </c>
      <c r="F232" s="1">
        <f>[2]sens_100_spec_10_PSA!F232</f>
        <v>2.63E-2</v>
      </c>
      <c r="G232" s="2">
        <f>[2]sens_100_spec_10_PSA!G232</f>
        <v>18.7973019568661</v>
      </c>
      <c r="H232" s="2">
        <f>[2]sens_100_spec_10_PSA!H232</f>
        <v>11.8068491046717</v>
      </c>
      <c r="I232" s="2">
        <f>[2]sens_100_spec_10_PSA!I232</f>
        <v>7.1744472328509801</v>
      </c>
      <c r="J232" s="3">
        <f>[2]sens_100_spec_10_PSA!J232</f>
        <v>224659.40203716099</v>
      </c>
      <c r="K232" s="3">
        <f>[2]sens_100_spec_10_PSA!K232</f>
        <v>135114.596097239</v>
      </c>
      <c r="L232">
        <f>[2]sens_100_spec_10_PSA!L232</f>
        <v>1</v>
      </c>
      <c r="M232">
        <f>[2]sens_100_spec_10_PSA!M232</f>
        <v>0</v>
      </c>
    </row>
    <row r="233" spans="1:13" x14ac:dyDescent="0.25">
      <c r="A233">
        <f>[2]sens_100_spec_10_PSA!A233</f>
        <v>232</v>
      </c>
      <c r="B233">
        <f>[2]sens_100_spec_10_PSA!B233</f>
        <v>1</v>
      </c>
      <c r="C233" t="str">
        <f>[2]sens_100_spec_10_PSA!C233</f>
        <v>NA</v>
      </c>
      <c r="D233">
        <f>[2]sens_100_spec_10_PSA!D233</f>
        <v>1</v>
      </c>
      <c r="E233" s="1">
        <f>[2]sens_100_spec_10_PSA!E233</f>
        <v>0.13220000000000001</v>
      </c>
      <c r="F233" s="1">
        <f>[2]sens_100_spec_10_PSA!F233</f>
        <v>2.3800000000000002E-2</v>
      </c>
      <c r="G233" s="2">
        <f>[2]sens_100_spec_10_PSA!G233</f>
        <v>19.586569015603899</v>
      </c>
      <c r="H233" s="2">
        <f>[2]sens_100_spec_10_PSA!H233</f>
        <v>12.8950662052391</v>
      </c>
      <c r="I233" s="2">
        <f>[2]sens_100_spec_10_PSA!I233</f>
        <v>7.7310603422687096</v>
      </c>
      <c r="J233" s="3">
        <f>[2]sens_100_spec_10_PSA!J233</f>
        <v>209302.563513336</v>
      </c>
      <c r="K233" s="3">
        <f>[2]sens_100_spec_10_PSA!K233</f>
        <v>124187.55174351</v>
      </c>
      <c r="L233">
        <f>[2]sens_100_spec_10_PSA!L233</f>
        <v>1</v>
      </c>
      <c r="M233">
        <f>[2]sens_100_spec_10_PSA!M233</f>
        <v>0</v>
      </c>
    </row>
    <row r="234" spans="1:13" x14ac:dyDescent="0.25">
      <c r="A234">
        <f>[2]sens_100_spec_10_PSA!A234</f>
        <v>233</v>
      </c>
      <c r="B234">
        <f>[2]sens_100_spec_10_PSA!B234</f>
        <v>1</v>
      </c>
      <c r="C234" t="str">
        <f>[2]sens_100_spec_10_PSA!C234</f>
        <v>NA</v>
      </c>
      <c r="D234">
        <f>[2]sens_100_spec_10_PSA!D234</f>
        <v>1</v>
      </c>
      <c r="E234" s="1">
        <f>[2]sens_100_spec_10_PSA!E234</f>
        <v>0.1764</v>
      </c>
      <c r="F234" s="1">
        <f>[2]sens_100_spec_10_PSA!F234</f>
        <v>2.8199999999999999E-2</v>
      </c>
      <c r="G234" s="2">
        <f>[2]sens_100_spec_10_PSA!G234</f>
        <v>17.0940853865694</v>
      </c>
      <c r="H234" s="2">
        <f>[2]sens_100_spec_10_PSA!H234</f>
        <v>11.3593000134505</v>
      </c>
      <c r="I234" s="2">
        <f>[2]sens_100_spec_10_PSA!I234</f>
        <v>6.9521633273910899</v>
      </c>
      <c r="J234" s="3">
        <f>[2]sens_100_spec_10_PSA!J234</f>
        <v>171351.88499256599</v>
      </c>
      <c r="K234" s="3">
        <f>[2]sens_100_spec_10_PSA!K234</f>
        <v>105322.52550813901</v>
      </c>
      <c r="L234">
        <f>[2]sens_100_spec_10_PSA!L234</f>
        <v>1</v>
      </c>
      <c r="M234">
        <f>[2]sens_100_spec_10_PSA!M234</f>
        <v>0</v>
      </c>
    </row>
    <row r="235" spans="1:13" x14ac:dyDescent="0.25">
      <c r="A235">
        <f>[2]sens_100_spec_10_PSA!A235</f>
        <v>234</v>
      </c>
      <c r="B235">
        <f>[2]sens_100_spec_10_PSA!B235</f>
        <v>1</v>
      </c>
      <c r="C235" t="str">
        <f>[2]sens_100_spec_10_PSA!C235</f>
        <v>NA</v>
      </c>
      <c r="D235">
        <f>[2]sens_100_spec_10_PSA!D235</f>
        <v>1</v>
      </c>
      <c r="E235" s="1">
        <f>[2]sens_100_spec_10_PSA!E235</f>
        <v>0.18210000000000001</v>
      </c>
      <c r="F235" s="1">
        <f>[2]sens_100_spec_10_PSA!F235</f>
        <v>2.6499999999999999E-2</v>
      </c>
      <c r="G235" s="2">
        <f>[2]sens_100_spec_10_PSA!G235</f>
        <v>18.746988968781402</v>
      </c>
      <c r="H235" s="2">
        <f>[2]sens_100_spec_10_PSA!H235</f>
        <v>12.7834358421115</v>
      </c>
      <c r="I235" s="2">
        <f>[2]sens_100_spec_10_PSA!I235</f>
        <v>7.6244956114461298</v>
      </c>
      <c r="J235" s="3">
        <f>[2]sens_100_spec_10_PSA!J235</f>
        <v>212992.49756981299</v>
      </c>
      <c r="K235" s="3">
        <f>[2]sens_100_spec_10_PSA!K235</f>
        <v>125242.552860492</v>
      </c>
      <c r="L235">
        <f>[2]sens_100_spec_10_PSA!L235</f>
        <v>1</v>
      </c>
      <c r="M235">
        <f>[2]sens_100_spec_10_PSA!M235</f>
        <v>0</v>
      </c>
    </row>
    <row r="236" spans="1:13" x14ac:dyDescent="0.25">
      <c r="A236">
        <f>[2]sens_100_spec_10_PSA!A236</f>
        <v>235</v>
      </c>
      <c r="B236">
        <f>[2]sens_100_spec_10_PSA!B236</f>
        <v>1</v>
      </c>
      <c r="C236" t="str">
        <f>[2]sens_100_spec_10_PSA!C236</f>
        <v>NA</v>
      </c>
      <c r="D236">
        <f>[2]sens_100_spec_10_PSA!D236</f>
        <v>1</v>
      </c>
      <c r="E236" s="1">
        <f>[2]sens_100_spec_10_PSA!E236</f>
        <v>0.12620000000000001</v>
      </c>
      <c r="F236" s="1">
        <f>[2]sens_100_spec_10_PSA!F236</f>
        <v>2.2100000000000002E-2</v>
      </c>
      <c r="G236" s="2">
        <f>[2]sens_100_spec_10_PSA!G236</f>
        <v>19.2571414254238</v>
      </c>
      <c r="H236" s="2">
        <f>[2]sens_100_spec_10_PSA!H236</f>
        <v>14.8333646611718</v>
      </c>
      <c r="I236" s="2">
        <f>[2]sens_100_spec_10_PSA!I236</f>
        <v>8.9531786960286599</v>
      </c>
      <c r="J236" s="3">
        <f>[2]sens_100_spec_10_PSA!J236</f>
        <v>148822.19918892201</v>
      </c>
      <c r="K236" s="3">
        <f>[2]sens_100_spec_10_PSA!K236</f>
        <v>91280.829868717294</v>
      </c>
      <c r="L236">
        <f>[2]sens_100_spec_10_PSA!L236</f>
        <v>1</v>
      </c>
      <c r="M236">
        <f>[2]sens_100_spec_10_PSA!M236</f>
        <v>0</v>
      </c>
    </row>
    <row r="237" spans="1:13" x14ac:dyDescent="0.25">
      <c r="A237">
        <f>[2]sens_100_spec_10_PSA!A237</f>
        <v>236</v>
      </c>
      <c r="B237">
        <f>[2]sens_100_spec_10_PSA!B237</f>
        <v>1</v>
      </c>
      <c r="C237" t="str">
        <f>[2]sens_100_spec_10_PSA!C237</f>
        <v>NA</v>
      </c>
      <c r="D237">
        <f>[2]sens_100_spec_10_PSA!D237</f>
        <v>1</v>
      </c>
      <c r="E237" s="1">
        <f>[2]sens_100_spec_10_PSA!E237</f>
        <v>0.16189999999999999</v>
      </c>
      <c r="F237" s="1">
        <f>[2]sens_100_spec_10_PSA!F237</f>
        <v>2.23E-2</v>
      </c>
      <c r="G237" s="2">
        <f>[2]sens_100_spec_10_PSA!G237</f>
        <v>18.723984603352701</v>
      </c>
      <c r="H237" s="2">
        <f>[2]sens_100_spec_10_PSA!H237</f>
        <v>11.3840924142117</v>
      </c>
      <c r="I237" s="2">
        <f>[2]sens_100_spec_10_PSA!I237</f>
        <v>6.8384910041370999</v>
      </c>
      <c r="J237" s="3">
        <f>[2]sens_100_spec_10_PSA!J237</f>
        <v>193476.54023628999</v>
      </c>
      <c r="K237" s="3">
        <f>[2]sens_100_spec_10_PSA!K237</f>
        <v>115445.542960266</v>
      </c>
      <c r="L237">
        <f>[2]sens_100_spec_10_PSA!L237</f>
        <v>1</v>
      </c>
      <c r="M237">
        <f>[2]sens_100_spec_10_PSA!M237</f>
        <v>0</v>
      </c>
    </row>
    <row r="238" spans="1:13" x14ac:dyDescent="0.25">
      <c r="A238">
        <f>[2]sens_100_spec_10_PSA!A238</f>
        <v>237</v>
      </c>
      <c r="B238">
        <f>[2]sens_100_spec_10_PSA!B238</f>
        <v>1</v>
      </c>
      <c r="C238" t="str">
        <f>[2]sens_100_spec_10_PSA!C238</f>
        <v>NA</v>
      </c>
      <c r="D238">
        <f>[2]sens_100_spec_10_PSA!D238</f>
        <v>1</v>
      </c>
      <c r="E238" s="1">
        <f>[2]sens_100_spec_10_PSA!E238</f>
        <v>7.6200000000000004E-2</v>
      </c>
      <c r="F238" s="1">
        <f>[2]sens_100_spec_10_PSA!F238</f>
        <v>2.7400000000000001E-2</v>
      </c>
      <c r="G238" s="2">
        <f>[2]sens_100_spec_10_PSA!G238</f>
        <v>19.857494669081898</v>
      </c>
      <c r="H238" s="2">
        <f>[2]sens_100_spec_10_PSA!H238</f>
        <v>14.164670917932099</v>
      </c>
      <c r="I238" s="2">
        <f>[2]sens_100_spec_10_PSA!I238</f>
        <v>8.5762412018031</v>
      </c>
      <c r="J238" s="3">
        <f>[2]sens_100_spec_10_PSA!J238</f>
        <v>279332.28313171398</v>
      </c>
      <c r="K238" s="3">
        <f>[2]sens_100_spec_10_PSA!K238</f>
        <v>165531.73640242699</v>
      </c>
      <c r="L238">
        <f>[2]sens_100_spec_10_PSA!L238</f>
        <v>1</v>
      </c>
      <c r="M238">
        <f>[2]sens_100_spec_10_PSA!M238</f>
        <v>0</v>
      </c>
    </row>
    <row r="239" spans="1:13" x14ac:dyDescent="0.25">
      <c r="A239">
        <f>[2]sens_100_spec_10_PSA!A239</f>
        <v>238</v>
      </c>
      <c r="B239">
        <f>[2]sens_100_spec_10_PSA!B239</f>
        <v>1</v>
      </c>
      <c r="C239" t="str">
        <f>[2]sens_100_spec_10_PSA!C239</f>
        <v>NA</v>
      </c>
      <c r="D239">
        <f>[2]sens_100_spec_10_PSA!D239</f>
        <v>1</v>
      </c>
      <c r="E239" s="1">
        <f>[2]sens_100_spec_10_PSA!E239</f>
        <v>0.1792</v>
      </c>
      <c r="F239" s="1">
        <f>[2]sens_100_spec_10_PSA!F239</f>
        <v>2.2499999999999999E-2</v>
      </c>
      <c r="G239" s="2">
        <f>[2]sens_100_spec_10_PSA!G239</f>
        <v>18.594138220081</v>
      </c>
      <c r="H239" s="2">
        <f>[2]sens_100_spec_10_PSA!H239</f>
        <v>13.334370831173301</v>
      </c>
      <c r="I239" s="2">
        <f>[2]sens_100_spec_10_PSA!I239</f>
        <v>7.9602600197936697</v>
      </c>
      <c r="J239" s="3">
        <f>[2]sens_100_spec_10_PSA!J239</f>
        <v>174756.07789272099</v>
      </c>
      <c r="K239" s="3">
        <f>[2]sens_100_spec_10_PSA!K239</f>
        <v>104305.37900687</v>
      </c>
      <c r="L239">
        <f>[2]sens_100_spec_10_PSA!L239</f>
        <v>1</v>
      </c>
      <c r="M239">
        <f>[2]sens_100_spec_10_PSA!M239</f>
        <v>0</v>
      </c>
    </row>
    <row r="240" spans="1:13" x14ac:dyDescent="0.25">
      <c r="A240">
        <f>[2]sens_100_spec_10_PSA!A240</f>
        <v>239</v>
      </c>
      <c r="B240">
        <f>[2]sens_100_spec_10_PSA!B240</f>
        <v>1</v>
      </c>
      <c r="C240" t="str">
        <f>[2]sens_100_spec_10_PSA!C240</f>
        <v>NA</v>
      </c>
      <c r="D240">
        <f>[2]sens_100_spec_10_PSA!D240</f>
        <v>1</v>
      </c>
      <c r="E240" s="1">
        <f>[2]sens_100_spec_10_PSA!E240</f>
        <v>0.22639999999999999</v>
      </c>
      <c r="F240" s="1">
        <f>[2]sens_100_spec_10_PSA!F240</f>
        <v>2.58E-2</v>
      </c>
      <c r="G240" s="2">
        <f>[2]sens_100_spec_10_PSA!G240</f>
        <v>16.546189853845199</v>
      </c>
      <c r="H240" s="2">
        <f>[2]sens_100_spec_10_PSA!H240</f>
        <v>13.144910679140301</v>
      </c>
      <c r="I240" s="2">
        <f>[2]sens_100_spec_10_PSA!I240</f>
        <v>7.9966504846728403</v>
      </c>
      <c r="J240" s="3">
        <f>[2]sens_100_spec_10_PSA!J240</f>
        <v>214981.52001498599</v>
      </c>
      <c r="K240" s="3">
        <f>[2]sens_100_spec_10_PSA!K240</f>
        <v>129365.643618851</v>
      </c>
      <c r="L240">
        <f>[2]sens_100_spec_10_PSA!L240</f>
        <v>1</v>
      </c>
      <c r="M240">
        <f>[2]sens_100_spec_10_PSA!M240</f>
        <v>0</v>
      </c>
    </row>
    <row r="241" spans="1:13" x14ac:dyDescent="0.25">
      <c r="A241">
        <f>[2]sens_100_spec_10_PSA!A241</f>
        <v>240</v>
      </c>
      <c r="B241">
        <f>[2]sens_100_spec_10_PSA!B241</f>
        <v>1</v>
      </c>
      <c r="C241" t="str">
        <f>[2]sens_100_spec_10_PSA!C241</f>
        <v>NA</v>
      </c>
      <c r="D241">
        <f>[2]sens_100_spec_10_PSA!D241</f>
        <v>1</v>
      </c>
      <c r="E241" s="1">
        <f>[2]sens_100_spec_10_PSA!E241</f>
        <v>0.12429999999999999</v>
      </c>
      <c r="F241" s="1">
        <f>[2]sens_100_spec_10_PSA!F241</f>
        <v>2.81E-2</v>
      </c>
      <c r="G241" s="2">
        <f>[2]sens_100_spec_10_PSA!G241</f>
        <v>19.4372121530889</v>
      </c>
      <c r="H241" s="2">
        <f>[2]sens_100_spec_10_PSA!H241</f>
        <v>13.611139510363699</v>
      </c>
      <c r="I241" s="2">
        <f>[2]sens_100_spec_10_PSA!I241</f>
        <v>8.1493680075244193</v>
      </c>
      <c r="J241" s="3">
        <f>[2]sens_100_spec_10_PSA!J241</f>
        <v>253898.325033828</v>
      </c>
      <c r="K241" s="3">
        <f>[2]sens_100_spec_10_PSA!K241</f>
        <v>149024.612268942</v>
      </c>
      <c r="L241">
        <f>[2]sens_100_spec_10_PSA!L241</f>
        <v>1</v>
      </c>
      <c r="M241">
        <f>[2]sens_100_spec_10_PSA!M241</f>
        <v>0</v>
      </c>
    </row>
    <row r="242" spans="1:13" x14ac:dyDescent="0.25">
      <c r="A242">
        <f>[2]sens_100_spec_10_PSA!A242</f>
        <v>241</v>
      </c>
      <c r="B242">
        <f>[2]sens_100_spec_10_PSA!B242</f>
        <v>1</v>
      </c>
      <c r="C242" t="str">
        <f>[2]sens_100_spec_10_PSA!C242</f>
        <v>NA</v>
      </c>
      <c r="D242">
        <f>[2]sens_100_spec_10_PSA!D242</f>
        <v>1</v>
      </c>
      <c r="E242" s="1">
        <f>[2]sens_100_spec_10_PSA!E242</f>
        <v>8.3400000000000002E-2</v>
      </c>
      <c r="F242" s="1">
        <f>[2]sens_100_spec_10_PSA!F242</f>
        <v>2.8299999999999999E-2</v>
      </c>
      <c r="G242" s="2">
        <f>[2]sens_100_spec_10_PSA!G242</f>
        <v>20.8982159239672</v>
      </c>
      <c r="H242" s="2">
        <f>[2]sens_100_spec_10_PSA!H242</f>
        <v>13.7326612067071</v>
      </c>
      <c r="I242" s="2">
        <f>[2]sens_100_spec_10_PSA!I242</f>
        <v>8.1735194366579904</v>
      </c>
      <c r="J242" s="3">
        <f>[2]sens_100_spec_10_PSA!J242</f>
        <v>158867.394651015</v>
      </c>
      <c r="K242" s="3">
        <f>[2]sens_100_spec_10_PSA!K242</f>
        <v>95334.431741339198</v>
      </c>
      <c r="L242">
        <f>[2]sens_100_spec_10_PSA!L242</f>
        <v>1</v>
      </c>
      <c r="M242">
        <f>[2]sens_100_spec_10_PSA!M242</f>
        <v>0</v>
      </c>
    </row>
    <row r="243" spans="1:13" x14ac:dyDescent="0.25">
      <c r="A243">
        <f>[2]sens_100_spec_10_PSA!A243</f>
        <v>242</v>
      </c>
      <c r="B243">
        <f>[2]sens_100_spec_10_PSA!B243</f>
        <v>1</v>
      </c>
      <c r="C243" t="str">
        <f>[2]sens_100_spec_10_PSA!C243</f>
        <v>NA</v>
      </c>
      <c r="D243">
        <f>[2]sens_100_spec_10_PSA!D243</f>
        <v>1</v>
      </c>
      <c r="E243" s="1">
        <f>[2]sens_100_spec_10_PSA!E243</f>
        <v>0.1358</v>
      </c>
      <c r="F243" s="1">
        <f>[2]sens_100_spec_10_PSA!F243</f>
        <v>2.64E-2</v>
      </c>
      <c r="G243" s="2">
        <f>[2]sens_100_spec_10_PSA!G243</f>
        <v>19.7449638855709</v>
      </c>
      <c r="H243" s="2">
        <f>[2]sens_100_spec_10_PSA!H243</f>
        <v>14.407779447902101</v>
      </c>
      <c r="I243" s="2">
        <f>[2]sens_100_spec_10_PSA!I243</f>
        <v>8.5924854309532694</v>
      </c>
      <c r="J243" s="3">
        <f>[2]sens_100_spec_10_PSA!J243</f>
        <v>165338.720929248</v>
      </c>
      <c r="K243" s="3">
        <f>[2]sens_100_spec_10_PSA!K243</f>
        <v>99224.747877785805</v>
      </c>
      <c r="L243">
        <f>[2]sens_100_spec_10_PSA!L243</f>
        <v>1</v>
      </c>
      <c r="M243">
        <f>[2]sens_100_spec_10_PSA!M243</f>
        <v>0</v>
      </c>
    </row>
    <row r="244" spans="1:13" x14ac:dyDescent="0.25">
      <c r="A244">
        <f>[2]sens_100_spec_10_PSA!A244</f>
        <v>243</v>
      </c>
      <c r="B244">
        <f>[2]sens_100_spec_10_PSA!B244</f>
        <v>1</v>
      </c>
      <c r="C244" t="str">
        <f>[2]sens_100_spec_10_PSA!C244</f>
        <v>NA</v>
      </c>
      <c r="D244">
        <f>[2]sens_100_spec_10_PSA!D244</f>
        <v>1</v>
      </c>
      <c r="E244" s="1">
        <f>[2]sens_100_spec_10_PSA!E244</f>
        <v>0.1946</v>
      </c>
      <c r="F244" s="1">
        <f>[2]sens_100_spec_10_PSA!F244</f>
        <v>2.2700000000000001E-2</v>
      </c>
      <c r="G244" s="2">
        <f>[2]sens_100_spec_10_PSA!G244</f>
        <v>16.183949973243699</v>
      </c>
      <c r="H244" s="2">
        <f>[2]sens_100_spec_10_PSA!H244</f>
        <v>12.1743876969824</v>
      </c>
      <c r="I244" s="2">
        <f>[2]sens_100_spec_10_PSA!I244</f>
        <v>7.5597425215638401</v>
      </c>
      <c r="J244" s="3">
        <f>[2]sens_100_spec_10_PSA!J244</f>
        <v>162736.796542695</v>
      </c>
      <c r="K244" s="3">
        <f>[2]sens_100_spec_10_PSA!K244</f>
        <v>101931.609643945</v>
      </c>
      <c r="L244">
        <f>[2]sens_100_spec_10_PSA!L244</f>
        <v>1</v>
      </c>
      <c r="M244">
        <f>[2]sens_100_spec_10_PSA!M244</f>
        <v>0</v>
      </c>
    </row>
    <row r="245" spans="1:13" x14ac:dyDescent="0.25">
      <c r="A245">
        <f>[2]sens_100_spec_10_PSA!A245</f>
        <v>244</v>
      </c>
      <c r="B245">
        <f>[2]sens_100_spec_10_PSA!B245</f>
        <v>1</v>
      </c>
      <c r="C245" t="str">
        <f>[2]sens_100_spec_10_PSA!C245</f>
        <v>NA</v>
      </c>
      <c r="D245">
        <f>[2]sens_100_spec_10_PSA!D245</f>
        <v>1</v>
      </c>
      <c r="E245" s="1">
        <f>[2]sens_100_spec_10_PSA!E245</f>
        <v>0.1124</v>
      </c>
      <c r="F245" s="1">
        <f>[2]sens_100_spec_10_PSA!F245</f>
        <v>2.86E-2</v>
      </c>
      <c r="G245" s="2">
        <f>[2]sens_100_spec_10_PSA!G245</f>
        <v>18.887792796348599</v>
      </c>
      <c r="H245" s="2">
        <f>[2]sens_100_spec_10_PSA!H245</f>
        <v>13.820297691200601</v>
      </c>
      <c r="I245" s="2">
        <f>[2]sens_100_spec_10_PSA!I245</f>
        <v>8.3861092875780905</v>
      </c>
      <c r="J245" s="3">
        <f>[2]sens_100_spec_10_PSA!J245</f>
        <v>176764.34704891799</v>
      </c>
      <c r="K245" s="3">
        <f>[2]sens_100_spec_10_PSA!K245</f>
        <v>107633.80309328101</v>
      </c>
      <c r="L245">
        <f>[2]sens_100_spec_10_PSA!L245</f>
        <v>1</v>
      </c>
      <c r="M245">
        <f>[2]sens_100_spec_10_PSA!M245</f>
        <v>0</v>
      </c>
    </row>
    <row r="246" spans="1:13" x14ac:dyDescent="0.25">
      <c r="A246">
        <f>[2]sens_100_spec_10_PSA!A246</f>
        <v>245</v>
      </c>
      <c r="B246">
        <f>[2]sens_100_spec_10_PSA!B246</f>
        <v>1</v>
      </c>
      <c r="C246" t="str">
        <f>[2]sens_100_spec_10_PSA!C246</f>
        <v>NA</v>
      </c>
      <c r="D246">
        <f>[2]sens_100_spec_10_PSA!D246</f>
        <v>1</v>
      </c>
      <c r="E246" s="1">
        <f>[2]sens_100_spec_10_PSA!E246</f>
        <v>9.01E-2</v>
      </c>
      <c r="F246" s="1">
        <f>[2]sens_100_spec_10_PSA!F246</f>
        <v>2.7300000000000001E-2</v>
      </c>
      <c r="G246" s="2">
        <f>[2]sens_100_spec_10_PSA!G246</f>
        <v>18.720734363634101</v>
      </c>
      <c r="H246" s="2">
        <f>[2]sens_100_spec_10_PSA!H246</f>
        <v>11.9912444966024</v>
      </c>
      <c r="I246" s="2">
        <f>[2]sens_100_spec_10_PSA!I246</f>
        <v>7.3424137316172402</v>
      </c>
      <c r="J246" s="3">
        <f>[2]sens_100_spec_10_PSA!J246</f>
        <v>191301.25569294399</v>
      </c>
      <c r="K246" s="3">
        <f>[2]sens_100_spec_10_PSA!K246</f>
        <v>117091.832525188</v>
      </c>
      <c r="L246">
        <f>[2]sens_100_spec_10_PSA!L246</f>
        <v>1</v>
      </c>
      <c r="M246">
        <f>[2]sens_100_spec_10_PSA!M246</f>
        <v>0</v>
      </c>
    </row>
    <row r="247" spans="1:13" x14ac:dyDescent="0.25">
      <c r="A247">
        <f>[2]sens_100_spec_10_PSA!A247</f>
        <v>246</v>
      </c>
      <c r="B247">
        <f>[2]sens_100_spec_10_PSA!B247</f>
        <v>1</v>
      </c>
      <c r="C247" t="str">
        <f>[2]sens_100_spec_10_PSA!C247</f>
        <v>NA</v>
      </c>
      <c r="D247">
        <f>[2]sens_100_spec_10_PSA!D247</f>
        <v>1</v>
      </c>
      <c r="E247" s="1">
        <f>[2]sens_100_spec_10_PSA!E247</f>
        <v>0.15179999999999999</v>
      </c>
      <c r="F247" s="1">
        <f>[2]sens_100_spec_10_PSA!F247</f>
        <v>2.8899999999999999E-2</v>
      </c>
      <c r="G247" s="2">
        <f>[2]sens_100_spec_10_PSA!G247</f>
        <v>18.3151397460162</v>
      </c>
      <c r="H247" s="2">
        <f>[2]sens_100_spec_10_PSA!H247</f>
        <v>13.0327876014689</v>
      </c>
      <c r="I247" s="2">
        <f>[2]sens_100_spec_10_PSA!I247</f>
        <v>7.88063711728865</v>
      </c>
      <c r="J247" s="3">
        <f>[2]sens_100_spec_10_PSA!J247</f>
        <v>216638.67395819601</v>
      </c>
      <c r="K247" s="3">
        <f>[2]sens_100_spec_10_PSA!K247</f>
        <v>129559.70573815099</v>
      </c>
      <c r="L247">
        <f>[2]sens_100_spec_10_PSA!L247</f>
        <v>1</v>
      </c>
      <c r="M247">
        <f>[2]sens_100_spec_10_PSA!M247</f>
        <v>0</v>
      </c>
    </row>
    <row r="248" spans="1:13" x14ac:dyDescent="0.25">
      <c r="A248">
        <f>[2]sens_100_spec_10_PSA!A248</f>
        <v>247</v>
      </c>
      <c r="B248">
        <f>[2]sens_100_spec_10_PSA!B248</f>
        <v>1</v>
      </c>
      <c r="C248" t="str">
        <f>[2]sens_100_spec_10_PSA!C248</f>
        <v>NA</v>
      </c>
      <c r="D248">
        <f>[2]sens_100_spec_10_PSA!D248</f>
        <v>1</v>
      </c>
      <c r="E248" s="1">
        <f>[2]sens_100_spec_10_PSA!E248</f>
        <v>0.19</v>
      </c>
      <c r="F248" s="1">
        <f>[2]sens_100_spec_10_PSA!F248</f>
        <v>2.6800000000000001E-2</v>
      </c>
      <c r="G248" s="2">
        <f>[2]sens_100_spec_10_PSA!G248</f>
        <v>18.003275590006702</v>
      </c>
      <c r="H248" s="2">
        <f>[2]sens_100_spec_10_PSA!H248</f>
        <v>12.7379362065798</v>
      </c>
      <c r="I248" s="2">
        <f>[2]sens_100_spec_10_PSA!I248</f>
        <v>7.6813564306244304</v>
      </c>
      <c r="J248" s="3">
        <f>[2]sens_100_spec_10_PSA!J248</f>
        <v>146679.278803402</v>
      </c>
      <c r="K248" s="3">
        <f>[2]sens_100_spec_10_PSA!K248</f>
        <v>89507.162546616906</v>
      </c>
      <c r="L248">
        <f>[2]sens_100_spec_10_PSA!L248</f>
        <v>1</v>
      </c>
      <c r="M248">
        <f>[2]sens_100_spec_10_PSA!M248</f>
        <v>0</v>
      </c>
    </row>
    <row r="249" spans="1:13" x14ac:dyDescent="0.25">
      <c r="A249">
        <f>[2]sens_100_spec_10_PSA!A249</f>
        <v>248</v>
      </c>
      <c r="B249">
        <f>[2]sens_100_spec_10_PSA!B249</f>
        <v>1</v>
      </c>
      <c r="C249" t="str">
        <f>[2]sens_100_spec_10_PSA!C249</f>
        <v>NA</v>
      </c>
      <c r="D249">
        <f>[2]sens_100_spec_10_PSA!D249</f>
        <v>1</v>
      </c>
      <c r="E249" s="1">
        <f>[2]sens_100_spec_10_PSA!E249</f>
        <v>0.1414</v>
      </c>
      <c r="F249" s="1">
        <f>[2]sens_100_spec_10_PSA!F249</f>
        <v>2.9700000000000001E-2</v>
      </c>
      <c r="G249" s="2">
        <f>[2]sens_100_spec_10_PSA!G249</f>
        <v>18.842713197368202</v>
      </c>
      <c r="H249" s="2">
        <f>[2]sens_100_spec_10_PSA!H249</f>
        <v>15.196984686209699</v>
      </c>
      <c r="I249" s="2">
        <f>[2]sens_100_spec_10_PSA!I249</f>
        <v>9.1654046321642397</v>
      </c>
      <c r="J249" s="3">
        <f>[2]sens_100_spec_10_PSA!J249</f>
        <v>217223.467380321</v>
      </c>
      <c r="K249" s="3">
        <f>[2]sens_100_spec_10_PSA!K249</f>
        <v>129636.990680624</v>
      </c>
      <c r="L249">
        <f>[2]sens_100_spec_10_PSA!L249</f>
        <v>1</v>
      </c>
      <c r="M249">
        <f>[2]sens_100_spec_10_PSA!M249</f>
        <v>0</v>
      </c>
    </row>
    <row r="250" spans="1:13" x14ac:dyDescent="0.25">
      <c r="A250">
        <f>[2]sens_100_spec_10_PSA!A250</f>
        <v>249</v>
      </c>
      <c r="B250">
        <f>[2]sens_100_spec_10_PSA!B250</f>
        <v>1</v>
      </c>
      <c r="C250" t="str">
        <f>[2]sens_100_spec_10_PSA!C250</f>
        <v>NA</v>
      </c>
      <c r="D250">
        <f>[2]sens_100_spec_10_PSA!D250</f>
        <v>1</v>
      </c>
      <c r="E250" s="1">
        <f>[2]sens_100_spec_10_PSA!E250</f>
        <v>0.13100000000000001</v>
      </c>
      <c r="F250" s="1">
        <f>[2]sens_100_spec_10_PSA!F250</f>
        <v>2.35E-2</v>
      </c>
      <c r="G250" s="2">
        <f>[2]sens_100_spec_10_PSA!G250</f>
        <v>18.348511855892198</v>
      </c>
      <c r="H250" s="2">
        <f>[2]sens_100_spec_10_PSA!H250</f>
        <v>12.804580620553301</v>
      </c>
      <c r="I250" s="2">
        <f>[2]sens_100_spec_10_PSA!I250</f>
        <v>7.8243178684686701</v>
      </c>
      <c r="J250" s="3">
        <f>[2]sens_100_spec_10_PSA!J250</f>
        <v>152152.42313915701</v>
      </c>
      <c r="K250" s="3">
        <f>[2]sens_100_spec_10_PSA!K250</f>
        <v>94523.011081305405</v>
      </c>
      <c r="L250">
        <f>[2]sens_100_spec_10_PSA!L250</f>
        <v>1</v>
      </c>
      <c r="M250">
        <f>[2]sens_100_spec_10_PSA!M250</f>
        <v>0</v>
      </c>
    </row>
    <row r="251" spans="1:13" x14ac:dyDescent="0.25">
      <c r="A251">
        <f>[2]sens_100_spec_10_PSA!A251</f>
        <v>250</v>
      </c>
      <c r="B251">
        <f>[2]sens_100_spec_10_PSA!B251</f>
        <v>1</v>
      </c>
      <c r="C251" t="str">
        <f>[2]sens_100_spec_10_PSA!C251</f>
        <v>NA</v>
      </c>
      <c r="D251">
        <f>[2]sens_100_spec_10_PSA!D251</f>
        <v>1</v>
      </c>
      <c r="E251" s="1">
        <f>[2]sens_100_spec_10_PSA!E251</f>
        <v>0.1552</v>
      </c>
      <c r="F251" s="1">
        <f>[2]sens_100_spec_10_PSA!F251</f>
        <v>3.0300000000000001E-2</v>
      </c>
      <c r="G251" s="2">
        <f>[2]sens_100_spec_10_PSA!G251</f>
        <v>19.887298837223501</v>
      </c>
      <c r="H251" s="2">
        <f>[2]sens_100_spec_10_PSA!H251</f>
        <v>14.5254342326336</v>
      </c>
      <c r="I251" s="2">
        <f>[2]sens_100_spec_10_PSA!I251</f>
        <v>8.5877361740244993</v>
      </c>
      <c r="J251" s="3">
        <f>[2]sens_100_spec_10_PSA!J251</f>
        <v>202398.85720309999</v>
      </c>
      <c r="K251" s="3">
        <f>[2]sens_100_spec_10_PSA!K251</f>
        <v>118268.963512291</v>
      </c>
      <c r="L251">
        <f>[2]sens_100_spec_10_PSA!L251</f>
        <v>1</v>
      </c>
      <c r="M251">
        <f>[2]sens_100_spec_10_PSA!M251</f>
        <v>0</v>
      </c>
    </row>
    <row r="252" spans="1:13" x14ac:dyDescent="0.25">
      <c r="A252">
        <f>[2]sens_100_spec_10_PSA!A252</f>
        <v>251</v>
      </c>
      <c r="B252">
        <f>[2]sens_100_spec_10_PSA!B252</f>
        <v>1</v>
      </c>
      <c r="C252" t="str">
        <f>[2]sens_100_spec_10_PSA!C252</f>
        <v>NA</v>
      </c>
      <c r="D252">
        <f>[2]sens_100_spec_10_PSA!D252</f>
        <v>1</v>
      </c>
      <c r="E252" s="1">
        <f>[2]sens_100_spec_10_PSA!E252</f>
        <v>0.1416</v>
      </c>
      <c r="F252" s="1">
        <f>[2]sens_100_spec_10_PSA!F252</f>
        <v>2.3E-2</v>
      </c>
      <c r="G252" s="2">
        <f>[2]sens_100_spec_10_PSA!G252</f>
        <v>18.4851214484856</v>
      </c>
      <c r="H252" s="2">
        <f>[2]sens_100_spec_10_PSA!H252</f>
        <v>12.774410053147999</v>
      </c>
      <c r="I252" s="2">
        <f>[2]sens_100_spec_10_PSA!I252</f>
        <v>7.7593911637114701</v>
      </c>
      <c r="J252" s="3">
        <f>[2]sens_100_spec_10_PSA!J252</f>
        <v>177964.067398115</v>
      </c>
      <c r="K252" s="3">
        <f>[2]sens_100_spec_10_PSA!K252</f>
        <v>108367.981608945</v>
      </c>
      <c r="L252">
        <f>[2]sens_100_spec_10_PSA!L252</f>
        <v>1</v>
      </c>
      <c r="M252">
        <f>[2]sens_100_spec_10_PSA!M252</f>
        <v>0</v>
      </c>
    </row>
    <row r="253" spans="1:13" x14ac:dyDescent="0.25">
      <c r="A253">
        <f>[2]sens_100_spec_10_PSA!A253</f>
        <v>252</v>
      </c>
      <c r="B253">
        <f>[2]sens_100_spec_10_PSA!B253</f>
        <v>1</v>
      </c>
      <c r="C253" t="str">
        <f>[2]sens_100_spec_10_PSA!C253</f>
        <v>NA</v>
      </c>
      <c r="D253">
        <f>[2]sens_100_spec_10_PSA!D253</f>
        <v>1</v>
      </c>
      <c r="E253" s="1">
        <f>[2]sens_100_spec_10_PSA!E253</f>
        <v>0.14219999999999999</v>
      </c>
      <c r="F253" s="1">
        <f>[2]sens_100_spec_10_PSA!F253</f>
        <v>2.81E-2</v>
      </c>
      <c r="G253" s="2">
        <f>[2]sens_100_spec_10_PSA!G253</f>
        <v>20.2089871035305</v>
      </c>
      <c r="H253" s="2">
        <f>[2]sens_100_spec_10_PSA!H253</f>
        <v>12.3891817466166</v>
      </c>
      <c r="I253" s="2">
        <f>[2]sens_100_spec_10_PSA!I253</f>
        <v>7.32238064997295</v>
      </c>
      <c r="J253" s="3">
        <f>[2]sens_100_spec_10_PSA!J253</f>
        <v>284471.082813079</v>
      </c>
      <c r="K253" s="3">
        <f>[2]sens_100_spec_10_PSA!K253</f>
        <v>162961.04356547599</v>
      </c>
      <c r="L253">
        <f>[2]sens_100_spec_10_PSA!L253</f>
        <v>1</v>
      </c>
      <c r="M253">
        <f>[2]sens_100_spec_10_PSA!M253</f>
        <v>0</v>
      </c>
    </row>
    <row r="254" spans="1:13" x14ac:dyDescent="0.25">
      <c r="A254">
        <f>[2]sens_100_spec_10_PSA!A254</f>
        <v>253</v>
      </c>
      <c r="B254">
        <f>[2]sens_100_spec_10_PSA!B254</f>
        <v>1</v>
      </c>
      <c r="C254" t="str">
        <f>[2]sens_100_spec_10_PSA!C254</f>
        <v>NA</v>
      </c>
      <c r="D254">
        <f>[2]sens_100_spec_10_PSA!D254</f>
        <v>1</v>
      </c>
      <c r="E254" s="1">
        <f>[2]sens_100_spec_10_PSA!E254</f>
        <v>0.20910000000000001</v>
      </c>
      <c r="F254" s="1">
        <f>[2]sens_100_spec_10_PSA!F254</f>
        <v>2.0400000000000001E-2</v>
      </c>
      <c r="G254" s="2">
        <f>[2]sens_100_spec_10_PSA!G254</f>
        <v>18.0915518988602</v>
      </c>
      <c r="H254" s="2">
        <f>[2]sens_100_spec_10_PSA!H254</f>
        <v>12.568187664447599</v>
      </c>
      <c r="I254" s="2">
        <f>[2]sens_100_spec_10_PSA!I254</f>
        <v>7.52541973753004</v>
      </c>
      <c r="J254" s="3">
        <f>[2]sens_100_spec_10_PSA!J254</f>
        <v>170338.35835110201</v>
      </c>
      <c r="K254" s="3">
        <f>[2]sens_100_spec_10_PSA!K254</f>
        <v>101983.33655097699</v>
      </c>
      <c r="L254">
        <f>[2]sens_100_spec_10_PSA!L254</f>
        <v>1</v>
      </c>
      <c r="M254">
        <f>[2]sens_100_spec_10_PSA!M254</f>
        <v>0</v>
      </c>
    </row>
    <row r="255" spans="1:13" x14ac:dyDescent="0.25">
      <c r="A255">
        <f>[2]sens_100_spec_10_PSA!A255</f>
        <v>254</v>
      </c>
      <c r="B255">
        <f>[2]sens_100_spec_10_PSA!B255</f>
        <v>1</v>
      </c>
      <c r="C255" t="str">
        <f>[2]sens_100_spec_10_PSA!C255</f>
        <v>NA</v>
      </c>
      <c r="D255">
        <f>[2]sens_100_spec_10_PSA!D255</f>
        <v>1</v>
      </c>
      <c r="E255" s="1">
        <f>[2]sens_100_spec_10_PSA!E255</f>
        <v>0.1227</v>
      </c>
      <c r="F255" s="1">
        <f>[2]sens_100_spec_10_PSA!F255</f>
        <v>2.4E-2</v>
      </c>
      <c r="G255" s="2">
        <f>[2]sens_100_spec_10_PSA!G255</f>
        <v>21.285504303000199</v>
      </c>
      <c r="H255" s="2">
        <f>[2]sens_100_spec_10_PSA!H255</f>
        <v>14.1985542791156</v>
      </c>
      <c r="I255" s="2">
        <f>[2]sens_100_spec_10_PSA!I255</f>
        <v>8.3299871788504696</v>
      </c>
      <c r="J255" s="3">
        <f>[2]sens_100_spec_10_PSA!J255</f>
        <v>199346.677343035</v>
      </c>
      <c r="K255" s="3">
        <f>[2]sens_100_spec_10_PSA!K255</f>
        <v>115717.08810204599</v>
      </c>
      <c r="L255">
        <f>[2]sens_100_spec_10_PSA!L255</f>
        <v>1</v>
      </c>
      <c r="M255">
        <f>[2]sens_100_spec_10_PSA!M255</f>
        <v>0</v>
      </c>
    </row>
    <row r="256" spans="1:13" x14ac:dyDescent="0.25">
      <c r="A256">
        <f>[2]sens_100_spec_10_PSA!A256</f>
        <v>255</v>
      </c>
      <c r="B256">
        <f>[2]sens_100_spec_10_PSA!B256</f>
        <v>1</v>
      </c>
      <c r="C256" t="str">
        <f>[2]sens_100_spec_10_PSA!C256</f>
        <v>NA</v>
      </c>
      <c r="D256">
        <f>[2]sens_100_spec_10_PSA!D256</f>
        <v>1</v>
      </c>
      <c r="E256" s="1">
        <f>[2]sens_100_spec_10_PSA!E256</f>
        <v>0.185</v>
      </c>
      <c r="F256" s="1">
        <f>[2]sens_100_spec_10_PSA!F256</f>
        <v>2.4299999999999999E-2</v>
      </c>
      <c r="G256" s="2">
        <f>[2]sens_100_spec_10_PSA!G256</f>
        <v>19.653471941421799</v>
      </c>
      <c r="H256" s="2">
        <f>[2]sens_100_spec_10_PSA!H256</f>
        <v>11.482874945696</v>
      </c>
      <c r="I256" s="2">
        <f>[2]sens_100_spec_10_PSA!I256</f>
        <v>6.7773206745351899</v>
      </c>
      <c r="J256" s="3">
        <f>[2]sens_100_spec_10_PSA!J256</f>
        <v>227358.41628047</v>
      </c>
      <c r="K256" s="3">
        <f>[2]sens_100_spec_10_PSA!K256</f>
        <v>131466.76064867299</v>
      </c>
      <c r="L256">
        <f>[2]sens_100_spec_10_PSA!L256</f>
        <v>1</v>
      </c>
      <c r="M256">
        <f>[2]sens_100_spec_10_PSA!M256</f>
        <v>0</v>
      </c>
    </row>
    <row r="257" spans="1:13" x14ac:dyDescent="0.25">
      <c r="A257">
        <f>[2]sens_100_spec_10_PSA!A257</f>
        <v>256</v>
      </c>
      <c r="B257">
        <f>[2]sens_100_spec_10_PSA!B257</f>
        <v>1</v>
      </c>
      <c r="C257" t="str">
        <f>[2]sens_100_spec_10_PSA!C257</f>
        <v>NA</v>
      </c>
      <c r="D257">
        <f>[2]sens_100_spec_10_PSA!D257</f>
        <v>1</v>
      </c>
      <c r="E257" s="1">
        <f>[2]sens_100_spec_10_PSA!E257</f>
        <v>0.15110000000000001</v>
      </c>
      <c r="F257" s="1">
        <f>[2]sens_100_spec_10_PSA!F257</f>
        <v>2.6100000000000002E-2</v>
      </c>
      <c r="G257" s="2">
        <f>[2]sens_100_spec_10_PSA!G257</f>
        <v>17.972708696495499</v>
      </c>
      <c r="H257" s="2">
        <f>[2]sens_100_spec_10_PSA!H257</f>
        <v>11.9864932640285</v>
      </c>
      <c r="I257" s="2">
        <f>[2]sens_100_spec_10_PSA!I257</f>
        <v>7.3111585826451799</v>
      </c>
      <c r="J257" s="3">
        <f>[2]sens_100_spec_10_PSA!J257</f>
        <v>198062.35078023199</v>
      </c>
      <c r="K257" s="3">
        <f>[2]sens_100_spec_10_PSA!K257</f>
        <v>120397.316285547</v>
      </c>
      <c r="L257">
        <f>[2]sens_100_spec_10_PSA!L257</f>
        <v>1</v>
      </c>
      <c r="M257">
        <f>[2]sens_100_spec_10_PSA!M257</f>
        <v>0</v>
      </c>
    </row>
    <row r="258" spans="1:13" x14ac:dyDescent="0.25">
      <c r="A258">
        <f>[2]sens_100_spec_10_PSA!A258</f>
        <v>257</v>
      </c>
      <c r="B258">
        <f>[2]sens_100_spec_10_PSA!B258</f>
        <v>1</v>
      </c>
      <c r="C258" t="str">
        <f>[2]sens_100_spec_10_PSA!C258</f>
        <v>NA</v>
      </c>
      <c r="D258">
        <f>[2]sens_100_spec_10_PSA!D258</f>
        <v>1</v>
      </c>
      <c r="E258" s="1">
        <f>[2]sens_100_spec_10_PSA!E258</f>
        <v>9.8199999999999996E-2</v>
      </c>
      <c r="F258" s="1">
        <f>[2]sens_100_spec_10_PSA!F258</f>
        <v>2.5999999999999999E-2</v>
      </c>
      <c r="G258" s="2">
        <f>[2]sens_100_spec_10_PSA!G258</f>
        <v>19.063765546265302</v>
      </c>
      <c r="H258" s="2">
        <f>[2]sens_100_spec_10_PSA!H258</f>
        <v>10.834886737416101</v>
      </c>
      <c r="I258" s="2">
        <f>[2]sens_100_spec_10_PSA!I258</f>
        <v>6.6017297599312599</v>
      </c>
      <c r="J258" s="3">
        <f>[2]sens_100_spec_10_PSA!J258</f>
        <v>165855.71072281001</v>
      </c>
      <c r="K258" s="3">
        <f>[2]sens_100_spec_10_PSA!K258</f>
        <v>101826.99662638</v>
      </c>
      <c r="L258">
        <f>[2]sens_100_spec_10_PSA!L258</f>
        <v>1</v>
      </c>
      <c r="M258">
        <f>[2]sens_100_spec_10_PSA!M258</f>
        <v>0</v>
      </c>
    </row>
    <row r="259" spans="1:13" x14ac:dyDescent="0.25">
      <c r="A259">
        <f>[2]sens_100_spec_10_PSA!A259</f>
        <v>258</v>
      </c>
      <c r="B259">
        <f>[2]sens_100_spec_10_PSA!B259</f>
        <v>1</v>
      </c>
      <c r="C259" t="str">
        <f>[2]sens_100_spec_10_PSA!C259</f>
        <v>NA</v>
      </c>
      <c r="D259">
        <f>[2]sens_100_spec_10_PSA!D259</f>
        <v>1</v>
      </c>
      <c r="E259" s="1">
        <f>[2]sens_100_spec_10_PSA!E259</f>
        <v>0.13009999999999999</v>
      </c>
      <c r="F259" s="1">
        <f>[2]sens_100_spec_10_PSA!F259</f>
        <v>2.63E-2</v>
      </c>
      <c r="G259" s="2">
        <f>[2]sens_100_spec_10_PSA!G259</f>
        <v>18.219391174219702</v>
      </c>
      <c r="H259" s="2">
        <f>[2]sens_100_spec_10_PSA!H259</f>
        <v>13.6886012861282</v>
      </c>
      <c r="I259" s="2">
        <f>[2]sens_100_spec_10_PSA!I259</f>
        <v>8.3435305817745</v>
      </c>
      <c r="J259" s="3">
        <f>[2]sens_100_spec_10_PSA!J259</f>
        <v>250692.46478385499</v>
      </c>
      <c r="K259" s="3">
        <f>[2]sens_100_spec_10_PSA!K259</f>
        <v>150478.12178347801</v>
      </c>
      <c r="L259">
        <f>[2]sens_100_spec_10_PSA!L259</f>
        <v>1</v>
      </c>
      <c r="M259">
        <f>[2]sens_100_spec_10_PSA!M259</f>
        <v>0</v>
      </c>
    </row>
    <row r="260" spans="1:13" x14ac:dyDescent="0.25">
      <c r="A260">
        <f>[2]sens_100_spec_10_PSA!A260</f>
        <v>259</v>
      </c>
      <c r="B260">
        <f>[2]sens_100_spec_10_PSA!B260</f>
        <v>1</v>
      </c>
      <c r="C260" t="str">
        <f>[2]sens_100_spec_10_PSA!C260</f>
        <v>NA</v>
      </c>
      <c r="D260">
        <f>[2]sens_100_spec_10_PSA!D260</f>
        <v>1</v>
      </c>
      <c r="E260" s="1">
        <f>[2]sens_100_spec_10_PSA!E260</f>
        <v>0.15709999999999999</v>
      </c>
      <c r="F260" s="1">
        <f>[2]sens_100_spec_10_PSA!F260</f>
        <v>2.64E-2</v>
      </c>
      <c r="G260" s="2">
        <f>[2]sens_100_spec_10_PSA!G260</f>
        <v>18.173043126616001</v>
      </c>
      <c r="H260" s="2">
        <f>[2]sens_100_spec_10_PSA!H260</f>
        <v>13.4853814356767</v>
      </c>
      <c r="I260" s="2">
        <f>[2]sens_100_spec_10_PSA!I260</f>
        <v>8.15144051268393</v>
      </c>
      <c r="J260" s="3">
        <f>[2]sens_100_spec_10_PSA!J260</f>
        <v>210494.46001580101</v>
      </c>
      <c r="K260" s="3">
        <f>[2]sens_100_spec_10_PSA!K260</f>
        <v>126359.971985638</v>
      </c>
      <c r="L260">
        <f>[2]sens_100_spec_10_PSA!L260</f>
        <v>1</v>
      </c>
      <c r="M260">
        <f>[2]sens_100_spec_10_PSA!M260</f>
        <v>0</v>
      </c>
    </row>
    <row r="261" spans="1:13" x14ac:dyDescent="0.25">
      <c r="A261">
        <f>[2]sens_100_spec_10_PSA!A261</f>
        <v>260</v>
      </c>
      <c r="B261">
        <f>[2]sens_100_spec_10_PSA!B261</f>
        <v>1</v>
      </c>
      <c r="C261" t="str">
        <f>[2]sens_100_spec_10_PSA!C261</f>
        <v>NA</v>
      </c>
      <c r="D261">
        <f>[2]sens_100_spec_10_PSA!D261</f>
        <v>1</v>
      </c>
      <c r="E261" s="1">
        <f>[2]sens_100_spec_10_PSA!E261</f>
        <v>0.1132</v>
      </c>
      <c r="F261" s="1">
        <f>[2]sens_100_spec_10_PSA!F261</f>
        <v>2.93E-2</v>
      </c>
      <c r="G261" s="2">
        <f>[2]sens_100_spec_10_PSA!G261</f>
        <v>21.1515155510223</v>
      </c>
      <c r="H261" s="2">
        <f>[2]sens_100_spec_10_PSA!H261</f>
        <v>12.737113972263399</v>
      </c>
      <c r="I261" s="2">
        <f>[2]sens_100_spec_10_PSA!I261</f>
        <v>7.4776900967573896</v>
      </c>
      <c r="J261" s="3">
        <f>[2]sens_100_spec_10_PSA!J261</f>
        <v>193046.98717526699</v>
      </c>
      <c r="K261" s="3">
        <f>[2]sens_100_spec_10_PSA!K261</f>
        <v>112698.383084527</v>
      </c>
      <c r="L261">
        <f>[2]sens_100_spec_10_PSA!L261</f>
        <v>1</v>
      </c>
      <c r="M261">
        <f>[2]sens_100_spec_10_PSA!M261</f>
        <v>0</v>
      </c>
    </row>
    <row r="262" spans="1:13" x14ac:dyDescent="0.25">
      <c r="A262">
        <f>[2]sens_100_spec_10_PSA!A262</f>
        <v>261</v>
      </c>
      <c r="B262">
        <f>[2]sens_100_spec_10_PSA!B262</f>
        <v>1</v>
      </c>
      <c r="C262" t="str">
        <f>[2]sens_100_spec_10_PSA!C262</f>
        <v>NA</v>
      </c>
      <c r="D262">
        <f>[2]sens_100_spec_10_PSA!D262</f>
        <v>1</v>
      </c>
      <c r="E262" s="1">
        <f>[2]sens_100_spec_10_PSA!E262</f>
        <v>0.1444</v>
      </c>
      <c r="F262" s="1">
        <f>[2]sens_100_spec_10_PSA!F262</f>
        <v>2.3800000000000002E-2</v>
      </c>
      <c r="G262" s="2">
        <f>[2]sens_100_spec_10_PSA!G262</f>
        <v>18.591614503927602</v>
      </c>
      <c r="H262" s="2">
        <f>[2]sens_100_spec_10_PSA!H262</f>
        <v>14.0830196452163</v>
      </c>
      <c r="I262" s="2">
        <f>[2]sens_100_spec_10_PSA!I262</f>
        <v>8.5339215771165602</v>
      </c>
      <c r="J262" s="3">
        <f>[2]sens_100_spec_10_PSA!J262</f>
        <v>193156.727183048</v>
      </c>
      <c r="K262" s="3">
        <f>[2]sens_100_spec_10_PSA!K262</f>
        <v>116798.231031023</v>
      </c>
      <c r="L262">
        <f>[2]sens_100_spec_10_PSA!L262</f>
        <v>1</v>
      </c>
      <c r="M262">
        <f>[2]sens_100_spec_10_PSA!M262</f>
        <v>0</v>
      </c>
    </row>
    <row r="263" spans="1:13" x14ac:dyDescent="0.25">
      <c r="A263">
        <f>[2]sens_100_spec_10_PSA!A263</f>
        <v>262</v>
      </c>
      <c r="B263">
        <f>[2]sens_100_spec_10_PSA!B263</f>
        <v>1</v>
      </c>
      <c r="C263" t="str">
        <f>[2]sens_100_spec_10_PSA!C263</f>
        <v>NA</v>
      </c>
      <c r="D263">
        <f>[2]sens_100_spec_10_PSA!D263</f>
        <v>1</v>
      </c>
      <c r="E263" s="1">
        <f>[2]sens_100_spec_10_PSA!E263</f>
        <v>0.214</v>
      </c>
      <c r="F263" s="1">
        <f>[2]sens_100_spec_10_PSA!F263</f>
        <v>2.4400000000000002E-2</v>
      </c>
      <c r="G263" s="2">
        <f>[2]sens_100_spec_10_PSA!G263</f>
        <v>17.590696728874601</v>
      </c>
      <c r="H263" s="2">
        <f>[2]sens_100_spec_10_PSA!H263</f>
        <v>13.012135718980799</v>
      </c>
      <c r="I263" s="2">
        <f>[2]sens_100_spec_10_PSA!I263</f>
        <v>7.8239550057220502</v>
      </c>
      <c r="J263" s="3">
        <f>[2]sens_100_spec_10_PSA!J263</f>
        <v>195271.94186754001</v>
      </c>
      <c r="K263" s="3">
        <f>[2]sens_100_spec_10_PSA!K263</f>
        <v>116422.745539467</v>
      </c>
      <c r="L263">
        <f>[2]sens_100_spec_10_PSA!L263</f>
        <v>1</v>
      </c>
      <c r="M263">
        <f>[2]sens_100_spec_10_PSA!M263</f>
        <v>0</v>
      </c>
    </row>
    <row r="264" spans="1:13" x14ac:dyDescent="0.25">
      <c r="A264">
        <f>[2]sens_100_spec_10_PSA!A264</f>
        <v>263</v>
      </c>
      <c r="B264">
        <f>[2]sens_100_spec_10_PSA!B264</f>
        <v>1</v>
      </c>
      <c r="C264" t="str">
        <f>[2]sens_100_spec_10_PSA!C264</f>
        <v>NA</v>
      </c>
      <c r="D264">
        <f>[2]sens_100_spec_10_PSA!D264</f>
        <v>1</v>
      </c>
      <c r="E264" s="1">
        <f>[2]sens_100_spec_10_PSA!E264</f>
        <v>0.12670000000000001</v>
      </c>
      <c r="F264" s="1">
        <f>[2]sens_100_spec_10_PSA!F264</f>
        <v>2.6800000000000001E-2</v>
      </c>
      <c r="G264" s="2">
        <f>[2]sens_100_spec_10_PSA!G264</f>
        <v>19.103932227025101</v>
      </c>
      <c r="H264" s="2">
        <f>[2]sens_100_spec_10_PSA!H264</f>
        <v>14.299393219008699</v>
      </c>
      <c r="I264" s="2">
        <f>[2]sens_100_spec_10_PSA!I264</f>
        <v>8.62106459966747</v>
      </c>
      <c r="J264" s="3">
        <f>[2]sens_100_spec_10_PSA!J264</f>
        <v>169140.03116086699</v>
      </c>
      <c r="K264" s="3">
        <f>[2]sens_100_spec_10_PSA!K264</f>
        <v>102608.442987036</v>
      </c>
      <c r="L264">
        <f>[2]sens_100_spec_10_PSA!L264</f>
        <v>1</v>
      </c>
      <c r="M264">
        <f>[2]sens_100_spec_10_PSA!M264</f>
        <v>0</v>
      </c>
    </row>
    <row r="265" spans="1:13" x14ac:dyDescent="0.25">
      <c r="A265">
        <f>[2]sens_100_spec_10_PSA!A265</f>
        <v>264</v>
      </c>
      <c r="B265">
        <f>[2]sens_100_spec_10_PSA!B265</f>
        <v>1</v>
      </c>
      <c r="C265" t="str">
        <f>[2]sens_100_spec_10_PSA!C265</f>
        <v>NA</v>
      </c>
      <c r="D265">
        <f>[2]sens_100_spec_10_PSA!D265</f>
        <v>1</v>
      </c>
      <c r="E265" s="1">
        <f>[2]sens_100_spec_10_PSA!E265</f>
        <v>0.12909999999999999</v>
      </c>
      <c r="F265" s="1">
        <f>[2]sens_100_spec_10_PSA!F265</f>
        <v>2.4199999999999999E-2</v>
      </c>
      <c r="G265" s="2">
        <f>[2]sens_100_spec_10_PSA!G265</f>
        <v>20.087031918332801</v>
      </c>
      <c r="H265" s="2">
        <f>[2]sens_100_spec_10_PSA!H265</f>
        <v>15.1905521221342</v>
      </c>
      <c r="I265" s="2">
        <f>[2]sens_100_spec_10_PSA!I265</f>
        <v>9.0232903015207206</v>
      </c>
      <c r="J265" s="3">
        <f>[2]sens_100_spec_10_PSA!J265</f>
        <v>206638.14314932399</v>
      </c>
      <c r="K265" s="3">
        <f>[2]sens_100_spec_10_PSA!K265</f>
        <v>121247.089384775</v>
      </c>
      <c r="L265">
        <f>[2]sens_100_spec_10_PSA!L265</f>
        <v>1</v>
      </c>
      <c r="M265">
        <f>[2]sens_100_spec_10_PSA!M265</f>
        <v>0</v>
      </c>
    </row>
    <row r="266" spans="1:13" x14ac:dyDescent="0.25">
      <c r="A266">
        <f>[2]sens_100_spec_10_PSA!A266</f>
        <v>265</v>
      </c>
      <c r="B266">
        <f>[2]sens_100_spec_10_PSA!B266</f>
        <v>1</v>
      </c>
      <c r="C266" t="str">
        <f>[2]sens_100_spec_10_PSA!C266</f>
        <v>NA</v>
      </c>
      <c r="D266">
        <f>[2]sens_100_spec_10_PSA!D266</f>
        <v>1</v>
      </c>
      <c r="E266" s="1">
        <f>[2]sens_100_spec_10_PSA!E266</f>
        <v>0.26019999999999999</v>
      </c>
      <c r="F266" s="1">
        <f>[2]sens_100_spec_10_PSA!F266</f>
        <v>2.2800000000000001E-2</v>
      </c>
      <c r="G266" s="2">
        <f>[2]sens_100_spec_10_PSA!G266</f>
        <v>17.2213289294878</v>
      </c>
      <c r="H266" s="2">
        <f>[2]sens_100_spec_10_PSA!H266</f>
        <v>11.6364355785049</v>
      </c>
      <c r="I266" s="2">
        <f>[2]sens_100_spec_10_PSA!I266</f>
        <v>6.9263780960122396</v>
      </c>
      <c r="J266" s="3">
        <f>[2]sens_100_spec_10_PSA!J266</f>
        <v>199263.639601334</v>
      </c>
      <c r="K266" s="3">
        <f>[2]sens_100_spec_10_PSA!K266</f>
        <v>117022.584375972</v>
      </c>
      <c r="L266">
        <f>[2]sens_100_spec_10_PSA!L266</f>
        <v>1</v>
      </c>
      <c r="M266">
        <f>[2]sens_100_spec_10_PSA!M266</f>
        <v>0</v>
      </c>
    </row>
    <row r="267" spans="1:13" x14ac:dyDescent="0.25">
      <c r="A267">
        <f>[2]sens_100_spec_10_PSA!A267</f>
        <v>266</v>
      </c>
      <c r="B267">
        <f>[2]sens_100_spec_10_PSA!B267</f>
        <v>1</v>
      </c>
      <c r="C267" t="str">
        <f>[2]sens_100_spec_10_PSA!C267</f>
        <v>NA</v>
      </c>
      <c r="D267">
        <f>[2]sens_100_spec_10_PSA!D267</f>
        <v>1</v>
      </c>
      <c r="E267" s="1">
        <f>[2]sens_100_spec_10_PSA!E267</f>
        <v>0.1714</v>
      </c>
      <c r="F267" s="1">
        <f>[2]sens_100_spec_10_PSA!F267</f>
        <v>2.9100000000000001E-2</v>
      </c>
      <c r="G267" s="2">
        <f>[2]sens_100_spec_10_PSA!G267</f>
        <v>18.295791732188999</v>
      </c>
      <c r="H267" s="2">
        <f>[2]sens_100_spec_10_PSA!H267</f>
        <v>14.483567444054099</v>
      </c>
      <c r="I267" s="2">
        <f>[2]sens_100_spec_10_PSA!I267</f>
        <v>8.7374254411900196</v>
      </c>
      <c r="J267" s="3">
        <f>[2]sens_100_spec_10_PSA!J267</f>
        <v>204062.919316866</v>
      </c>
      <c r="K267" s="3">
        <f>[2]sens_100_spec_10_PSA!K267</f>
        <v>121823.9549859</v>
      </c>
      <c r="L267">
        <f>[2]sens_100_spec_10_PSA!L267</f>
        <v>1</v>
      </c>
      <c r="M267">
        <f>[2]sens_100_spec_10_PSA!M267</f>
        <v>0</v>
      </c>
    </row>
    <row r="268" spans="1:13" x14ac:dyDescent="0.25">
      <c r="A268">
        <f>[2]sens_100_spec_10_PSA!A268</f>
        <v>267</v>
      </c>
      <c r="B268">
        <f>[2]sens_100_spec_10_PSA!B268</f>
        <v>1</v>
      </c>
      <c r="C268" t="str">
        <f>[2]sens_100_spec_10_PSA!C268</f>
        <v>NA</v>
      </c>
      <c r="D268">
        <f>[2]sens_100_spec_10_PSA!D268</f>
        <v>1</v>
      </c>
      <c r="E268" s="1">
        <f>[2]sens_100_spec_10_PSA!E268</f>
        <v>0.16059999999999999</v>
      </c>
      <c r="F268" s="1">
        <f>[2]sens_100_spec_10_PSA!F268</f>
        <v>2.0299999999999999E-2</v>
      </c>
      <c r="G268" s="2">
        <f>[2]sens_100_spec_10_PSA!G268</f>
        <v>19.265848521270598</v>
      </c>
      <c r="H268" s="2">
        <f>[2]sens_100_spec_10_PSA!H268</f>
        <v>13.210931155238701</v>
      </c>
      <c r="I268" s="2">
        <f>[2]sens_100_spec_10_PSA!I268</f>
        <v>7.8780694588775804</v>
      </c>
      <c r="J268" s="3">
        <f>[2]sens_100_spec_10_PSA!J268</f>
        <v>189541.83765783801</v>
      </c>
      <c r="K268" s="3">
        <f>[2]sens_100_spec_10_PSA!K268</f>
        <v>112533.30632107799</v>
      </c>
      <c r="L268">
        <f>[2]sens_100_spec_10_PSA!L268</f>
        <v>1</v>
      </c>
      <c r="M268">
        <f>[2]sens_100_spec_10_PSA!M268</f>
        <v>0</v>
      </c>
    </row>
    <row r="269" spans="1:13" x14ac:dyDescent="0.25">
      <c r="A269">
        <f>[2]sens_100_spec_10_PSA!A269</f>
        <v>268</v>
      </c>
      <c r="B269">
        <f>[2]sens_100_spec_10_PSA!B269</f>
        <v>1</v>
      </c>
      <c r="C269" t="str">
        <f>[2]sens_100_spec_10_PSA!C269</f>
        <v>NA</v>
      </c>
      <c r="D269">
        <f>[2]sens_100_spec_10_PSA!D269</f>
        <v>1</v>
      </c>
      <c r="E269" s="1">
        <f>[2]sens_100_spec_10_PSA!E269</f>
        <v>0.1132</v>
      </c>
      <c r="F269" s="1">
        <f>[2]sens_100_spec_10_PSA!F269</f>
        <v>2.7199999999999998E-2</v>
      </c>
      <c r="G269" s="2">
        <f>[2]sens_100_spec_10_PSA!G269</f>
        <v>19.815867442150399</v>
      </c>
      <c r="H269" s="2">
        <f>[2]sens_100_spec_10_PSA!H269</f>
        <v>15.6405783932664</v>
      </c>
      <c r="I269" s="2">
        <f>[2]sens_100_spec_10_PSA!I269</f>
        <v>9.3611143388001601</v>
      </c>
      <c r="J269" s="3">
        <f>[2]sens_100_spec_10_PSA!J269</f>
        <v>243611.67839126399</v>
      </c>
      <c r="K269" s="3">
        <f>[2]sens_100_spec_10_PSA!K269</f>
        <v>143274.49218471599</v>
      </c>
      <c r="L269">
        <f>[2]sens_100_spec_10_PSA!L269</f>
        <v>1</v>
      </c>
      <c r="M269">
        <f>[2]sens_100_spec_10_PSA!M269</f>
        <v>0</v>
      </c>
    </row>
    <row r="270" spans="1:13" x14ac:dyDescent="0.25">
      <c r="A270">
        <f>[2]sens_100_spec_10_PSA!A270</f>
        <v>269</v>
      </c>
      <c r="B270">
        <f>[2]sens_100_spec_10_PSA!B270</f>
        <v>1</v>
      </c>
      <c r="C270" t="str">
        <f>[2]sens_100_spec_10_PSA!C270</f>
        <v>NA</v>
      </c>
      <c r="D270">
        <f>[2]sens_100_spec_10_PSA!D270</f>
        <v>1</v>
      </c>
      <c r="E270" s="1">
        <f>[2]sens_100_spec_10_PSA!E270</f>
        <v>0.12690000000000001</v>
      </c>
      <c r="F270" s="1">
        <f>[2]sens_100_spec_10_PSA!F270</f>
        <v>2.9700000000000001E-2</v>
      </c>
      <c r="G270" s="2">
        <f>[2]sens_100_spec_10_PSA!G270</f>
        <v>19.6401412610326</v>
      </c>
      <c r="H270" s="2">
        <f>[2]sens_100_spec_10_PSA!H270</f>
        <v>11.206179262289799</v>
      </c>
      <c r="I270" s="2">
        <f>[2]sens_100_spec_10_PSA!I270</f>
        <v>6.6918421170478197</v>
      </c>
      <c r="J270" s="3">
        <f>[2]sens_100_spec_10_PSA!J270</f>
        <v>198671.61256714401</v>
      </c>
      <c r="K270" s="3">
        <f>[2]sens_100_spec_10_PSA!K270</f>
        <v>117787.891102443</v>
      </c>
      <c r="L270">
        <f>[2]sens_100_spec_10_PSA!L270</f>
        <v>1</v>
      </c>
      <c r="M270">
        <f>[2]sens_100_spec_10_PSA!M270</f>
        <v>0</v>
      </c>
    </row>
    <row r="271" spans="1:13" x14ac:dyDescent="0.25">
      <c r="A271">
        <f>[2]sens_100_spec_10_PSA!A271</f>
        <v>270</v>
      </c>
      <c r="B271">
        <f>[2]sens_100_spec_10_PSA!B271</f>
        <v>1</v>
      </c>
      <c r="C271" t="str">
        <f>[2]sens_100_spec_10_PSA!C271</f>
        <v>NA</v>
      </c>
      <c r="D271">
        <f>[2]sens_100_spec_10_PSA!D271</f>
        <v>1</v>
      </c>
      <c r="E271" s="1">
        <f>[2]sens_100_spec_10_PSA!E271</f>
        <v>0.13139999999999999</v>
      </c>
      <c r="F271" s="1">
        <f>[2]sens_100_spec_10_PSA!F271</f>
        <v>2.6200000000000001E-2</v>
      </c>
      <c r="G271" s="2">
        <f>[2]sens_100_spec_10_PSA!G271</f>
        <v>19.425374805239699</v>
      </c>
      <c r="H271" s="2">
        <f>[2]sens_100_spec_10_PSA!H271</f>
        <v>13.7453583841453</v>
      </c>
      <c r="I271" s="2">
        <f>[2]sens_100_spec_10_PSA!I271</f>
        <v>8.2355883274446793</v>
      </c>
      <c r="J271" s="3">
        <f>[2]sens_100_spec_10_PSA!J271</f>
        <v>199025.170760215</v>
      </c>
      <c r="K271" s="3">
        <f>[2]sens_100_spec_10_PSA!K271</f>
        <v>118390.47816630499</v>
      </c>
      <c r="L271">
        <f>[2]sens_100_spec_10_PSA!L271</f>
        <v>1</v>
      </c>
      <c r="M271">
        <f>[2]sens_100_spec_10_PSA!M271</f>
        <v>0</v>
      </c>
    </row>
    <row r="272" spans="1:13" x14ac:dyDescent="0.25">
      <c r="A272">
        <f>[2]sens_100_spec_10_PSA!A272</f>
        <v>271</v>
      </c>
      <c r="B272">
        <f>[2]sens_100_spec_10_PSA!B272</f>
        <v>1</v>
      </c>
      <c r="C272" t="str">
        <f>[2]sens_100_spec_10_PSA!C272</f>
        <v>NA</v>
      </c>
      <c r="D272">
        <f>[2]sens_100_spec_10_PSA!D272</f>
        <v>1</v>
      </c>
      <c r="E272" s="1">
        <f>[2]sens_100_spec_10_PSA!E272</f>
        <v>0.19789999999999999</v>
      </c>
      <c r="F272" s="1">
        <f>[2]sens_100_spec_10_PSA!F272</f>
        <v>0.03</v>
      </c>
      <c r="G272" s="2">
        <f>[2]sens_100_spec_10_PSA!G272</f>
        <v>18.946998657256898</v>
      </c>
      <c r="H272" s="2">
        <f>[2]sens_100_spec_10_PSA!H272</f>
        <v>12.6842173729862</v>
      </c>
      <c r="I272" s="2">
        <f>[2]sens_100_spec_10_PSA!I272</f>
        <v>7.4860808499507199</v>
      </c>
      <c r="J272" s="3">
        <f>[2]sens_100_spec_10_PSA!J272</f>
        <v>219055.23420285399</v>
      </c>
      <c r="K272" s="3">
        <f>[2]sens_100_spec_10_PSA!K272</f>
        <v>127047.84906978899</v>
      </c>
      <c r="L272">
        <f>[2]sens_100_spec_10_PSA!L272</f>
        <v>1</v>
      </c>
      <c r="M272">
        <f>[2]sens_100_spec_10_PSA!M272</f>
        <v>0</v>
      </c>
    </row>
    <row r="273" spans="1:13" x14ac:dyDescent="0.25">
      <c r="A273">
        <f>[2]sens_100_spec_10_PSA!A273</f>
        <v>272</v>
      </c>
      <c r="B273">
        <f>[2]sens_100_spec_10_PSA!B273</f>
        <v>1</v>
      </c>
      <c r="C273" t="str">
        <f>[2]sens_100_spec_10_PSA!C273</f>
        <v>NA</v>
      </c>
      <c r="D273">
        <f>[2]sens_100_spec_10_PSA!D273</f>
        <v>1</v>
      </c>
      <c r="E273" s="1">
        <f>[2]sens_100_spec_10_PSA!E273</f>
        <v>0.11940000000000001</v>
      </c>
      <c r="F273" s="1">
        <f>[2]sens_100_spec_10_PSA!F273</f>
        <v>2.0899999999999998E-2</v>
      </c>
      <c r="G273" s="2">
        <f>[2]sens_100_spec_10_PSA!G273</f>
        <v>19.947853879799698</v>
      </c>
      <c r="H273" s="2">
        <f>[2]sens_100_spec_10_PSA!H273</f>
        <v>15.463059458194699</v>
      </c>
      <c r="I273" s="2">
        <f>[2]sens_100_spec_10_PSA!I273</f>
        <v>9.2539587562619392</v>
      </c>
      <c r="J273" s="3">
        <f>[2]sens_100_spec_10_PSA!J273</f>
        <v>249081.54099984499</v>
      </c>
      <c r="K273" s="3">
        <f>[2]sens_100_spec_10_PSA!K273</f>
        <v>146366.546919694</v>
      </c>
      <c r="L273">
        <f>[2]sens_100_spec_10_PSA!L273</f>
        <v>1</v>
      </c>
      <c r="M273">
        <f>[2]sens_100_spec_10_PSA!M273</f>
        <v>0</v>
      </c>
    </row>
    <row r="274" spans="1:13" x14ac:dyDescent="0.25">
      <c r="A274">
        <f>[2]sens_100_spec_10_PSA!A274</f>
        <v>273</v>
      </c>
      <c r="B274">
        <f>[2]sens_100_spec_10_PSA!B274</f>
        <v>1</v>
      </c>
      <c r="C274" t="str">
        <f>[2]sens_100_spec_10_PSA!C274</f>
        <v>NA</v>
      </c>
      <c r="D274">
        <f>[2]sens_100_spec_10_PSA!D274</f>
        <v>1</v>
      </c>
      <c r="E274" s="1">
        <f>[2]sens_100_spec_10_PSA!E274</f>
        <v>8.8300000000000003E-2</v>
      </c>
      <c r="F274" s="1">
        <f>[2]sens_100_spec_10_PSA!F274</f>
        <v>3.0200000000000001E-2</v>
      </c>
      <c r="G274" s="2">
        <f>[2]sens_100_spec_10_PSA!G274</f>
        <v>20.523215709304498</v>
      </c>
      <c r="H274" s="2">
        <f>[2]sens_100_spec_10_PSA!H274</f>
        <v>14.712117189636301</v>
      </c>
      <c r="I274" s="2">
        <f>[2]sens_100_spec_10_PSA!I274</f>
        <v>8.8110626054706103</v>
      </c>
      <c r="J274" s="3">
        <f>[2]sens_100_spec_10_PSA!J274</f>
        <v>220039.77626808899</v>
      </c>
      <c r="K274" s="3">
        <f>[2]sens_100_spec_10_PSA!K274</f>
        <v>130267.545715517</v>
      </c>
      <c r="L274">
        <f>[2]sens_100_spec_10_PSA!L274</f>
        <v>1</v>
      </c>
      <c r="M274">
        <f>[2]sens_100_spec_10_PSA!M274</f>
        <v>0</v>
      </c>
    </row>
    <row r="275" spans="1:13" x14ac:dyDescent="0.25">
      <c r="A275">
        <f>[2]sens_100_spec_10_PSA!A275</f>
        <v>274</v>
      </c>
      <c r="B275">
        <f>[2]sens_100_spec_10_PSA!B275</f>
        <v>1</v>
      </c>
      <c r="C275" t="str">
        <f>[2]sens_100_spec_10_PSA!C275</f>
        <v>NA</v>
      </c>
      <c r="D275">
        <f>[2]sens_100_spec_10_PSA!D275</f>
        <v>1</v>
      </c>
      <c r="E275" s="1">
        <f>[2]sens_100_spec_10_PSA!E275</f>
        <v>0.25359999999999999</v>
      </c>
      <c r="F275" s="1">
        <f>[2]sens_100_spec_10_PSA!F275</f>
        <v>1.9800000000000002E-2</v>
      </c>
      <c r="G275" s="2">
        <f>[2]sens_100_spec_10_PSA!G275</f>
        <v>17.711695159437799</v>
      </c>
      <c r="H275" s="2">
        <f>[2]sens_100_spec_10_PSA!H275</f>
        <v>14.269642608839099</v>
      </c>
      <c r="I275" s="2">
        <f>[2]sens_100_spec_10_PSA!I275</f>
        <v>8.4997116955693404</v>
      </c>
      <c r="J275" s="3">
        <f>[2]sens_100_spec_10_PSA!J275</f>
        <v>188382.746104725</v>
      </c>
      <c r="K275" s="3">
        <f>[2]sens_100_spec_10_PSA!K275</f>
        <v>111306.622643824</v>
      </c>
      <c r="L275">
        <f>[2]sens_100_spec_10_PSA!L275</f>
        <v>1</v>
      </c>
      <c r="M275">
        <f>[2]sens_100_spec_10_PSA!M275</f>
        <v>0</v>
      </c>
    </row>
    <row r="276" spans="1:13" x14ac:dyDescent="0.25">
      <c r="A276">
        <f>[2]sens_100_spec_10_PSA!A276</f>
        <v>275</v>
      </c>
      <c r="B276">
        <f>[2]sens_100_spec_10_PSA!B276</f>
        <v>1</v>
      </c>
      <c r="C276" t="str">
        <f>[2]sens_100_spec_10_PSA!C276</f>
        <v>NA</v>
      </c>
      <c r="D276">
        <f>[2]sens_100_spec_10_PSA!D276</f>
        <v>1</v>
      </c>
      <c r="E276" s="1">
        <f>[2]sens_100_spec_10_PSA!E276</f>
        <v>0.16539999999999999</v>
      </c>
      <c r="F276" s="1">
        <f>[2]sens_100_spec_10_PSA!F276</f>
        <v>2.5600000000000001E-2</v>
      </c>
      <c r="G276" s="2">
        <f>[2]sens_100_spec_10_PSA!G276</f>
        <v>18.584229695257601</v>
      </c>
      <c r="H276" s="2">
        <f>[2]sens_100_spec_10_PSA!H276</f>
        <v>11.17384346783</v>
      </c>
      <c r="I276" s="2">
        <f>[2]sens_100_spec_10_PSA!I276</f>
        <v>6.7189017022545601</v>
      </c>
      <c r="J276" s="3">
        <f>[2]sens_100_spec_10_PSA!J276</f>
        <v>201684.51852264101</v>
      </c>
      <c r="K276" s="3">
        <f>[2]sens_100_spec_10_PSA!K276</f>
        <v>120331.86159165</v>
      </c>
      <c r="L276">
        <f>[2]sens_100_spec_10_PSA!L276</f>
        <v>1</v>
      </c>
      <c r="M276">
        <f>[2]sens_100_spec_10_PSA!M276</f>
        <v>0</v>
      </c>
    </row>
    <row r="277" spans="1:13" x14ac:dyDescent="0.25">
      <c r="A277">
        <f>[2]sens_100_spec_10_PSA!A277</f>
        <v>276</v>
      </c>
      <c r="B277">
        <f>[2]sens_100_spec_10_PSA!B277</f>
        <v>1</v>
      </c>
      <c r="C277" t="str">
        <f>[2]sens_100_spec_10_PSA!C277</f>
        <v>NA</v>
      </c>
      <c r="D277">
        <f>[2]sens_100_spec_10_PSA!D277</f>
        <v>1</v>
      </c>
      <c r="E277" s="1">
        <f>[2]sens_100_spec_10_PSA!E277</f>
        <v>0.255</v>
      </c>
      <c r="F277" s="1">
        <f>[2]sens_100_spec_10_PSA!F277</f>
        <v>1.6299999999999999E-2</v>
      </c>
      <c r="G277" s="2">
        <f>[2]sens_100_spec_10_PSA!G277</f>
        <v>16.712171475168098</v>
      </c>
      <c r="H277" s="2">
        <f>[2]sens_100_spec_10_PSA!H277</f>
        <v>11.832347099658801</v>
      </c>
      <c r="I277" s="2">
        <f>[2]sens_100_spec_10_PSA!I277</f>
        <v>7.1324848976169397</v>
      </c>
      <c r="J277" s="3">
        <f>[2]sens_100_spec_10_PSA!J277</f>
        <v>168930.732463964</v>
      </c>
      <c r="K277" s="3">
        <f>[2]sens_100_spec_10_PSA!K277</f>
        <v>102178.007758928</v>
      </c>
      <c r="L277">
        <f>[2]sens_100_spec_10_PSA!L277</f>
        <v>1</v>
      </c>
      <c r="M277">
        <f>[2]sens_100_spec_10_PSA!M277</f>
        <v>0</v>
      </c>
    </row>
    <row r="278" spans="1:13" x14ac:dyDescent="0.25">
      <c r="A278">
        <f>[2]sens_100_spec_10_PSA!A278</f>
        <v>277</v>
      </c>
      <c r="B278">
        <f>[2]sens_100_spec_10_PSA!B278</f>
        <v>1</v>
      </c>
      <c r="C278" t="str">
        <f>[2]sens_100_spec_10_PSA!C278</f>
        <v>NA</v>
      </c>
      <c r="D278">
        <f>[2]sens_100_spec_10_PSA!D278</f>
        <v>1</v>
      </c>
      <c r="E278" s="1">
        <f>[2]sens_100_spec_10_PSA!E278</f>
        <v>0.2666</v>
      </c>
      <c r="F278" s="1">
        <f>[2]sens_100_spec_10_PSA!F278</f>
        <v>2.4199999999999999E-2</v>
      </c>
      <c r="G278" s="2">
        <f>[2]sens_100_spec_10_PSA!G278</f>
        <v>16.444385033359499</v>
      </c>
      <c r="H278" s="2">
        <f>[2]sens_100_spec_10_PSA!H278</f>
        <v>12.721123755807801</v>
      </c>
      <c r="I278" s="2">
        <f>[2]sens_100_spec_10_PSA!I278</f>
        <v>7.67497124681661</v>
      </c>
      <c r="J278" s="3">
        <f>[2]sens_100_spec_10_PSA!J278</f>
        <v>177300.11506094399</v>
      </c>
      <c r="K278" s="3">
        <f>[2]sens_100_spec_10_PSA!K278</f>
        <v>106638.667671759</v>
      </c>
      <c r="L278">
        <f>[2]sens_100_spec_10_PSA!L278</f>
        <v>1</v>
      </c>
      <c r="M278">
        <f>[2]sens_100_spec_10_PSA!M278</f>
        <v>0</v>
      </c>
    </row>
    <row r="279" spans="1:13" x14ac:dyDescent="0.25">
      <c r="A279">
        <f>[2]sens_100_spec_10_PSA!A279</f>
        <v>278</v>
      </c>
      <c r="B279">
        <f>[2]sens_100_spec_10_PSA!B279</f>
        <v>1</v>
      </c>
      <c r="C279" t="str">
        <f>[2]sens_100_spec_10_PSA!C279</f>
        <v>NA</v>
      </c>
      <c r="D279">
        <f>[2]sens_100_spec_10_PSA!D279</f>
        <v>1</v>
      </c>
      <c r="E279" s="1">
        <f>[2]sens_100_spec_10_PSA!E279</f>
        <v>0.1404</v>
      </c>
      <c r="F279" s="1">
        <f>[2]sens_100_spec_10_PSA!F279</f>
        <v>2.58E-2</v>
      </c>
      <c r="G279" s="2">
        <f>[2]sens_100_spec_10_PSA!G279</f>
        <v>19.487512260639601</v>
      </c>
      <c r="H279" s="2">
        <f>[2]sens_100_spec_10_PSA!H279</f>
        <v>13.157838415079199</v>
      </c>
      <c r="I279" s="2">
        <f>[2]sens_100_spec_10_PSA!I279</f>
        <v>7.8539668033529697</v>
      </c>
      <c r="J279" s="3">
        <f>[2]sens_100_spec_10_PSA!J279</f>
        <v>243771.50731830799</v>
      </c>
      <c r="K279" s="3">
        <f>[2]sens_100_spec_10_PSA!K279</f>
        <v>142592.975983763</v>
      </c>
      <c r="L279">
        <f>[2]sens_100_spec_10_PSA!L279</f>
        <v>1</v>
      </c>
      <c r="M279">
        <f>[2]sens_100_spec_10_PSA!M279</f>
        <v>0</v>
      </c>
    </row>
    <row r="280" spans="1:13" x14ac:dyDescent="0.25">
      <c r="A280">
        <f>[2]sens_100_spec_10_PSA!A280</f>
        <v>279</v>
      </c>
      <c r="B280">
        <f>[2]sens_100_spec_10_PSA!B280</f>
        <v>1</v>
      </c>
      <c r="C280" t="str">
        <f>[2]sens_100_spec_10_PSA!C280</f>
        <v>NA</v>
      </c>
      <c r="D280">
        <f>[2]sens_100_spec_10_PSA!D280</f>
        <v>1</v>
      </c>
      <c r="E280" s="1">
        <f>[2]sens_100_spec_10_PSA!E280</f>
        <v>0.1014</v>
      </c>
      <c r="F280" s="1">
        <f>[2]sens_100_spec_10_PSA!F280</f>
        <v>2.9399999999999999E-2</v>
      </c>
      <c r="G280" s="2">
        <f>[2]sens_100_spec_10_PSA!G280</f>
        <v>20.5187074729157</v>
      </c>
      <c r="H280" s="2">
        <f>[2]sens_100_spec_10_PSA!H280</f>
        <v>15.7409102665421</v>
      </c>
      <c r="I280" s="2">
        <f>[2]sens_100_spec_10_PSA!I280</f>
        <v>9.3600045761185005</v>
      </c>
      <c r="J280" s="3">
        <f>[2]sens_100_spec_10_PSA!J280</f>
        <v>195830.29338578801</v>
      </c>
      <c r="K280" s="3">
        <f>[2]sens_100_spec_10_PSA!K280</f>
        <v>115888.776905516</v>
      </c>
      <c r="L280">
        <f>[2]sens_100_spec_10_PSA!L280</f>
        <v>1</v>
      </c>
      <c r="M280">
        <f>[2]sens_100_spec_10_PSA!M280</f>
        <v>0</v>
      </c>
    </row>
    <row r="281" spans="1:13" x14ac:dyDescent="0.25">
      <c r="A281">
        <f>[2]sens_100_spec_10_PSA!A281</f>
        <v>280</v>
      </c>
      <c r="B281">
        <f>[2]sens_100_spec_10_PSA!B281</f>
        <v>1</v>
      </c>
      <c r="C281" t="str">
        <f>[2]sens_100_spec_10_PSA!C281</f>
        <v>NA</v>
      </c>
      <c r="D281">
        <f>[2]sens_100_spec_10_PSA!D281</f>
        <v>1</v>
      </c>
      <c r="E281" s="1">
        <f>[2]sens_100_spec_10_PSA!E281</f>
        <v>9.9699999999999997E-2</v>
      </c>
      <c r="F281" s="1">
        <f>[2]sens_100_spec_10_PSA!F281</f>
        <v>2.64E-2</v>
      </c>
      <c r="G281" s="2">
        <f>[2]sens_100_spec_10_PSA!G281</f>
        <v>21.164090375137899</v>
      </c>
      <c r="H281" s="2">
        <f>[2]sens_100_spec_10_PSA!H281</f>
        <v>15.694610138312401</v>
      </c>
      <c r="I281" s="2">
        <f>[2]sens_100_spec_10_PSA!I281</f>
        <v>9.2492031844716998</v>
      </c>
      <c r="J281" s="3">
        <f>[2]sens_100_spec_10_PSA!J281</f>
        <v>281046.82885273901</v>
      </c>
      <c r="K281" s="3">
        <f>[2]sens_100_spec_10_PSA!K281</f>
        <v>161164.72979166801</v>
      </c>
      <c r="L281">
        <f>[2]sens_100_spec_10_PSA!L281</f>
        <v>1</v>
      </c>
      <c r="M281">
        <f>[2]sens_100_spec_10_PSA!M281</f>
        <v>0</v>
      </c>
    </row>
    <row r="282" spans="1:13" x14ac:dyDescent="0.25">
      <c r="A282">
        <f>[2]sens_100_spec_10_PSA!A282</f>
        <v>281</v>
      </c>
      <c r="B282">
        <f>[2]sens_100_spec_10_PSA!B282</f>
        <v>1</v>
      </c>
      <c r="C282" t="str">
        <f>[2]sens_100_spec_10_PSA!C282</f>
        <v>NA</v>
      </c>
      <c r="D282">
        <f>[2]sens_100_spec_10_PSA!D282</f>
        <v>1</v>
      </c>
      <c r="E282" s="1">
        <f>[2]sens_100_spec_10_PSA!E282</f>
        <v>0.1142</v>
      </c>
      <c r="F282" s="1">
        <f>[2]sens_100_spec_10_PSA!F282</f>
        <v>2.75E-2</v>
      </c>
      <c r="G282" s="2">
        <f>[2]sens_100_spec_10_PSA!G282</f>
        <v>20.0295890832558</v>
      </c>
      <c r="H282" s="2">
        <f>[2]sens_100_spec_10_PSA!H282</f>
        <v>13.518828013692501</v>
      </c>
      <c r="I282" s="2">
        <f>[2]sens_100_spec_10_PSA!I282</f>
        <v>8.0448995739123692</v>
      </c>
      <c r="J282" s="3">
        <f>[2]sens_100_spec_10_PSA!J282</f>
        <v>203813.624414247</v>
      </c>
      <c r="K282" s="3">
        <f>[2]sens_100_spec_10_PSA!K282</f>
        <v>120014.438996593</v>
      </c>
      <c r="L282">
        <f>[2]sens_100_spec_10_PSA!L282</f>
        <v>1</v>
      </c>
      <c r="M282">
        <f>[2]sens_100_spec_10_PSA!M282</f>
        <v>0</v>
      </c>
    </row>
    <row r="283" spans="1:13" x14ac:dyDescent="0.25">
      <c r="A283">
        <f>[2]sens_100_spec_10_PSA!A283</f>
        <v>282</v>
      </c>
      <c r="B283">
        <f>[2]sens_100_spec_10_PSA!B283</f>
        <v>1</v>
      </c>
      <c r="C283" t="str">
        <f>[2]sens_100_spec_10_PSA!C283</f>
        <v>NA</v>
      </c>
      <c r="D283">
        <f>[2]sens_100_spec_10_PSA!D283</f>
        <v>1</v>
      </c>
      <c r="E283" s="1">
        <f>[2]sens_100_spec_10_PSA!E283</f>
        <v>0.16209999999999999</v>
      </c>
      <c r="F283" s="1">
        <f>[2]sens_100_spec_10_PSA!F283</f>
        <v>2.23E-2</v>
      </c>
      <c r="G283" s="2">
        <f>[2]sens_100_spec_10_PSA!G283</f>
        <v>19.645688072645001</v>
      </c>
      <c r="H283" s="2">
        <f>[2]sens_100_spec_10_PSA!H283</f>
        <v>13.273822156591599</v>
      </c>
      <c r="I283" s="2">
        <f>[2]sens_100_spec_10_PSA!I283</f>
        <v>7.8568940806552199</v>
      </c>
      <c r="J283" s="3">
        <f>[2]sens_100_spec_10_PSA!J283</f>
        <v>192785.85351860401</v>
      </c>
      <c r="K283" s="3">
        <f>[2]sens_100_spec_10_PSA!K283</f>
        <v>113411.07196960101</v>
      </c>
      <c r="L283">
        <f>[2]sens_100_spec_10_PSA!L283</f>
        <v>1</v>
      </c>
      <c r="M283">
        <f>[2]sens_100_spec_10_PSA!M283</f>
        <v>0</v>
      </c>
    </row>
    <row r="284" spans="1:13" x14ac:dyDescent="0.25">
      <c r="A284">
        <f>[2]sens_100_spec_10_PSA!A284</f>
        <v>283</v>
      </c>
      <c r="B284">
        <f>[2]sens_100_spec_10_PSA!B284</f>
        <v>1</v>
      </c>
      <c r="C284" t="str">
        <f>[2]sens_100_spec_10_PSA!C284</f>
        <v>NA</v>
      </c>
      <c r="D284">
        <f>[2]sens_100_spec_10_PSA!D284</f>
        <v>1</v>
      </c>
      <c r="E284" s="1">
        <f>[2]sens_100_spec_10_PSA!E284</f>
        <v>0.10970000000000001</v>
      </c>
      <c r="F284" s="1">
        <f>[2]sens_100_spec_10_PSA!F284</f>
        <v>2.76E-2</v>
      </c>
      <c r="G284" s="2">
        <f>[2]sens_100_spec_10_PSA!G284</f>
        <v>19.829446919692401</v>
      </c>
      <c r="H284" s="2">
        <f>[2]sens_100_spec_10_PSA!H284</f>
        <v>13.899630084977</v>
      </c>
      <c r="I284" s="2">
        <f>[2]sens_100_spec_10_PSA!I284</f>
        <v>8.3116217418728997</v>
      </c>
      <c r="J284" s="3">
        <f>[2]sens_100_spec_10_PSA!J284</f>
        <v>215287.10732872901</v>
      </c>
      <c r="K284" s="3">
        <f>[2]sens_100_spec_10_PSA!K284</f>
        <v>127240.42585662501</v>
      </c>
      <c r="L284">
        <f>[2]sens_100_spec_10_PSA!L284</f>
        <v>1</v>
      </c>
      <c r="M284">
        <f>[2]sens_100_spec_10_PSA!M284</f>
        <v>0</v>
      </c>
    </row>
    <row r="285" spans="1:13" x14ac:dyDescent="0.25">
      <c r="A285">
        <f>[2]sens_100_spec_10_PSA!A285</f>
        <v>284</v>
      </c>
      <c r="B285">
        <f>[2]sens_100_spec_10_PSA!B285</f>
        <v>1</v>
      </c>
      <c r="C285" t="str">
        <f>[2]sens_100_spec_10_PSA!C285</f>
        <v>NA</v>
      </c>
      <c r="D285">
        <f>[2]sens_100_spec_10_PSA!D285</f>
        <v>1</v>
      </c>
      <c r="E285" s="1">
        <f>[2]sens_100_spec_10_PSA!E285</f>
        <v>0.12859999999999999</v>
      </c>
      <c r="F285" s="1">
        <f>[2]sens_100_spec_10_PSA!F285</f>
        <v>2.3E-2</v>
      </c>
      <c r="G285" s="2">
        <f>[2]sens_100_spec_10_PSA!G285</f>
        <v>19.370566952751901</v>
      </c>
      <c r="H285" s="2">
        <f>[2]sens_100_spec_10_PSA!H285</f>
        <v>14.7999337489904</v>
      </c>
      <c r="I285" s="2">
        <f>[2]sens_100_spec_10_PSA!I285</f>
        <v>8.8726851499139503</v>
      </c>
      <c r="J285" s="3">
        <f>[2]sens_100_spec_10_PSA!J285</f>
        <v>300422.80264283699</v>
      </c>
      <c r="K285" s="3">
        <f>[2]sens_100_spec_10_PSA!K285</f>
        <v>175268.49332777201</v>
      </c>
      <c r="L285">
        <f>[2]sens_100_spec_10_PSA!L285</f>
        <v>1</v>
      </c>
      <c r="M285">
        <f>[2]sens_100_spec_10_PSA!M285</f>
        <v>0</v>
      </c>
    </row>
    <row r="286" spans="1:13" x14ac:dyDescent="0.25">
      <c r="A286">
        <f>[2]sens_100_spec_10_PSA!A286</f>
        <v>285</v>
      </c>
      <c r="B286">
        <f>[2]sens_100_spec_10_PSA!B286</f>
        <v>1</v>
      </c>
      <c r="C286" t="str">
        <f>[2]sens_100_spec_10_PSA!C286</f>
        <v>NA</v>
      </c>
      <c r="D286">
        <f>[2]sens_100_spec_10_PSA!D286</f>
        <v>1</v>
      </c>
      <c r="E286" s="1">
        <f>[2]sens_100_spec_10_PSA!E286</f>
        <v>0.16830000000000001</v>
      </c>
      <c r="F286" s="1">
        <f>[2]sens_100_spec_10_PSA!F286</f>
        <v>2.47E-2</v>
      </c>
      <c r="G286" s="2">
        <f>[2]sens_100_spec_10_PSA!G286</f>
        <v>19.868437719094299</v>
      </c>
      <c r="H286" s="2">
        <f>[2]sens_100_spec_10_PSA!H286</f>
        <v>13.5521710054068</v>
      </c>
      <c r="I286" s="2">
        <f>[2]sens_100_spec_10_PSA!I286</f>
        <v>8.0074293428618297</v>
      </c>
      <c r="J286" s="3">
        <f>[2]sens_100_spec_10_PSA!J286</f>
        <v>229272.877129275</v>
      </c>
      <c r="K286" s="3">
        <f>[2]sens_100_spec_10_PSA!K286</f>
        <v>132856.615550255</v>
      </c>
      <c r="L286">
        <f>[2]sens_100_spec_10_PSA!L286</f>
        <v>1</v>
      </c>
      <c r="M286">
        <f>[2]sens_100_spec_10_PSA!M286</f>
        <v>0</v>
      </c>
    </row>
    <row r="287" spans="1:13" x14ac:dyDescent="0.25">
      <c r="A287">
        <f>[2]sens_100_spec_10_PSA!A287</f>
        <v>286</v>
      </c>
      <c r="B287">
        <f>[2]sens_100_spec_10_PSA!B287</f>
        <v>1</v>
      </c>
      <c r="C287" t="str">
        <f>[2]sens_100_spec_10_PSA!C287</f>
        <v>NA</v>
      </c>
      <c r="D287">
        <f>[2]sens_100_spec_10_PSA!D287</f>
        <v>1</v>
      </c>
      <c r="E287" s="1">
        <f>[2]sens_100_spec_10_PSA!E287</f>
        <v>0.15989999999999999</v>
      </c>
      <c r="F287" s="1">
        <f>[2]sens_100_spec_10_PSA!F287</f>
        <v>1.9699999999999999E-2</v>
      </c>
      <c r="G287" s="2">
        <f>[2]sens_100_spec_10_PSA!G287</f>
        <v>18.636823154153799</v>
      </c>
      <c r="H287" s="2">
        <f>[2]sens_100_spec_10_PSA!H287</f>
        <v>13.9998108457225</v>
      </c>
      <c r="I287" s="2">
        <f>[2]sens_100_spec_10_PSA!I287</f>
        <v>8.4352211059782896</v>
      </c>
      <c r="J287" s="3">
        <f>[2]sens_100_spec_10_PSA!J287</f>
        <v>171046.74247107501</v>
      </c>
      <c r="K287" s="3">
        <f>[2]sens_100_spec_10_PSA!K287</f>
        <v>103305.104085211</v>
      </c>
      <c r="L287">
        <f>[2]sens_100_spec_10_PSA!L287</f>
        <v>1</v>
      </c>
      <c r="M287">
        <f>[2]sens_100_spec_10_PSA!M287</f>
        <v>0</v>
      </c>
    </row>
    <row r="288" spans="1:13" x14ac:dyDescent="0.25">
      <c r="A288">
        <f>[2]sens_100_spec_10_PSA!A288</f>
        <v>287</v>
      </c>
      <c r="B288">
        <f>[2]sens_100_spec_10_PSA!B288</f>
        <v>1</v>
      </c>
      <c r="C288" t="str">
        <f>[2]sens_100_spec_10_PSA!C288</f>
        <v>NA</v>
      </c>
      <c r="D288">
        <f>[2]sens_100_spec_10_PSA!D288</f>
        <v>1</v>
      </c>
      <c r="E288" s="1">
        <f>[2]sens_100_spec_10_PSA!E288</f>
        <v>0.2114</v>
      </c>
      <c r="F288" s="1">
        <f>[2]sens_100_spec_10_PSA!F288</f>
        <v>2.5100000000000001E-2</v>
      </c>
      <c r="G288" s="2">
        <f>[2]sens_100_spec_10_PSA!G288</f>
        <v>16.782502974041599</v>
      </c>
      <c r="H288" s="2">
        <f>[2]sens_100_spec_10_PSA!H288</f>
        <v>12.5692485631954</v>
      </c>
      <c r="I288" s="2">
        <f>[2]sens_100_spec_10_PSA!I288</f>
        <v>7.6774754276516104</v>
      </c>
      <c r="J288" s="3">
        <f>[2]sens_100_spec_10_PSA!J288</f>
        <v>187411.69119075401</v>
      </c>
      <c r="K288" s="3">
        <f>[2]sens_100_spec_10_PSA!K288</f>
        <v>114214.721506627</v>
      </c>
      <c r="L288">
        <f>[2]sens_100_spec_10_PSA!L288</f>
        <v>1</v>
      </c>
      <c r="M288">
        <f>[2]sens_100_spec_10_PSA!M288</f>
        <v>0</v>
      </c>
    </row>
    <row r="289" spans="1:13" x14ac:dyDescent="0.25">
      <c r="A289">
        <f>[2]sens_100_spec_10_PSA!A289</f>
        <v>288</v>
      </c>
      <c r="B289">
        <f>[2]sens_100_spec_10_PSA!B289</f>
        <v>1</v>
      </c>
      <c r="C289" t="str">
        <f>[2]sens_100_spec_10_PSA!C289</f>
        <v>NA</v>
      </c>
      <c r="D289">
        <f>[2]sens_100_spec_10_PSA!D289</f>
        <v>1</v>
      </c>
      <c r="E289" s="1">
        <f>[2]sens_100_spec_10_PSA!E289</f>
        <v>0.15579999999999999</v>
      </c>
      <c r="F289" s="1">
        <f>[2]sens_100_spec_10_PSA!F289</f>
        <v>3.0499999999999999E-2</v>
      </c>
      <c r="G289" s="2">
        <f>[2]sens_100_spec_10_PSA!G289</f>
        <v>18.121492023490902</v>
      </c>
      <c r="H289" s="2">
        <f>[2]sens_100_spec_10_PSA!H289</f>
        <v>11.923120816486099</v>
      </c>
      <c r="I289" s="2">
        <f>[2]sens_100_spec_10_PSA!I289</f>
        <v>7.2040812041512297</v>
      </c>
      <c r="J289" s="3">
        <f>[2]sens_100_spec_10_PSA!J289</f>
        <v>216681.564360833</v>
      </c>
      <c r="K289" s="3">
        <f>[2]sens_100_spec_10_PSA!K289</f>
        <v>129702.765203405</v>
      </c>
      <c r="L289">
        <f>[2]sens_100_spec_10_PSA!L289</f>
        <v>1</v>
      </c>
      <c r="M289">
        <f>[2]sens_100_spec_10_PSA!M289</f>
        <v>0</v>
      </c>
    </row>
    <row r="290" spans="1:13" x14ac:dyDescent="0.25">
      <c r="A290">
        <f>[2]sens_100_spec_10_PSA!A290</f>
        <v>289</v>
      </c>
      <c r="B290">
        <f>[2]sens_100_spec_10_PSA!B290</f>
        <v>1</v>
      </c>
      <c r="C290" t="str">
        <f>[2]sens_100_spec_10_PSA!C290</f>
        <v>NA</v>
      </c>
      <c r="D290">
        <f>[2]sens_100_spec_10_PSA!D290</f>
        <v>1</v>
      </c>
      <c r="E290" s="1">
        <f>[2]sens_100_spec_10_PSA!E290</f>
        <v>0.1595</v>
      </c>
      <c r="F290" s="1">
        <f>[2]sens_100_spec_10_PSA!F290</f>
        <v>2.6499999999999999E-2</v>
      </c>
      <c r="G290" s="2">
        <f>[2]sens_100_spec_10_PSA!G290</f>
        <v>18.6446137581238</v>
      </c>
      <c r="H290" s="2">
        <f>[2]sens_100_spec_10_PSA!H290</f>
        <v>12.188032333557</v>
      </c>
      <c r="I290" s="2">
        <f>[2]sens_100_spec_10_PSA!I290</f>
        <v>7.3317279658483399</v>
      </c>
      <c r="J290" s="3">
        <f>[2]sens_100_spec_10_PSA!J290</f>
        <v>188247.96505003201</v>
      </c>
      <c r="K290" s="3">
        <f>[2]sens_100_spec_10_PSA!K290</f>
        <v>112931.090095693</v>
      </c>
      <c r="L290">
        <f>[2]sens_100_spec_10_PSA!L290</f>
        <v>1</v>
      </c>
      <c r="M290">
        <f>[2]sens_100_spec_10_PSA!M290</f>
        <v>0</v>
      </c>
    </row>
    <row r="291" spans="1:13" x14ac:dyDescent="0.25">
      <c r="A291">
        <f>[2]sens_100_spec_10_PSA!A291</f>
        <v>290</v>
      </c>
      <c r="B291">
        <f>[2]sens_100_spec_10_PSA!B291</f>
        <v>1</v>
      </c>
      <c r="C291" t="str">
        <f>[2]sens_100_spec_10_PSA!C291</f>
        <v>NA</v>
      </c>
      <c r="D291">
        <f>[2]sens_100_spec_10_PSA!D291</f>
        <v>1</v>
      </c>
      <c r="E291" s="1">
        <f>[2]sens_100_spec_10_PSA!E291</f>
        <v>0.15989999999999999</v>
      </c>
      <c r="F291" s="1">
        <f>[2]sens_100_spec_10_PSA!F291</f>
        <v>2.0899999999999998E-2</v>
      </c>
      <c r="G291" s="2">
        <f>[2]sens_100_spec_10_PSA!G291</f>
        <v>19.668654419289499</v>
      </c>
      <c r="H291" s="2">
        <f>[2]sens_100_spec_10_PSA!H291</f>
        <v>14.5833207406637</v>
      </c>
      <c r="I291" s="2">
        <f>[2]sens_100_spec_10_PSA!I291</f>
        <v>8.6560206145774892</v>
      </c>
      <c r="J291" s="3">
        <f>[2]sens_100_spec_10_PSA!J291</f>
        <v>192915.730888602</v>
      </c>
      <c r="K291" s="3">
        <f>[2]sens_100_spec_10_PSA!K291</f>
        <v>113656.57504536</v>
      </c>
      <c r="L291">
        <f>[2]sens_100_spec_10_PSA!L291</f>
        <v>1</v>
      </c>
      <c r="M291">
        <f>[2]sens_100_spec_10_PSA!M291</f>
        <v>0</v>
      </c>
    </row>
    <row r="292" spans="1:13" x14ac:dyDescent="0.25">
      <c r="A292">
        <f>[2]sens_100_spec_10_PSA!A292</f>
        <v>291</v>
      </c>
      <c r="B292">
        <f>[2]sens_100_spec_10_PSA!B292</f>
        <v>1</v>
      </c>
      <c r="C292" t="str">
        <f>[2]sens_100_spec_10_PSA!C292</f>
        <v>NA</v>
      </c>
      <c r="D292">
        <f>[2]sens_100_spec_10_PSA!D292</f>
        <v>1</v>
      </c>
      <c r="E292" s="1">
        <f>[2]sens_100_spec_10_PSA!E292</f>
        <v>0.19259999999999999</v>
      </c>
      <c r="F292" s="1">
        <f>[2]sens_100_spec_10_PSA!F292</f>
        <v>2.2499999999999999E-2</v>
      </c>
      <c r="G292" s="2">
        <f>[2]sens_100_spec_10_PSA!G292</f>
        <v>18.2661414555668</v>
      </c>
      <c r="H292" s="2">
        <f>[2]sens_100_spec_10_PSA!H292</f>
        <v>13.100043195785</v>
      </c>
      <c r="I292" s="2">
        <f>[2]sens_100_spec_10_PSA!I292</f>
        <v>7.87197187436922</v>
      </c>
      <c r="J292" s="3">
        <f>[2]sens_100_spec_10_PSA!J292</f>
        <v>202401.64561227401</v>
      </c>
      <c r="K292" s="3">
        <f>[2]sens_100_spec_10_PSA!K292</f>
        <v>120786.72544139301</v>
      </c>
      <c r="L292">
        <f>[2]sens_100_spec_10_PSA!L292</f>
        <v>1</v>
      </c>
      <c r="M292">
        <f>[2]sens_100_spec_10_PSA!M292</f>
        <v>0</v>
      </c>
    </row>
    <row r="293" spans="1:13" x14ac:dyDescent="0.25">
      <c r="A293">
        <f>[2]sens_100_spec_10_PSA!A293</f>
        <v>292</v>
      </c>
      <c r="B293">
        <f>[2]sens_100_spec_10_PSA!B293</f>
        <v>1</v>
      </c>
      <c r="C293" t="str">
        <f>[2]sens_100_spec_10_PSA!C293</f>
        <v>NA</v>
      </c>
      <c r="D293">
        <f>[2]sens_100_spec_10_PSA!D293</f>
        <v>1</v>
      </c>
      <c r="E293" s="1">
        <f>[2]sens_100_spec_10_PSA!E293</f>
        <v>0.1973</v>
      </c>
      <c r="F293" s="1">
        <f>[2]sens_100_spec_10_PSA!F293</f>
        <v>2.4400000000000002E-2</v>
      </c>
      <c r="G293" s="2">
        <f>[2]sens_100_spec_10_PSA!G293</f>
        <v>18.171755907355799</v>
      </c>
      <c r="H293" s="2">
        <f>[2]sens_100_spec_10_PSA!H293</f>
        <v>12.1529090583876</v>
      </c>
      <c r="I293" s="2">
        <f>[2]sens_100_spec_10_PSA!I293</f>
        <v>7.2922045132898896</v>
      </c>
      <c r="J293" s="3">
        <f>[2]sens_100_spec_10_PSA!J293</f>
        <v>207304.35698148701</v>
      </c>
      <c r="K293" s="3">
        <f>[2]sens_100_spec_10_PSA!K293</f>
        <v>122904.51186247601</v>
      </c>
      <c r="L293">
        <f>[2]sens_100_spec_10_PSA!L293</f>
        <v>1</v>
      </c>
      <c r="M293">
        <f>[2]sens_100_spec_10_PSA!M293</f>
        <v>0</v>
      </c>
    </row>
    <row r="294" spans="1:13" x14ac:dyDescent="0.25">
      <c r="A294">
        <f>[2]sens_100_spec_10_PSA!A294</f>
        <v>293</v>
      </c>
      <c r="B294">
        <f>[2]sens_100_spec_10_PSA!B294</f>
        <v>1</v>
      </c>
      <c r="C294" t="str">
        <f>[2]sens_100_spec_10_PSA!C294</f>
        <v>NA</v>
      </c>
      <c r="D294">
        <f>[2]sens_100_spec_10_PSA!D294</f>
        <v>1</v>
      </c>
      <c r="E294" s="1">
        <f>[2]sens_100_spec_10_PSA!E294</f>
        <v>0.21640000000000001</v>
      </c>
      <c r="F294" s="1">
        <f>[2]sens_100_spec_10_PSA!F294</f>
        <v>2.92E-2</v>
      </c>
      <c r="G294" s="2">
        <f>[2]sens_100_spec_10_PSA!G294</f>
        <v>17.695321423717498</v>
      </c>
      <c r="H294" s="2">
        <f>[2]sens_100_spec_10_PSA!H294</f>
        <v>11.801721994847799</v>
      </c>
      <c r="I294" s="2">
        <f>[2]sens_100_spec_10_PSA!I294</f>
        <v>7.0646035794142099</v>
      </c>
      <c r="J294" s="3">
        <f>[2]sens_100_spec_10_PSA!J294</f>
        <v>151999.08943306099</v>
      </c>
      <c r="K294" s="3">
        <f>[2]sens_100_spec_10_PSA!K294</f>
        <v>91848.135406091402</v>
      </c>
      <c r="L294">
        <f>[2]sens_100_spec_10_PSA!L294</f>
        <v>1</v>
      </c>
      <c r="M294">
        <f>[2]sens_100_spec_10_PSA!M294</f>
        <v>0</v>
      </c>
    </row>
    <row r="295" spans="1:13" x14ac:dyDescent="0.25">
      <c r="A295">
        <f>[2]sens_100_spec_10_PSA!A295</f>
        <v>294</v>
      </c>
      <c r="B295">
        <f>[2]sens_100_spec_10_PSA!B295</f>
        <v>1</v>
      </c>
      <c r="C295" t="str">
        <f>[2]sens_100_spec_10_PSA!C295</f>
        <v>NA</v>
      </c>
      <c r="D295">
        <f>[2]sens_100_spec_10_PSA!D295</f>
        <v>1</v>
      </c>
      <c r="E295" s="1">
        <f>[2]sens_100_spec_10_PSA!E295</f>
        <v>0.11609999999999999</v>
      </c>
      <c r="F295" s="1">
        <f>[2]sens_100_spec_10_PSA!F295</f>
        <v>2.4899999999999999E-2</v>
      </c>
      <c r="G295" s="2">
        <f>[2]sens_100_spec_10_PSA!G295</f>
        <v>19.449000213661002</v>
      </c>
      <c r="H295" s="2">
        <f>[2]sens_100_spec_10_PSA!H295</f>
        <v>13.860703738583901</v>
      </c>
      <c r="I295" s="2">
        <f>[2]sens_100_spec_10_PSA!I295</f>
        <v>8.3337156618370791</v>
      </c>
      <c r="J295" s="3">
        <f>[2]sens_100_spec_10_PSA!J295</f>
        <v>215663.52421291999</v>
      </c>
      <c r="K295" s="3">
        <f>[2]sens_100_spec_10_PSA!K295</f>
        <v>128366.966461398</v>
      </c>
      <c r="L295">
        <f>[2]sens_100_spec_10_PSA!L295</f>
        <v>1</v>
      </c>
      <c r="M295">
        <f>[2]sens_100_spec_10_PSA!M295</f>
        <v>0</v>
      </c>
    </row>
    <row r="296" spans="1:13" x14ac:dyDescent="0.25">
      <c r="A296">
        <f>[2]sens_100_spec_10_PSA!A296</f>
        <v>295</v>
      </c>
      <c r="B296">
        <f>[2]sens_100_spec_10_PSA!B296</f>
        <v>1</v>
      </c>
      <c r="C296" t="str">
        <f>[2]sens_100_spec_10_PSA!C296</f>
        <v>NA</v>
      </c>
      <c r="D296">
        <f>[2]sens_100_spec_10_PSA!D296</f>
        <v>1</v>
      </c>
      <c r="E296" s="1">
        <f>[2]sens_100_spec_10_PSA!E296</f>
        <v>0.12839999999999999</v>
      </c>
      <c r="F296" s="1">
        <f>[2]sens_100_spec_10_PSA!F296</f>
        <v>3.1099999999999999E-2</v>
      </c>
      <c r="G296" s="2">
        <f>[2]sens_100_spec_10_PSA!G296</f>
        <v>18.507416127304801</v>
      </c>
      <c r="H296" s="2">
        <f>[2]sens_100_spec_10_PSA!H296</f>
        <v>13.884731012806499</v>
      </c>
      <c r="I296" s="2">
        <f>[2]sens_100_spec_10_PSA!I296</f>
        <v>8.4158396793612091</v>
      </c>
      <c r="J296" s="3">
        <f>[2]sens_100_spec_10_PSA!J296</f>
        <v>256626.533941334</v>
      </c>
      <c r="K296" s="3">
        <f>[2]sens_100_spec_10_PSA!K296</f>
        <v>152863.81124077001</v>
      </c>
      <c r="L296">
        <f>[2]sens_100_spec_10_PSA!L296</f>
        <v>1</v>
      </c>
      <c r="M296">
        <f>[2]sens_100_spec_10_PSA!M296</f>
        <v>0</v>
      </c>
    </row>
    <row r="297" spans="1:13" x14ac:dyDescent="0.25">
      <c r="A297">
        <f>[2]sens_100_spec_10_PSA!A297</f>
        <v>296</v>
      </c>
      <c r="B297">
        <f>[2]sens_100_spec_10_PSA!B297</f>
        <v>1</v>
      </c>
      <c r="C297" t="str">
        <f>[2]sens_100_spec_10_PSA!C297</f>
        <v>NA</v>
      </c>
      <c r="D297">
        <f>[2]sens_100_spec_10_PSA!D297</f>
        <v>1</v>
      </c>
      <c r="E297" s="1">
        <f>[2]sens_100_spec_10_PSA!E297</f>
        <v>0.1915</v>
      </c>
      <c r="F297" s="1">
        <f>[2]sens_100_spec_10_PSA!F297</f>
        <v>2.3599999999999999E-2</v>
      </c>
      <c r="G297" s="2">
        <f>[2]sens_100_spec_10_PSA!G297</f>
        <v>18.5132374110465</v>
      </c>
      <c r="H297" s="2">
        <f>[2]sens_100_spec_10_PSA!H297</f>
        <v>13.2825585998285</v>
      </c>
      <c r="I297" s="2">
        <f>[2]sens_100_spec_10_PSA!I297</f>
        <v>7.9269427160027197</v>
      </c>
      <c r="J297" s="3">
        <f>[2]sens_100_spec_10_PSA!J297</f>
        <v>188459.75999284699</v>
      </c>
      <c r="K297" s="3">
        <f>[2]sens_100_spec_10_PSA!K297</f>
        <v>111847.23141982</v>
      </c>
      <c r="L297">
        <f>[2]sens_100_spec_10_PSA!L297</f>
        <v>1</v>
      </c>
      <c r="M297">
        <f>[2]sens_100_spec_10_PSA!M297</f>
        <v>0</v>
      </c>
    </row>
    <row r="298" spans="1:13" x14ac:dyDescent="0.25">
      <c r="A298">
        <f>[2]sens_100_spec_10_PSA!A298</f>
        <v>297</v>
      </c>
      <c r="B298">
        <f>[2]sens_100_spec_10_PSA!B298</f>
        <v>1</v>
      </c>
      <c r="C298" t="str">
        <f>[2]sens_100_spec_10_PSA!C298</f>
        <v>NA</v>
      </c>
      <c r="D298">
        <f>[2]sens_100_spec_10_PSA!D298</f>
        <v>1</v>
      </c>
      <c r="E298" s="1">
        <f>[2]sens_100_spec_10_PSA!E298</f>
        <v>0.12509999999999999</v>
      </c>
      <c r="F298" s="1">
        <f>[2]sens_100_spec_10_PSA!F298</f>
        <v>3.0499999999999999E-2</v>
      </c>
      <c r="G298" s="2">
        <f>[2]sens_100_spec_10_PSA!G298</f>
        <v>18.810679176670099</v>
      </c>
      <c r="H298" s="2">
        <f>[2]sens_100_spec_10_PSA!H298</f>
        <v>14.508273698656399</v>
      </c>
      <c r="I298" s="2">
        <f>[2]sens_100_spec_10_PSA!I298</f>
        <v>8.7562097229740896</v>
      </c>
      <c r="J298" s="3">
        <f>[2]sens_100_spec_10_PSA!J298</f>
        <v>169216.60480216099</v>
      </c>
      <c r="K298" s="3">
        <f>[2]sens_100_spec_10_PSA!K298</f>
        <v>102783.418560354</v>
      </c>
      <c r="L298">
        <f>[2]sens_100_spec_10_PSA!L298</f>
        <v>1</v>
      </c>
      <c r="M298">
        <f>[2]sens_100_spec_10_PSA!M298</f>
        <v>0</v>
      </c>
    </row>
    <row r="299" spans="1:13" x14ac:dyDescent="0.25">
      <c r="A299">
        <f>[2]sens_100_spec_10_PSA!A299</f>
        <v>298</v>
      </c>
      <c r="B299">
        <f>[2]sens_100_spec_10_PSA!B299</f>
        <v>1</v>
      </c>
      <c r="C299" t="str">
        <f>[2]sens_100_spec_10_PSA!C299</f>
        <v>NA</v>
      </c>
      <c r="D299">
        <f>[2]sens_100_spec_10_PSA!D299</f>
        <v>1</v>
      </c>
      <c r="E299" s="1">
        <f>[2]sens_100_spec_10_PSA!E299</f>
        <v>0.13389999999999999</v>
      </c>
      <c r="F299" s="1">
        <f>[2]sens_100_spec_10_PSA!F299</f>
        <v>2.75E-2</v>
      </c>
      <c r="G299" s="2">
        <f>[2]sens_100_spec_10_PSA!G299</f>
        <v>19.1170390378552</v>
      </c>
      <c r="H299" s="2">
        <f>[2]sens_100_spec_10_PSA!H299</f>
        <v>16.015688995653001</v>
      </c>
      <c r="I299" s="2">
        <f>[2]sens_100_spec_10_PSA!I299</f>
        <v>9.6255929532048796</v>
      </c>
      <c r="J299" s="3">
        <f>[2]sens_100_spec_10_PSA!J299</f>
        <v>189391.791740582</v>
      </c>
      <c r="K299" s="3">
        <f>[2]sens_100_spec_10_PSA!K299</f>
        <v>113547.100718268</v>
      </c>
      <c r="L299">
        <f>[2]sens_100_spec_10_PSA!L299</f>
        <v>1</v>
      </c>
      <c r="M299">
        <f>[2]sens_100_spec_10_PSA!M299</f>
        <v>0</v>
      </c>
    </row>
    <row r="300" spans="1:13" x14ac:dyDescent="0.25">
      <c r="A300">
        <f>[2]sens_100_spec_10_PSA!A300</f>
        <v>299</v>
      </c>
      <c r="B300">
        <f>[2]sens_100_spec_10_PSA!B300</f>
        <v>1</v>
      </c>
      <c r="C300" t="str">
        <f>[2]sens_100_spec_10_PSA!C300</f>
        <v>NA</v>
      </c>
      <c r="D300">
        <f>[2]sens_100_spec_10_PSA!D300</f>
        <v>1</v>
      </c>
      <c r="E300" s="1">
        <f>[2]sens_100_spec_10_PSA!E300</f>
        <v>0.1416</v>
      </c>
      <c r="F300" s="1">
        <f>[2]sens_100_spec_10_PSA!F300</f>
        <v>2.6599999999999999E-2</v>
      </c>
      <c r="G300" s="2">
        <f>[2]sens_100_spec_10_PSA!G300</f>
        <v>18.951824123731299</v>
      </c>
      <c r="H300" s="2">
        <f>[2]sens_100_spec_10_PSA!H300</f>
        <v>11.6497369496578</v>
      </c>
      <c r="I300" s="2">
        <f>[2]sens_100_spec_10_PSA!I300</f>
        <v>7.0048105422965401</v>
      </c>
      <c r="J300" s="3">
        <f>[2]sens_100_spec_10_PSA!J300</f>
        <v>213525.16463213001</v>
      </c>
      <c r="K300" s="3">
        <f>[2]sens_100_spec_10_PSA!K300</f>
        <v>127118.130133395</v>
      </c>
      <c r="L300">
        <f>[2]sens_100_spec_10_PSA!L300</f>
        <v>1</v>
      </c>
      <c r="M300">
        <f>[2]sens_100_spec_10_PSA!M300</f>
        <v>0</v>
      </c>
    </row>
    <row r="301" spans="1:13" x14ac:dyDescent="0.25">
      <c r="A301">
        <f>[2]sens_100_spec_10_PSA!A301</f>
        <v>300</v>
      </c>
      <c r="B301">
        <f>[2]sens_100_spec_10_PSA!B301</f>
        <v>1</v>
      </c>
      <c r="C301" t="str">
        <f>[2]sens_100_spec_10_PSA!C301</f>
        <v>NA</v>
      </c>
      <c r="D301">
        <f>[2]sens_100_spec_10_PSA!D301</f>
        <v>1</v>
      </c>
      <c r="E301" s="1">
        <f>[2]sens_100_spec_10_PSA!E301</f>
        <v>0.12770000000000001</v>
      </c>
      <c r="F301" s="1">
        <f>[2]sens_100_spec_10_PSA!F301</f>
        <v>3.1199999999999999E-2</v>
      </c>
      <c r="G301" s="2">
        <f>[2]sens_100_spec_10_PSA!G301</f>
        <v>17.702308643611399</v>
      </c>
      <c r="H301" s="2">
        <f>[2]sens_100_spec_10_PSA!H301</f>
        <v>12.708808434907899</v>
      </c>
      <c r="I301" s="2">
        <f>[2]sens_100_spec_10_PSA!I301</f>
        <v>7.8094847002809997</v>
      </c>
      <c r="J301" s="3">
        <f>[2]sens_100_spec_10_PSA!J301</f>
        <v>214243.64790532301</v>
      </c>
      <c r="K301" s="3">
        <f>[2]sens_100_spec_10_PSA!K301</f>
        <v>130815.121906285</v>
      </c>
      <c r="L301">
        <f>[2]sens_100_spec_10_PSA!L301</f>
        <v>1</v>
      </c>
      <c r="M301">
        <f>[2]sens_100_spec_10_PSA!M301</f>
        <v>0</v>
      </c>
    </row>
    <row r="302" spans="1:13" x14ac:dyDescent="0.25">
      <c r="A302">
        <f>[2]sens_100_spec_10_PSA!A302</f>
        <v>301</v>
      </c>
      <c r="B302">
        <f>[2]sens_100_spec_10_PSA!B302</f>
        <v>1</v>
      </c>
      <c r="C302" t="str">
        <f>[2]sens_100_spec_10_PSA!C302</f>
        <v>NA</v>
      </c>
      <c r="D302">
        <f>[2]sens_100_spec_10_PSA!D302</f>
        <v>1</v>
      </c>
      <c r="E302" s="1">
        <f>[2]sens_100_spec_10_PSA!E302</f>
        <v>0.11260000000000001</v>
      </c>
      <c r="F302" s="1">
        <f>[2]sens_100_spec_10_PSA!F302</f>
        <v>2.3199999999999998E-2</v>
      </c>
      <c r="G302" s="2">
        <f>[2]sens_100_spec_10_PSA!G302</f>
        <v>21.075743948367499</v>
      </c>
      <c r="H302" s="2">
        <f>[2]sens_100_spec_10_PSA!H302</f>
        <v>14.3873808631099</v>
      </c>
      <c r="I302" s="2">
        <f>[2]sens_100_spec_10_PSA!I302</f>
        <v>8.4717071664327097</v>
      </c>
      <c r="J302" s="3">
        <f>[2]sens_100_spec_10_PSA!J302</f>
        <v>245566.175783213</v>
      </c>
      <c r="K302" s="3">
        <f>[2]sens_100_spec_10_PSA!K302</f>
        <v>141218.795673894</v>
      </c>
      <c r="L302">
        <f>[2]sens_100_spec_10_PSA!L302</f>
        <v>1</v>
      </c>
      <c r="M302">
        <f>[2]sens_100_spec_10_PSA!M302</f>
        <v>0</v>
      </c>
    </row>
    <row r="303" spans="1:13" x14ac:dyDescent="0.25">
      <c r="A303">
        <f>[2]sens_100_spec_10_PSA!A303</f>
        <v>302</v>
      </c>
      <c r="B303">
        <f>[2]sens_100_spec_10_PSA!B303</f>
        <v>1</v>
      </c>
      <c r="C303" t="str">
        <f>[2]sens_100_spec_10_PSA!C303</f>
        <v>NA</v>
      </c>
      <c r="D303">
        <f>[2]sens_100_spec_10_PSA!D303</f>
        <v>1</v>
      </c>
      <c r="E303" s="1">
        <f>[2]sens_100_spec_10_PSA!E303</f>
        <v>0.16669999999999999</v>
      </c>
      <c r="F303" s="1">
        <f>[2]sens_100_spec_10_PSA!F303</f>
        <v>1.9E-2</v>
      </c>
      <c r="G303" s="2">
        <f>[2]sens_100_spec_10_PSA!G303</f>
        <v>19.4154421523655</v>
      </c>
      <c r="H303" s="2">
        <f>[2]sens_100_spec_10_PSA!H303</f>
        <v>12.3329893383819</v>
      </c>
      <c r="I303" s="2">
        <f>[2]sens_100_spec_10_PSA!I303</f>
        <v>7.3255158616972302</v>
      </c>
      <c r="J303" s="3">
        <f>[2]sens_100_spec_10_PSA!J303</f>
        <v>184172.41826180401</v>
      </c>
      <c r="K303" s="3">
        <f>[2]sens_100_spec_10_PSA!K303</f>
        <v>109151.343678323</v>
      </c>
      <c r="L303">
        <f>[2]sens_100_spec_10_PSA!L303</f>
        <v>1</v>
      </c>
      <c r="M303">
        <f>[2]sens_100_spec_10_PSA!M303</f>
        <v>0</v>
      </c>
    </row>
    <row r="304" spans="1:13" x14ac:dyDescent="0.25">
      <c r="A304">
        <f>[2]sens_100_spec_10_PSA!A304</f>
        <v>303</v>
      </c>
      <c r="B304">
        <f>[2]sens_100_spec_10_PSA!B304</f>
        <v>1</v>
      </c>
      <c r="C304" t="str">
        <f>[2]sens_100_spec_10_PSA!C304</f>
        <v>NA</v>
      </c>
      <c r="D304">
        <f>[2]sens_100_spec_10_PSA!D304</f>
        <v>1</v>
      </c>
      <c r="E304" s="1">
        <f>[2]sens_100_spec_10_PSA!E304</f>
        <v>0.30719999999999997</v>
      </c>
      <c r="F304" s="1">
        <f>[2]sens_100_spec_10_PSA!F304</f>
        <v>1.7100000000000001E-2</v>
      </c>
      <c r="G304" s="2">
        <f>[2]sens_100_spec_10_PSA!G304</f>
        <v>16.078467040804899</v>
      </c>
      <c r="H304" s="2">
        <f>[2]sens_100_spec_10_PSA!H304</f>
        <v>10.7569619536816</v>
      </c>
      <c r="I304" s="2">
        <f>[2]sens_100_spec_10_PSA!I304</f>
        <v>6.4631407233447202</v>
      </c>
      <c r="J304" s="3">
        <f>[2]sens_100_spec_10_PSA!J304</f>
        <v>231039.82441701301</v>
      </c>
      <c r="K304" s="3">
        <f>[2]sens_100_spec_10_PSA!K304</f>
        <v>136105.48850689299</v>
      </c>
      <c r="L304">
        <f>[2]sens_100_spec_10_PSA!L304</f>
        <v>1</v>
      </c>
      <c r="M304">
        <f>[2]sens_100_spec_10_PSA!M304</f>
        <v>0</v>
      </c>
    </row>
    <row r="305" spans="1:13" x14ac:dyDescent="0.25">
      <c r="A305">
        <f>[2]sens_100_spec_10_PSA!A305</f>
        <v>304</v>
      </c>
      <c r="B305">
        <f>[2]sens_100_spec_10_PSA!B305</f>
        <v>1</v>
      </c>
      <c r="C305" t="str">
        <f>[2]sens_100_spec_10_PSA!C305</f>
        <v>NA</v>
      </c>
      <c r="D305">
        <f>[2]sens_100_spec_10_PSA!D305</f>
        <v>1</v>
      </c>
      <c r="E305" s="1">
        <f>[2]sens_100_spec_10_PSA!E305</f>
        <v>0.188</v>
      </c>
      <c r="F305" s="1">
        <f>[2]sens_100_spec_10_PSA!F305</f>
        <v>2.52E-2</v>
      </c>
      <c r="G305" s="2">
        <f>[2]sens_100_spec_10_PSA!G305</f>
        <v>17.0205593406891</v>
      </c>
      <c r="H305" s="2">
        <f>[2]sens_100_spec_10_PSA!H305</f>
        <v>11.2074623440599</v>
      </c>
      <c r="I305" s="2">
        <f>[2]sens_100_spec_10_PSA!I305</f>
        <v>6.8585772497697599</v>
      </c>
      <c r="J305" s="3">
        <f>[2]sens_100_spec_10_PSA!J305</f>
        <v>184716.19175652601</v>
      </c>
      <c r="K305" s="3">
        <f>[2]sens_100_spec_10_PSA!K305</f>
        <v>113054.4613585</v>
      </c>
      <c r="L305">
        <f>[2]sens_100_spec_10_PSA!L305</f>
        <v>1</v>
      </c>
      <c r="M305">
        <f>[2]sens_100_spec_10_PSA!M305</f>
        <v>0</v>
      </c>
    </row>
    <row r="306" spans="1:13" x14ac:dyDescent="0.25">
      <c r="A306">
        <f>[2]sens_100_spec_10_PSA!A306</f>
        <v>305</v>
      </c>
      <c r="B306">
        <f>[2]sens_100_spec_10_PSA!B306</f>
        <v>1</v>
      </c>
      <c r="C306" t="str">
        <f>[2]sens_100_spec_10_PSA!C306</f>
        <v>NA</v>
      </c>
      <c r="D306">
        <f>[2]sens_100_spec_10_PSA!D306</f>
        <v>1</v>
      </c>
      <c r="E306" s="1">
        <f>[2]sens_100_spec_10_PSA!E306</f>
        <v>0.18659999999999999</v>
      </c>
      <c r="F306" s="1">
        <f>[2]sens_100_spec_10_PSA!F306</f>
        <v>2.8000000000000001E-2</v>
      </c>
      <c r="G306" s="2">
        <f>[2]sens_100_spec_10_PSA!G306</f>
        <v>19.391286251965798</v>
      </c>
      <c r="H306" s="2">
        <f>[2]sens_100_spec_10_PSA!H306</f>
        <v>13.008532106796</v>
      </c>
      <c r="I306" s="2">
        <f>[2]sens_100_spec_10_PSA!I306</f>
        <v>7.6737986557814999</v>
      </c>
      <c r="J306" s="3">
        <f>[2]sens_100_spec_10_PSA!J306</f>
        <v>238164.11343949701</v>
      </c>
      <c r="K306" s="3">
        <f>[2]sens_100_spec_10_PSA!K306</f>
        <v>137429.362739087</v>
      </c>
      <c r="L306">
        <f>[2]sens_100_spec_10_PSA!L306</f>
        <v>1</v>
      </c>
      <c r="M306">
        <f>[2]sens_100_spec_10_PSA!M306</f>
        <v>0</v>
      </c>
    </row>
    <row r="307" spans="1:13" x14ac:dyDescent="0.25">
      <c r="A307">
        <f>[2]sens_100_spec_10_PSA!A307</f>
        <v>306</v>
      </c>
      <c r="B307">
        <f>[2]sens_100_spec_10_PSA!B307</f>
        <v>1</v>
      </c>
      <c r="C307" t="str">
        <f>[2]sens_100_spec_10_PSA!C307</f>
        <v>NA</v>
      </c>
      <c r="D307">
        <f>[2]sens_100_spec_10_PSA!D307</f>
        <v>1</v>
      </c>
      <c r="E307" s="1">
        <f>[2]sens_100_spec_10_PSA!E307</f>
        <v>0.15390000000000001</v>
      </c>
      <c r="F307" s="1">
        <f>[2]sens_100_spec_10_PSA!F307</f>
        <v>2.3800000000000002E-2</v>
      </c>
      <c r="G307" s="2">
        <f>[2]sens_100_spec_10_PSA!G307</f>
        <v>18.671136629374001</v>
      </c>
      <c r="H307" s="2">
        <f>[2]sens_100_spec_10_PSA!H307</f>
        <v>12.0571695584467</v>
      </c>
      <c r="I307" s="2">
        <f>[2]sens_100_spec_10_PSA!I307</f>
        <v>7.2685995744077099</v>
      </c>
      <c r="J307" s="3">
        <f>[2]sens_100_spec_10_PSA!J307</f>
        <v>239125.38902556899</v>
      </c>
      <c r="K307" s="3">
        <f>[2]sens_100_spec_10_PSA!K307</f>
        <v>141651.823409659</v>
      </c>
      <c r="L307">
        <f>[2]sens_100_spec_10_PSA!L307</f>
        <v>1</v>
      </c>
      <c r="M307">
        <f>[2]sens_100_spec_10_PSA!M307</f>
        <v>0</v>
      </c>
    </row>
    <row r="308" spans="1:13" x14ac:dyDescent="0.25">
      <c r="A308">
        <f>[2]sens_100_spec_10_PSA!A308</f>
        <v>307</v>
      </c>
      <c r="B308">
        <f>[2]sens_100_spec_10_PSA!B308</f>
        <v>1</v>
      </c>
      <c r="C308" t="str">
        <f>[2]sens_100_spec_10_PSA!C308</f>
        <v>NA</v>
      </c>
      <c r="D308">
        <f>[2]sens_100_spec_10_PSA!D308</f>
        <v>1</v>
      </c>
      <c r="E308" s="1">
        <f>[2]sens_100_spec_10_PSA!E308</f>
        <v>9.8100000000000007E-2</v>
      </c>
      <c r="F308" s="1">
        <f>[2]sens_100_spec_10_PSA!F308</f>
        <v>2.5399999999999999E-2</v>
      </c>
      <c r="G308" s="2">
        <f>[2]sens_100_spec_10_PSA!G308</f>
        <v>19.276750464457798</v>
      </c>
      <c r="H308" s="2">
        <f>[2]sens_100_spec_10_PSA!H308</f>
        <v>14.5514295965142</v>
      </c>
      <c r="I308" s="2">
        <f>[2]sens_100_spec_10_PSA!I308</f>
        <v>8.7938564933997192</v>
      </c>
      <c r="J308" s="3">
        <f>[2]sens_100_spec_10_PSA!J308</f>
        <v>185825.38780144899</v>
      </c>
      <c r="K308" s="3">
        <f>[2]sens_100_spec_10_PSA!K308</f>
        <v>112334.869318319</v>
      </c>
      <c r="L308">
        <f>[2]sens_100_spec_10_PSA!L308</f>
        <v>1</v>
      </c>
      <c r="M308">
        <f>[2]sens_100_spec_10_PSA!M308</f>
        <v>0</v>
      </c>
    </row>
    <row r="309" spans="1:13" x14ac:dyDescent="0.25">
      <c r="A309">
        <f>[2]sens_100_spec_10_PSA!A309</f>
        <v>308</v>
      </c>
      <c r="B309">
        <f>[2]sens_100_spec_10_PSA!B309</f>
        <v>1</v>
      </c>
      <c r="C309" t="str">
        <f>[2]sens_100_spec_10_PSA!C309</f>
        <v>NA</v>
      </c>
      <c r="D309">
        <f>[2]sens_100_spec_10_PSA!D309</f>
        <v>1</v>
      </c>
      <c r="E309" s="1">
        <f>[2]sens_100_spec_10_PSA!E309</f>
        <v>0.25209999999999999</v>
      </c>
      <c r="F309" s="1">
        <f>[2]sens_100_spec_10_PSA!F309</f>
        <v>1.9300000000000001E-2</v>
      </c>
      <c r="G309" s="2">
        <f>[2]sens_100_spec_10_PSA!G309</f>
        <v>16.326409548531799</v>
      </c>
      <c r="H309" s="2">
        <f>[2]sens_100_spec_10_PSA!H309</f>
        <v>12.5162441284298</v>
      </c>
      <c r="I309" s="2">
        <f>[2]sens_100_spec_10_PSA!I309</f>
        <v>7.5966146703164403</v>
      </c>
      <c r="J309" s="3">
        <f>[2]sens_100_spec_10_PSA!J309</f>
        <v>184625.11762013999</v>
      </c>
      <c r="K309" s="3">
        <f>[2]sens_100_spec_10_PSA!K309</f>
        <v>111713.47334366001</v>
      </c>
      <c r="L309">
        <f>[2]sens_100_spec_10_PSA!L309</f>
        <v>1</v>
      </c>
      <c r="M309">
        <f>[2]sens_100_spec_10_PSA!M309</f>
        <v>0</v>
      </c>
    </row>
    <row r="310" spans="1:13" x14ac:dyDescent="0.25">
      <c r="A310">
        <f>[2]sens_100_spec_10_PSA!A310</f>
        <v>309</v>
      </c>
      <c r="B310">
        <f>[2]sens_100_spec_10_PSA!B310</f>
        <v>1</v>
      </c>
      <c r="C310" t="str">
        <f>[2]sens_100_spec_10_PSA!C310</f>
        <v>NA</v>
      </c>
      <c r="D310">
        <f>[2]sens_100_spec_10_PSA!D310</f>
        <v>1</v>
      </c>
      <c r="E310" s="1">
        <f>[2]sens_100_spec_10_PSA!E310</f>
        <v>0.11459999999999999</v>
      </c>
      <c r="F310" s="1">
        <f>[2]sens_100_spec_10_PSA!F310</f>
        <v>2.9100000000000001E-2</v>
      </c>
      <c r="G310" s="2">
        <f>[2]sens_100_spec_10_PSA!G310</f>
        <v>20.7649657875698</v>
      </c>
      <c r="H310" s="2">
        <f>[2]sens_100_spec_10_PSA!H310</f>
        <v>16.311196434052899</v>
      </c>
      <c r="I310" s="2">
        <f>[2]sens_100_spec_10_PSA!I310</f>
        <v>9.6163216793662691</v>
      </c>
      <c r="J310" s="3">
        <f>[2]sens_100_spec_10_PSA!J310</f>
        <v>260399.11911176101</v>
      </c>
      <c r="K310" s="3">
        <f>[2]sens_100_spec_10_PSA!K310</f>
        <v>149705.47386138601</v>
      </c>
      <c r="L310">
        <f>[2]sens_100_spec_10_PSA!L310</f>
        <v>1</v>
      </c>
      <c r="M310">
        <f>[2]sens_100_spec_10_PSA!M310</f>
        <v>0</v>
      </c>
    </row>
    <row r="311" spans="1:13" x14ac:dyDescent="0.25">
      <c r="A311">
        <f>[2]sens_100_spec_10_PSA!A311</f>
        <v>310</v>
      </c>
      <c r="B311">
        <f>[2]sens_100_spec_10_PSA!B311</f>
        <v>1</v>
      </c>
      <c r="C311" t="str">
        <f>[2]sens_100_spec_10_PSA!C311</f>
        <v>NA</v>
      </c>
      <c r="D311">
        <f>[2]sens_100_spec_10_PSA!D311</f>
        <v>1</v>
      </c>
      <c r="E311" s="1">
        <f>[2]sens_100_spec_10_PSA!E311</f>
        <v>0.16930000000000001</v>
      </c>
      <c r="F311" s="1">
        <f>[2]sens_100_spec_10_PSA!F311</f>
        <v>2.1100000000000001E-2</v>
      </c>
      <c r="G311" s="2">
        <f>[2]sens_100_spec_10_PSA!G311</f>
        <v>19.066777947814298</v>
      </c>
      <c r="H311" s="2">
        <f>[2]sens_100_spec_10_PSA!H311</f>
        <v>14.8167644665611</v>
      </c>
      <c r="I311" s="2">
        <f>[2]sens_100_spec_10_PSA!I311</f>
        <v>8.8500798041373994</v>
      </c>
      <c r="J311" s="3">
        <f>[2]sens_100_spec_10_PSA!J311</f>
        <v>267857.66556664498</v>
      </c>
      <c r="K311" s="3">
        <f>[2]sens_100_spec_10_PSA!K311</f>
        <v>155892.96966547499</v>
      </c>
      <c r="L311">
        <f>[2]sens_100_spec_10_PSA!L311</f>
        <v>1</v>
      </c>
      <c r="M311">
        <f>[2]sens_100_spec_10_PSA!M311</f>
        <v>0</v>
      </c>
    </row>
    <row r="312" spans="1:13" x14ac:dyDescent="0.25">
      <c r="A312">
        <f>[2]sens_100_spec_10_PSA!A312</f>
        <v>311</v>
      </c>
      <c r="B312">
        <f>[2]sens_100_spec_10_PSA!B312</f>
        <v>1</v>
      </c>
      <c r="C312" t="str">
        <f>[2]sens_100_spec_10_PSA!C312</f>
        <v>NA</v>
      </c>
      <c r="D312">
        <f>[2]sens_100_spec_10_PSA!D312</f>
        <v>1</v>
      </c>
      <c r="E312" s="1">
        <f>[2]sens_100_spec_10_PSA!E312</f>
        <v>0.1593</v>
      </c>
      <c r="F312" s="1">
        <f>[2]sens_100_spec_10_PSA!F312</f>
        <v>2.4899999999999999E-2</v>
      </c>
      <c r="G312" s="2">
        <f>[2]sens_100_spec_10_PSA!G312</f>
        <v>18.983927055664999</v>
      </c>
      <c r="H312" s="2">
        <f>[2]sens_100_spec_10_PSA!H312</f>
        <v>13.607237069822901</v>
      </c>
      <c r="I312" s="2">
        <f>[2]sens_100_spec_10_PSA!I312</f>
        <v>8.1319641982161404</v>
      </c>
      <c r="J312" s="3">
        <f>[2]sens_100_spec_10_PSA!J312</f>
        <v>254442.36100949999</v>
      </c>
      <c r="K312" s="3">
        <f>[2]sens_100_spec_10_PSA!K312</f>
        <v>148669.37244706199</v>
      </c>
      <c r="L312">
        <f>[2]sens_100_spec_10_PSA!L312</f>
        <v>1</v>
      </c>
      <c r="M312">
        <f>[2]sens_100_spec_10_PSA!M312</f>
        <v>0</v>
      </c>
    </row>
    <row r="313" spans="1:13" x14ac:dyDescent="0.25">
      <c r="A313">
        <f>[2]sens_100_spec_10_PSA!A313</f>
        <v>312</v>
      </c>
      <c r="B313">
        <f>[2]sens_100_spec_10_PSA!B313</f>
        <v>1</v>
      </c>
      <c r="C313" t="str">
        <f>[2]sens_100_spec_10_PSA!C313</f>
        <v>NA</v>
      </c>
      <c r="D313">
        <f>[2]sens_100_spec_10_PSA!D313</f>
        <v>1</v>
      </c>
      <c r="E313" s="1">
        <f>[2]sens_100_spec_10_PSA!E313</f>
        <v>0.1502</v>
      </c>
      <c r="F313" s="1">
        <f>[2]sens_100_spec_10_PSA!F313</f>
        <v>2.63E-2</v>
      </c>
      <c r="G313" s="2">
        <f>[2]sens_100_spec_10_PSA!G313</f>
        <v>18.3092073863343</v>
      </c>
      <c r="H313" s="2">
        <f>[2]sens_100_spec_10_PSA!H313</f>
        <v>14.343266367746001</v>
      </c>
      <c r="I313" s="2">
        <f>[2]sens_100_spec_10_PSA!I313</f>
        <v>8.6712831644755006</v>
      </c>
      <c r="J313" s="3">
        <f>[2]sens_100_spec_10_PSA!J313</f>
        <v>197918.87616099801</v>
      </c>
      <c r="K313" s="3">
        <f>[2]sens_100_spec_10_PSA!K313</f>
        <v>118869.834715092</v>
      </c>
      <c r="L313">
        <f>[2]sens_100_spec_10_PSA!L313</f>
        <v>1</v>
      </c>
      <c r="M313">
        <f>[2]sens_100_spec_10_PSA!M313</f>
        <v>0</v>
      </c>
    </row>
    <row r="314" spans="1:13" x14ac:dyDescent="0.25">
      <c r="A314">
        <f>[2]sens_100_spec_10_PSA!A314</f>
        <v>313</v>
      </c>
      <c r="B314">
        <f>[2]sens_100_spec_10_PSA!B314</f>
        <v>1</v>
      </c>
      <c r="C314" t="str">
        <f>[2]sens_100_spec_10_PSA!C314</f>
        <v>NA</v>
      </c>
      <c r="D314">
        <f>[2]sens_100_spec_10_PSA!D314</f>
        <v>1</v>
      </c>
      <c r="E314" s="1">
        <f>[2]sens_100_spec_10_PSA!E314</f>
        <v>0.13320000000000001</v>
      </c>
      <c r="F314" s="1">
        <f>[2]sens_100_spec_10_PSA!F314</f>
        <v>2.9000000000000001E-2</v>
      </c>
      <c r="G314" s="2">
        <f>[2]sens_100_spec_10_PSA!G314</f>
        <v>17.194516640614498</v>
      </c>
      <c r="H314" s="2">
        <f>[2]sens_100_spec_10_PSA!H314</f>
        <v>12.569119573218</v>
      </c>
      <c r="I314" s="2">
        <f>[2]sens_100_spec_10_PSA!I314</f>
        <v>7.7794798917289798</v>
      </c>
      <c r="J314" s="3">
        <f>[2]sens_100_spec_10_PSA!J314</f>
        <v>162162.27333898601</v>
      </c>
      <c r="K314" s="3">
        <f>[2]sens_100_spec_10_PSA!K314</f>
        <v>101606.792147063</v>
      </c>
      <c r="L314">
        <f>[2]sens_100_spec_10_PSA!L314</f>
        <v>1</v>
      </c>
      <c r="M314">
        <f>[2]sens_100_spec_10_PSA!M314</f>
        <v>0</v>
      </c>
    </row>
    <row r="315" spans="1:13" x14ac:dyDescent="0.25">
      <c r="A315">
        <f>[2]sens_100_spec_10_PSA!A315</f>
        <v>314</v>
      </c>
      <c r="B315">
        <f>[2]sens_100_spec_10_PSA!B315</f>
        <v>1</v>
      </c>
      <c r="C315" t="str">
        <f>[2]sens_100_spec_10_PSA!C315</f>
        <v>NA</v>
      </c>
      <c r="D315">
        <f>[2]sens_100_spec_10_PSA!D315</f>
        <v>1</v>
      </c>
      <c r="E315" s="1">
        <f>[2]sens_100_spec_10_PSA!E315</f>
        <v>0.14710000000000001</v>
      </c>
      <c r="F315" s="1">
        <f>[2]sens_100_spec_10_PSA!F315</f>
        <v>2.8400000000000002E-2</v>
      </c>
      <c r="G315" s="2">
        <f>[2]sens_100_spec_10_PSA!G315</f>
        <v>20.190023726324998</v>
      </c>
      <c r="H315" s="2">
        <f>[2]sens_100_spec_10_PSA!H315</f>
        <v>15.7224765738318</v>
      </c>
      <c r="I315" s="2">
        <f>[2]sens_100_spec_10_PSA!I315</f>
        <v>9.2629619596445405</v>
      </c>
      <c r="J315" s="3">
        <f>[2]sens_100_spec_10_PSA!J315</f>
        <v>190317.01837202601</v>
      </c>
      <c r="K315" s="3">
        <f>[2]sens_100_spec_10_PSA!K315</f>
        <v>111234.280370591</v>
      </c>
      <c r="L315">
        <f>[2]sens_100_spec_10_PSA!L315</f>
        <v>1</v>
      </c>
      <c r="M315">
        <f>[2]sens_100_spec_10_PSA!M315</f>
        <v>0</v>
      </c>
    </row>
    <row r="316" spans="1:13" x14ac:dyDescent="0.25">
      <c r="A316">
        <f>[2]sens_100_spec_10_PSA!A316</f>
        <v>315</v>
      </c>
      <c r="B316">
        <f>[2]sens_100_spec_10_PSA!B316</f>
        <v>1</v>
      </c>
      <c r="C316" t="str">
        <f>[2]sens_100_spec_10_PSA!C316</f>
        <v>NA</v>
      </c>
      <c r="D316">
        <f>[2]sens_100_spec_10_PSA!D316</f>
        <v>1</v>
      </c>
      <c r="E316" s="1">
        <f>[2]sens_100_spec_10_PSA!E316</f>
        <v>0.1865</v>
      </c>
      <c r="F316" s="1">
        <f>[2]sens_100_spec_10_PSA!F316</f>
        <v>1.9900000000000001E-2</v>
      </c>
      <c r="G316" s="2">
        <f>[2]sens_100_spec_10_PSA!G316</f>
        <v>17.103576862361699</v>
      </c>
      <c r="H316" s="2">
        <f>[2]sens_100_spec_10_PSA!H316</f>
        <v>13.021525974993599</v>
      </c>
      <c r="I316" s="2">
        <f>[2]sens_100_spec_10_PSA!I316</f>
        <v>8.0042002195271191</v>
      </c>
      <c r="J316" s="3">
        <f>[2]sens_100_spec_10_PSA!J316</f>
        <v>145873.81463678699</v>
      </c>
      <c r="K316" s="3">
        <f>[2]sens_100_spec_10_PSA!K316</f>
        <v>91377.160013335393</v>
      </c>
      <c r="L316">
        <f>[2]sens_100_spec_10_PSA!L316</f>
        <v>1</v>
      </c>
      <c r="M316">
        <f>[2]sens_100_spec_10_PSA!M316</f>
        <v>0</v>
      </c>
    </row>
    <row r="317" spans="1:13" x14ac:dyDescent="0.25">
      <c r="A317">
        <f>[2]sens_100_spec_10_PSA!A317</f>
        <v>316</v>
      </c>
      <c r="B317">
        <f>[2]sens_100_spec_10_PSA!B317</f>
        <v>1</v>
      </c>
      <c r="C317" t="str">
        <f>[2]sens_100_spec_10_PSA!C317</f>
        <v>NA</v>
      </c>
      <c r="D317">
        <f>[2]sens_100_spec_10_PSA!D317</f>
        <v>1</v>
      </c>
      <c r="E317" s="1">
        <f>[2]sens_100_spec_10_PSA!E317</f>
        <v>0.1012</v>
      </c>
      <c r="F317" s="1">
        <f>[2]sens_100_spec_10_PSA!F317</f>
        <v>2.4799999999999999E-2</v>
      </c>
      <c r="G317" s="2">
        <f>[2]sens_100_spec_10_PSA!G317</f>
        <v>20.560690776558399</v>
      </c>
      <c r="H317" s="2">
        <f>[2]sens_100_spec_10_PSA!H317</f>
        <v>14.040628438026101</v>
      </c>
      <c r="I317" s="2">
        <f>[2]sens_100_spec_10_PSA!I317</f>
        <v>8.3476446597994602</v>
      </c>
      <c r="J317" s="3">
        <f>[2]sens_100_spec_10_PSA!J317</f>
        <v>241544.42891713299</v>
      </c>
      <c r="K317" s="3">
        <f>[2]sens_100_spec_10_PSA!K317</f>
        <v>140893.79568417001</v>
      </c>
      <c r="L317">
        <f>[2]sens_100_spec_10_PSA!L317</f>
        <v>1</v>
      </c>
      <c r="M317">
        <f>[2]sens_100_spec_10_PSA!M317</f>
        <v>0</v>
      </c>
    </row>
    <row r="318" spans="1:13" x14ac:dyDescent="0.25">
      <c r="A318">
        <f>[2]sens_100_spec_10_PSA!A318</f>
        <v>317</v>
      </c>
      <c r="B318">
        <f>[2]sens_100_spec_10_PSA!B318</f>
        <v>1</v>
      </c>
      <c r="C318" t="str">
        <f>[2]sens_100_spec_10_PSA!C318</f>
        <v>NA</v>
      </c>
      <c r="D318">
        <f>[2]sens_100_spec_10_PSA!D318</f>
        <v>1</v>
      </c>
      <c r="E318" s="1">
        <f>[2]sens_100_spec_10_PSA!E318</f>
        <v>0.16839999999999999</v>
      </c>
      <c r="F318" s="1">
        <f>[2]sens_100_spec_10_PSA!F318</f>
        <v>2.2499999999999999E-2</v>
      </c>
      <c r="G318" s="2">
        <f>[2]sens_100_spec_10_PSA!G318</f>
        <v>18.586075185006599</v>
      </c>
      <c r="H318" s="2">
        <f>[2]sens_100_spec_10_PSA!H318</f>
        <v>12.5157292243626</v>
      </c>
      <c r="I318" s="2">
        <f>[2]sens_100_spec_10_PSA!I318</f>
        <v>7.5064052445111198</v>
      </c>
      <c r="J318" s="3">
        <f>[2]sens_100_spec_10_PSA!J318</f>
        <v>227828.16719319101</v>
      </c>
      <c r="K318" s="3">
        <f>[2]sens_100_spec_10_PSA!K318</f>
        <v>134530.08644692399</v>
      </c>
      <c r="L318">
        <f>[2]sens_100_spec_10_PSA!L318</f>
        <v>1</v>
      </c>
      <c r="M318">
        <f>[2]sens_100_spec_10_PSA!M318</f>
        <v>0</v>
      </c>
    </row>
    <row r="319" spans="1:13" x14ac:dyDescent="0.25">
      <c r="A319">
        <f>[2]sens_100_spec_10_PSA!A319</f>
        <v>318</v>
      </c>
      <c r="B319">
        <f>[2]sens_100_spec_10_PSA!B319</f>
        <v>1</v>
      </c>
      <c r="C319" t="str">
        <f>[2]sens_100_spec_10_PSA!C319</f>
        <v>NA</v>
      </c>
      <c r="D319">
        <f>[2]sens_100_spec_10_PSA!D319</f>
        <v>1</v>
      </c>
      <c r="E319" s="1">
        <f>[2]sens_100_spec_10_PSA!E319</f>
        <v>0.16589999999999999</v>
      </c>
      <c r="F319" s="1">
        <f>[2]sens_100_spec_10_PSA!F319</f>
        <v>2.2800000000000001E-2</v>
      </c>
      <c r="G319" s="2">
        <f>[2]sens_100_spec_10_PSA!G319</f>
        <v>20.167291974705702</v>
      </c>
      <c r="H319" s="2">
        <f>[2]sens_100_spec_10_PSA!H319</f>
        <v>14.9210843553084</v>
      </c>
      <c r="I319" s="2">
        <f>[2]sens_100_spec_10_PSA!I319</f>
        <v>8.7628556636669099</v>
      </c>
      <c r="J319" s="3">
        <f>[2]sens_100_spec_10_PSA!J319</f>
        <v>212570.88755881099</v>
      </c>
      <c r="K319" s="3">
        <f>[2]sens_100_spec_10_PSA!K319</f>
        <v>122966.037749293</v>
      </c>
      <c r="L319">
        <f>[2]sens_100_spec_10_PSA!L319</f>
        <v>1</v>
      </c>
      <c r="M319">
        <f>[2]sens_100_spec_10_PSA!M319</f>
        <v>0</v>
      </c>
    </row>
    <row r="320" spans="1:13" x14ac:dyDescent="0.25">
      <c r="A320">
        <f>[2]sens_100_spec_10_PSA!A320</f>
        <v>319</v>
      </c>
      <c r="B320">
        <f>[2]sens_100_spec_10_PSA!B320</f>
        <v>1</v>
      </c>
      <c r="C320" t="str">
        <f>[2]sens_100_spec_10_PSA!C320</f>
        <v>NA</v>
      </c>
      <c r="D320">
        <f>[2]sens_100_spec_10_PSA!D320</f>
        <v>1</v>
      </c>
      <c r="E320" s="1">
        <f>[2]sens_100_spec_10_PSA!E320</f>
        <v>0.17019999999999999</v>
      </c>
      <c r="F320" s="1">
        <f>[2]sens_100_spec_10_PSA!F320</f>
        <v>3.15E-2</v>
      </c>
      <c r="G320" s="2">
        <f>[2]sens_100_spec_10_PSA!G320</f>
        <v>18.880744549412</v>
      </c>
      <c r="H320" s="2">
        <f>[2]sens_100_spec_10_PSA!H320</f>
        <v>14.192086623356801</v>
      </c>
      <c r="I320" s="2">
        <f>[2]sens_100_spec_10_PSA!I320</f>
        <v>8.45579822832471</v>
      </c>
      <c r="J320" s="3">
        <f>[2]sens_100_spec_10_PSA!J320</f>
        <v>165163.82061829299</v>
      </c>
      <c r="K320" s="3">
        <f>[2]sens_100_spec_10_PSA!K320</f>
        <v>98863.537770138195</v>
      </c>
      <c r="L320">
        <f>[2]sens_100_spec_10_PSA!L320</f>
        <v>1</v>
      </c>
      <c r="M320">
        <f>[2]sens_100_spec_10_PSA!M320</f>
        <v>0</v>
      </c>
    </row>
    <row r="321" spans="1:13" x14ac:dyDescent="0.25">
      <c r="A321">
        <f>[2]sens_100_spec_10_PSA!A321</f>
        <v>320</v>
      </c>
      <c r="B321">
        <f>[2]sens_100_spec_10_PSA!B321</f>
        <v>1</v>
      </c>
      <c r="C321" t="str">
        <f>[2]sens_100_spec_10_PSA!C321</f>
        <v>NA</v>
      </c>
      <c r="D321">
        <f>[2]sens_100_spec_10_PSA!D321</f>
        <v>1</v>
      </c>
      <c r="E321" s="1">
        <f>[2]sens_100_spec_10_PSA!E321</f>
        <v>0.25480000000000003</v>
      </c>
      <c r="F321" s="1">
        <f>[2]sens_100_spec_10_PSA!F321</f>
        <v>1.9699999999999999E-2</v>
      </c>
      <c r="G321" s="2">
        <f>[2]sens_100_spec_10_PSA!G321</f>
        <v>16.999702201778302</v>
      </c>
      <c r="H321" s="2">
        <f>[2]sens_100_spec_10_PSA!H321</f>
        <v>13.0953143215377</v>
      </c>
      <c r="I321" s="2">
        <f>[2]sens_100_spec_10_PSA!I321</f>
        <v>7.8744837584869902</v>
      </c>
      <c r="J321" s="3">
        <f>[2]sens_100_spec_10_PSA!J321</f>
        <v>177718.17270110699</v>
      </c>
      <c r="K321" s="3">
        <f>[2]sens_100_spec_10_PSA!K321</f>
        <v>106587.945597265</v>
      </c>
      <c r="L321">
        <f>[2]sens_100_spec_10_PSA!L321</f>
        <v>1</v>
      </c>
      <c r="M321">
        <f>[2]sens_100_spec_10_PSA!M321</f>
        <v>0</v>
      </c>
    </row>
    <row r="322" spans="1:13" x14ac:dyDescent="0.25">
      <c r="A322">
        <f>[2]sens_100_spec_10_PSA!A322</f>
        <v>321</v>
      </c>
      <c r="B322">
        <f>[2]sens_100_spec_10_PSA!B322</f>
        <v>1</v>
      </c>
      <c r="C322" t="str">
        <f>[2]sens_100_spec_10_PSA!C322</f>
        <v>NA</v>
      </c>
      <c r="D322">
        <f>[2]sens_100_spec_10_PSA!D322</f>
        <v>1</v>
      </c>
      <c r="E322" s="1">
        <f>[2]sens_100_spec_10_PSA!E322</f>
        <v>0.2094</v>
      </c>
      <c r="F322" s="1">
        <f>[2]sens_100_spec_10_PSA!F322</f>
        <v>2.75E-2</v>
      </c>
      <c r="G322" s="2">
        <f>[2]sens_100_spec_10_PSA!G322</f>
        <v>17.169889839277101</v>
      </c>
      <c r="H322" s="2">
        <f>[2]sens_100_spec_10_PSA!H322</f>
        <v>13.059096571567901</v>
      </c>
      <c r="I322" s="2">
        <f>[2]sens_100_spec_10_PSA!I322</f>
        <v>7.8989013429977497</v>
      </c>
      <c r="J322" s="3">
        <f>[2]sens_100_spec_10_PSA!J322</f>
        <v>211788.66141030999</v>
      </c>
      <c r="K322" s="3">
        <f>[2]sens_100_spec_10_PSA!K322</f>
        <v>126929.91068417</v>
      </c>
      <c r="L322">
        <f>[2]sens_100_spec_10_PSA!L322</f>
        <v>1</v>
      </c>
      <c r="M322">
        <f>[2]sens_100_spec_10_PSA!M322</f>
        <v>0</v>
      </c>
    </row>
    <row r="323" spans="1:13" x14ac:dyDescent="0.25">
      <c r="A323">
        <f>[2]sens_100_spec_10_PSA!A323</f>
        <v>322</v>
      </c>
      <c r="B323">
        <f>[2]sens_100_spec_10_PSA!B323</f>
        <v>1</v>
      </c>
      <c r="C323" t="str">
        <f>[2]sens_100_spec_10_PSA!C323</f>
        <v>NA</v>
      </c>
      <c r="D323">
        <f>[2]sens_100_spec_10_PSA!D323</f>
        <v>1</v>
      </c>
      <c r="E323" s="1">
        <f>[2]sens_100_spec_10_PSA!E323</f>
        <v>0.15890000000000001</v>
      </c>
      <c r="F323" s="1">
        <f>[2]sens_100_spec_10_PSA!F323</f>
        <v>2.18E-2</v>
      </c>
      <c r="G323" s="2">
        <f>[2]sens_100_spec_10_PSA!G323</f>
        <v>19.065555620276701</v>
      </c>
      <c r="H323" s="2">
        <f>[2]sens_100_spec_10_PSA!H323</f>
        <v>13.9707497367366</v>
      </c>
      <c r="I323" s="2">
        <f>[2]sens_100_spec_10_PSA!I323</f>
        <v>8.3624236529792295</v>
      </c>
      <c r="J323" s="3">
        <f>[2]sens_100_spec_10_PSA!J323</f>
        <v>191707.49119223599</v>
      </c>
      <c r="K323" s="3">
        <f>[2]sens_100_spec_10_PSA!K323</f>
        <v>114196.76522965101</v>
      </c>
      <c r="L323">
        <f>[2]sens_100_spec_10_PSA!L323</f>
        <v>1</v>
      </c>
      <c r="M323">
        <f>[2]sens_100_spec_10_PSA!M323</f>
        <v>0</v>
      </c>
    </row>
    <row r="324" spans="1:13" x14ac:dyDescent="0.25">
      <c r="A324">
        <f>[2]sens_100_spec_10_PSA!A324</f>
        <v>323</v>
      </c>
      <c r="B324">
        <f>[2]sens_100_spec_10_PSA!B324</f>
        <v>1</v>
      </c>
      <c r="C324" t="str">
        <f>[2]sens_100_spec_10_PSA!C324</f>
        <v>NA</v>
      </c>
      <c r="D324">
        <f>[2]sens_100_spec_10_PSA!D324</f>
        <v>1</v>
      </c>
      <c r="E324" s="1">
        <f>[2]sens_100_spec_10_PSA!E324</f>
        <v>0.1016</v>
      </c>
      <c r="F324" s="1">
        <f>[2]sens_100_spec_10_PSA!F324</f>
        <v>2.5700000000000001E-2</v>
      </c>
      <c r="G324" s="2">
        <f>[2]sens_100_spec_10_PSA!G324</f>
        <v>19.190422295152299</v>
      </c>
      <c r="H324" s="2">
        <f>[2]sens_100_spec_10_PSA!H324</f>
        <v>12.7529659782819</v>
      </c>
      <c r="I324" s="2">
        <f>[2]sens_100_spec_10_PSA!I324</f>
        <v>7.7268844171524798</v>
      </c>
      <c r="J324" s="3">
        <f>[2]sens_100_spec_10_PSA!J324</f>
        <v>208170.87703956701</v>
      </c>
      <c r="K324" s="3">
        <f>[2]sens_100_spec_10_PSA!K324</f>
        <v>125268.834962512</v>
      </c>
      <c r="L324">
        <f>[2]sens_100_spec_10_PSA!L324</f>
        <v>1</v>
      </c>
      <c r="M324">
        <f>[2]sens_100_spec_10_PSA!M324</f>
        <v>0</v>
      </c>
    </row>
    <row r="325" spans="1:13" x14ac:dyDescent="0.25">
      <c r="A325">
        <f>[2]sens_100_spec_10_PSA!A325</f>
        <v>324</v>
      </c>
      <c r="B325">
        <f>[2]sens_100_spec_10_PSA!B325</f>
        <v>1</v>
      </c>
      <c r="C325" t="str">
        <f>[2]sens_100_spec_10_PSA!C325</f>
        <v>NA</v>
      </c>
      <c r="D325">
        <f>[2]sens_100_spec_10_PSA!D325</f>
        <v>1</v>
      </c>
      <c r="E325" s="1">
        <f>[2]sens_100_spec_10_PSA!E325</f>
        <v>0.1208</v>
      </c>
      <c r="F325" s="1">
        <f>[2]sens_100_spec_10_PSA!F325</f>
        <v>2.5600000000000001E-2</v>
      </c>
      <c r="G325" s="2">
        <f>[2]sens_100_spec_10_PSA!G325</f>
        <v>17.944995665720899</v>
      </c>
      <c r="H325" s="2">
        <f>[2]sens_100_spec_10_PSA!H325</f>
        <v>13.64396234218</v>
      </c>
      <c r="I325" s="2">
        <f>[2]sens_100_spec_10_PSA!I325</f>
        <v>8.3906550805220395</v>
      </c>
      <c r="J325" s="3">
        <f>[2]sens_100_spec_10_PSA!J325</f>
        <v>255963.79321146899</v>
      </c>
      <c r="K325" s="3">
        <f>[2]sens_100_spec_10_PSA!K325</f>
        <v>155094.15185738099</v>
      </c>
      <c r="L325">
        <f>[2]sens_100_spec_10_PSA!L325</f>
        <v>1</v>
      </c>
      <c r="M325">
        <f>[2]sens_100_spec_10_PSA!M325</f>
        <v>0</v>
      </c>
    </row>
    <row r="326" spans="1:13" x14ac:dyDescent="0.25">
      <c r="A326">
        <f>[2]sens_100_spec_10_PSA!A326</f>
        <v>325</v>
      </c>
      <c r="B326">
        <f>[2]sens_100_spec_10_PSA!B326</f>
        <v>1</v>
      </c>
      <c r="C326" t="str">
        <f>[2]sens_100_spec_10_PSA!C326</f>
        <v>NA</v>
      </c>
      <c r="D326">
        <f>[2]sens_100_spec_10_PSA!D326</f>
        <v>1</v>
      </c>
      <c r="E326" s="1">
        <f>[2]sens_100_spec_10_PSA!E326</f>
        <v>0.14410000000000001</v>
      </c>
      <c r="F326" s="1">
        <f>[2]sens_100_spec_10_PSA!F326</f>
        <v>2.7900000000000001E-2</v>
      </c>
      <c r="G326" s="2">
        <f>[2]sens_100_spec_10_PSA!G326</f>
        <v>20.476797437212301</v>
      </c>
      <c r="H326" s="2">
        <f>[2]sens_100_spec_10_PSA!H326</f>
        <v>16.296401263455699</v>
      </c>
      <c r="I326" s="2">
        <f>[2]sens_100_spec_10_PSA!I326</f>
        <v>9.5922775549197503</v>
      </c>
      <c r="J326" s="3">
        <f>[2]sens_100_spec_10_PSA!J326</f>
        <v>269434.17858650797</v>
      </c>
      <c r="K326" s="3">
        <f>[2]sens_100_spec_10_PSA!K326</f>
        <v>154044.16184296701</v>
      </c>
      <c r="L326">
        <f>[2]sens_100_spec_10_PSA!L326</f>
        <v>1</v>
      </c>
      <c r="M326">
        <f>[2]sens_100_spec_10_PSA!M326</f>
        <v>0</v>
      </c>
    </row>
    <row r="327" spans="1:13" x14ac:dyDescent="0.25">
      <c r="A327">
        <f>[2]sens_100_spec_10_PSA!A327</f>
        <v>326</v>
      </c>
      <c r="B327">
        <f>[2]sens_100_spec_10_PSA!B327</f>
        <v>1</v>
      </c>
      <c r="C327" t="str">
        <f>[2]sens_100_spec_10_PSA!C327</f>
        <v>NA</v>
      </c>
      <c r="D327">
        <f>[2]sens_100_spec_10_PSA!D327</f>
        <v>1</v>
      </c>
      <c r="E327" s="1">
        <f>[2]sens_100_spec_10_PSA!E327</f>
        <v>9.5699999999999993E-2</v>
      </c>
      <c r="F327" s="1">
        <f>[2]sens_100_spec_10_PSA!F327</f>
        <v>2.4799999999999999E-2</v>
      </c>
      <c r="G327" s="2">
        <f>[2]sens_100_spec_10_PSA!G327</f>
        <v>18.321423778713001</v>
      </c>
      <c r="H327" s="2">
        <f>[2]sens_100_spec_10_PSA!H327</f>
        <v>12.3873463429754</v>
      </c>
      <c r="I327" s="2">
        <f>[2]sens_100_spec_10_PSA!I327</f>
        <v>7.60746457048353</v>
      </c>
      <c r="J327" s="3">
        <f>[2]sens_100_spec_10_PSA!J327</f>
        <v>159810.472437419</v>
      </c>
      <c r="K327" s="3">
        <f>[2]sens_100_spec_10_PSA!K327</f>
        <v>99522.836093402497</v>
      </c>
      <c r="L327">
        <f>[2]sens_100_spec_10_PSA!L327</f>
        <v>1</v>
      </c>
      <c r="M327">
        <f>[2]sens_100_spec_10_PSA!M327</f>
        <v>0</v>
      </c>
    </row>
    <row r="328" spans="1:13" x14ac:dyDescent="0.25">
      <c r="A328">
        <f>[2]sens_100_spec_10_PSA!A328</f>
        <v>327</v>
      </c>
      <c r="B328">
        <f>[2]sens_100_spec_10_PSA!B328</f>
        <v>1</v>
      </c>
      <c r="C328" t="str">
        <f>[2]sens_100_spec_10_PSA!C328</f>
        <v>NA</v>
      </c>
      <c r="D328">
        <f>[2]sens_100_spec_10_PSA!D328</f>
        <v>1</v>
      </c>
      <c r="E328" s="1">
        <f>[2]sens_100_spec_10_PSA!E328</f>
        <v>0.16350000000000001</v>
      </c>
      <c r="F328" s="1">
        <f>[2]sens_100_spec_10_PSA!F328</f>
        <v>2.4299999999999999E-2</v>
      </c>
      <c r="G328" s="2">
        <f>[2]sens_100_spec_10_PSA!G328</f>
        <v>18.912538044446599</v>
      </c>
      <c r="H328" s="2">
        <f>[2]sens_100_spec_10_PSA!H328</f>
        <v>11.7084249227015</v>
      </c>
      <c r="I328" s="2">
        <f>[2]sens_100_spec_10_PSA!I328</f>
        <v>7.0002433843304299</v>
      </c>
      <c r="J328" s="3">
        <f>[2]sens_100_spec_10_PSA!J328</f>
        <v>243195.270841897</v>
      </c>
      <c r="K328" s="3">
        <f>[2]sens_100_spec_10_PSA!K328</f>
        <v>142249.33021659101</v>
      </c>
      <c r="L328">
        <f>[2]sens_100_spec_10_PSA!L328</f>
        <v>1</v>
      </c>
      <c r="M328">
        <f>[2]sens_100_spec_10_PSA!M328</f>
        <v>0</v>
      </c>
    </row>
    <row r="329" spans="1:13" x14ac:dyDescent="0.25">
      <c r="A329">
        <f>[2]sens_100_spec_10_PSA!A329</f>
        <v>328</v>
      </c>
      <c r="B329">
        <f>[2]sens_100_spec_10_PSA!B329</f>
        <v>1</v>
      </c>
      <c r="C329" t="str">
        <f>[2]sens_100_spec_10_PSA!C329</f>
        <v>NA</v>
      </c>
      <c r="D329">
        <f>[2]sens_100_spec_10_PSA!D329</f>
        <v>1</v>
      </c>
      <c r="E329" s="1">
        <f>[2]sens_100_spec_10_PSA!E329</f>
        <v>0.1658</v>
      </c>
      <c r="F329" s="1">
        <f>[2]sens_100_spec_10_PSA!F329</f>
        <v>2.5700000000000001E-2</v>
      </c>
      <c r="G329" s="2">
        <f>[2]sens_100_spec_10_PSA!G329</f>
        <v>18.210055178516001</v>
      </c>
      <c r="H329" s="2">
        <f>[2]sens_100_spec_10_PSA!H329</f>
        <v>12.215659365307101</v>
      </c>
      <c r="I329" s="2">
        <f>[2]sens_100_spec_10_PSA!I329</f>
        <v>7.3913324166109904</v>
      </c>
      <c r="J329" s="3">
        <f>[2]sens_100_spec_10_PSA!J329</f>
        <v>186509.04994530699</v>
      </c>
      <c r="K329" s="3">
        <f>[2]sens_100_spec_10_PSA!K329</f>
        <v>112694.18962644201</v>
      </c>
      <c r="L329">
        <f>[2]sens_100_spec_10_PSA!L329</f>
        <v>1</v>
      </c>
      <c r="M329">
        <f>[2]sens_100_spec_10_PSA!M329</f>
        <v>0</v>
      </c>
    </row>
    <row r="330" spans="1:13" x14ac:dyDescent="0.25">
      <c r="A330">
        <f>[2]sens_100_spec_10_PSA!A330</f>
        <v>329</v>
      </c>
      <c r="B330">
        <f>[2]sens_100_spec_10_PSA!B330</f>
        <v>1</v>
      </c>
      <c r="C330" t="str">
        <f>[2]sens_100_spec_10_PSA!C330</f>
        <v>NA</v>
      </c>
      <c r="D330">
        <f>[2]sens_100_spec_10_PSA!D330</f>
        <v>1</v>
      </c>
      <c r="E330" s="1">
        <f>[2]sens_100_spec_10_PSA!E330</f>
        <v>0.158</v>
      </c>
      <c r="F330" s="1">
        <f>[2]sens_100_spec_10_PSA!F330</f>
        <v>2.3900000000000001E-2</v>
      </c>
      <c r="G330" s="2">
        <f>[2]sens_100_spec_10_PSA!G330</f>
        <v>18.748307744939101</v>
      </c>
      <c r="H330" s="2">
        <f>[2]sens_100_spec_10_PSA!H330</f>
        <v>14.787600535984801</v>
      </c>
      <c r="I330" s="2">
        <f>[2]sens_100_spec_10_PSA!I330</f>
        <v>8.9013042684514296</v>
      </c>
      <c r="J330" s="3">
        <f>[2]sens_100_spec_10_PSA!J330</f>
        <v>205745.263244484</v>
      </c>
      <c r="K330" s="3">
        <f>[2]sens_100_spec_10_PSA!K330</f>
        <v>122792.89390144301</v>
      </c>
      <c r="L330">
        <f>[2]sens_100_spec_10_PSA!L330</f>
        <v>1</v>
      </c>
      <c r="M330">
        <f>[2]sens_100_spec_10_PSA!M330</f>
        <v>0</v>
      </c>
    </row>
    <row r="331" spans="1:13" x14ac:dyDescent="0.25">
      <c r="A331">
        <f>[2]sens_100_spec_10_PSA!A331</f>
        <v>330</v>
      </c>
      <c r="B331">
        <f>[2]sens_100_spec_10_PSA!B331</f>
        <v>1</v>
      </c>
      <c r="C331" t="str">
        <f>[2]sens_100_spec_10_PSA!C331</f>
        <v>NA</v>
      </c>
      <c r="D331">
        <f>[2]sens_100_spec_10_PSA!D331</f>
        <v>1</v>
      </c>
      <c r="E331" s="1">
        <f>[2]sens_100_spec_10_PSA!E331</f>
        <v>0.21990000000000001</v>
      </c>
      <c r="F331" s="1">
        <f>[2]sens_100_spec_10_PSA!F331</f>
        <v>2.81E-2</v>
      </c>
      <c r="G331" s="2">
        <f>[2]sens_100_spec_10_PSA!G331</f>
        <v>18.639708632888301</v>
      </c>
      <c r="H331" s="2">
        <f>[2]sens_100_spec_10_PSA!H331</f>
        <v>13.774758937695101</v>
      </c>
      <c r="I331" s="2">
        <f>[2]sens_100_spec_10_PSA!I331</f>
        <v>8.1265404413740701</v>
      </c>
      <c r="J331" s="3">
        <f>[2]sens_100_spec_10_PSA!J331</f>
        <v>160041.235473648</v>
      </c>
      <c r="K331" s="3">
        <f>[2]sens_100_spec_10_PSA!K331</f>
        <v>94721.826504585202</v>
      </c>
      <c r="L331">
        <f>[2]sens_100_spec_10_PSA!L331</f>
        <v>1</v>
      </c>
      <c r="M331">
        <f>[2]sens_100_spec_10_PSA!M331</f>
        <v>0</v>
      </c>
    </row>
    <row r="332" spans="1:13" x14ac:dyDescent="0.25">
      <c r="A332">
        <f>[2]sens_100_spec_10_PSA!A332</f>
        <v>331</v>
      </c>
      <c r="B332">
        <f>[2]sens_100_spec_10_PSA!B332</f>
        <v>1</v>
      </c>
      <c r="C332" t="str">
        <f>[2]sens_100_spec_10_PSA!C332</f>
        <v>NA</v>
      </c>
      <c r="D332">
        <f>[2]sens_100_spec_10_PSA!D332</f>
        <v>1</v>
      </c>
      <c r="E332" s="1">
        <f>[2]sens_100_spec_10_PSA!E332</f>
        <v>0.12939999999999999</v>
      </c>
      <c r="F332" s="1">
        <f>[2]sens_100_spec_10_PSA!F332</f>
        <v>2.3099999999999999E-2</v>
      </c>
      <c r="G332" s="2">
        <f>[2]sens_100_spec_10_PSA!G332</f>
        <v>20.268212660244298</v>
      </c>
      <c r="H332" s="2">
        <f>[2]sens_100_spec_10_PSA!H332</f>
        <v>13.192495894884701</v>
      </c>
      <c r="I332" s="2">
        <f>[2]sens_100_spec_10_PSA!I332</f>
        <v>7.8298742822505902</v>
      </c>
      <c r="J332" s="3">
        <f>[2]sens_100_spec_10_PSA!J332</f>
        <v>188686.152882686</v>
      </c>
      <c r="K332" s="3">
        <f>[2]sens_100_spec_10_PSA!K332</f>
        <v>111470.035015656</v>
      </c>
      <c r="L332">
        <f>[2]sens_100_spec_10_PSA!L332</f>
        <v>1</v>
      </c>
      <c r="M332">
        <f>[2]sens_100_spec_10_PSA!M332</f>
        <v>0</v>
      </c>
    </row>
    <row r="333" spans="1:13" x14ac:dyDescent="0.25">
      <c r="A333">
        <f>[2]sens_100_spec_10_PSA!A333</f>
        <v>332</v>
      </c>
      <c r="B333">
        <f>[2]sens_100_spec_10_PSA!B333</f>
        <v>1</v>
      </c>
      <c r="C333" t="str">
        <f>[2]sens_100_spec_10_PSA!C333</f>
        <v>NA</v>
      </c>
      <c r="D333">
        <f>[2]sens_100_spec_10_PSA!D333</f>
        <v>1</v>
      </c>
      <c r="E333" s="1">
        <f>[2]sens_100_spec_10_PSA!E333</f>
        <v>0.14030000000000001</v>
      </c>
      <c r="F333" s="1">
        <f>[2]sens_100_spec_10_PSA!F333</f>
        <v>2.6100000000000002E-2</v>
      </c>
      <c r="G333" s="2">
        <f>[2]sens_100_spec_10_PSA!G333</f>
        <v>19.954000259554199</v>
      </c>
      <c r="H333" s="2">
        <f>[2]sens_100_spec_10_PSA!H333</f>
        <v>14.4732654077002</v>
      </c>
      <c r="I333" s="2">
        <f>[2]sens_100_spec_10_PSA!I333</f>
        <v>8.5802379167917007</v>
      </c>
      <c r="J333" s="3">
        <f>[2]sens_100_spec_10_PSA!J333</f>
        <v>229237.03397875</v>
      </c>
      <c r="K333" s="3">
        <f>[2]sens_100_spec_10_PSA!K333</f>
        <v>133694.096583751</v>
      </c>
      <c r="L333">
        <f>[2]sens_100_spec_10_PSA!L333</f>
        <v>1</v>
      </c>
      <c r="M333">
        <f>[2]sens_100_spec_10_PSA!M333</f>
        <v>0</v>
      </c>
    </row>
    <row r="334" spans="1:13" x14ac:dyDescent="0.25">
      <c r="A334">
        <f>[2]sens_100_spec_10_PSA!A334</f>
        <v>333</v>
      </c>
      <c r="B334">
        <f>[2]sens_100_spec_10_PSA!B334</f>
        <v>1</v>
      </c>
      <c r="C334" t="str">
        <f>[2]sens_100_spec_10_PSA!C334</f>
        <v>NA</v>
      </c>
      <c r="D334">
        <f>[2]sens_100_spec_10_PSA!D334</f>
        <v>1</v>
      </c>
      <c r="E334" s="1">
        <f>[2]sens_100_spec_10_PSA!E334</f>
        <v>0.10489999999999999</v>
      </c>
      <c r="F334" s="1">
        <f>[2]sens_100_spec_10_PSA!F334</f>
        <v>2.5399999999999999E-2</v>
      </c>
      <c r="G334" s="2">
        <f>[2]sens_100_spec_10_PSA!G334</f>
        <v>18.751016675021901</v>
      </c>
      <c r="H334" s="2">
        <f>[2]sens_100_spec_10_PSA!H334</f>
        <v>13.293489812358301</v>
      </c>
      <c r="I334" s="2">
        <f>[2]sens_100_spec_10_PSA!I334</f>
        <v>8.1123208777789895</v>
      </c>
      <c r="J334" s="3">
        <f>[2]sens_100_spec_10_PSA!J334</f>
        <v>161831.04511130499</v>
      </c>
      <c r="K334" s="3">
        <f>[2]sens_100_spec_10_PSA!K334</f>
        <v>99820.383203577003</v>
      </c>
      <c r="L334">
        <f>[2]sens_100_spec_10_PSA!L334</f>
        <v>1</v>
      </c>
      <c r="M334">
        <f>[2]sens_100_spec_10_PSA!M334</f>
        <v>0</v>
      </c>
    </row>
    <row r="335" spans="1:13" x14ac:dyDescent="0.25">
      <c r="A335">
        <f>[2]sens_100_spec_10_PSA!A335</f>
        <v>334</v>
      </c>
      <c r="B335">
        <f>[2]sens_100_spec_10_PSA!B335</f>
        <v>1</v>
      </c>
      <c r="C335" t="str">
        <f>[2]sens_100_spec_10_PSA!C335</f>
        <v>NA</v>
      </c>
      <c r="D335">
        <f>[2]sens_100_spec_10_PSA!D335</f>
        <v>1</v>
      </c>
      <c r="E335" s="1">
        <f>[2]sens_100_spec_10_PSA!E335</f>
        <v>9.0700000000000003E-2</v>
      </c>
      <c r="F335" s="1">
        <f>[2]sens_100_spec_10_PSA!F335</f>
        <v>2.69E-2</v>
      </c>
      <c r="G335" s="2">
        <f>[2]sens_100_spec_10_PSA!G335</f>
        <v>20.8057886875002</v>
      </c>
      <c r="H335" s="2">
        <f>[2]sens_100_spec_10_PSA!H335</f>
        <v>15.226676910377201</v>
      </c>
      <c r="I335" s="2">
        <f>[2]sens_100_spec_10_PSA!I335</f>
        <v>9.0554541361557792</v>
      </c>
      <c r="J335" s="3">
        <f>[2]sens_100_spec_10_PSA!J335</f>
        <v>290515.32213936403</v>
      </c>
      <c r="K335" s="3">
        <f>[2]sens_100_spec_10_PSA!K335</f>
        <v>168112.71322879501</v>
      </c>
      <c r="L335">
        <f>[2]sens_100_spec_10_PSA!L335</f>
        <v>1</v>
      </c>
      <c r="M335">
        <f>[2]sens_100_spec_10_PSA!M335</f>
        <v>0</v>
      </c>
    </row>
    <row r="336" spans="1:13" x14ac:dyDescent="0.25">
      <c r="A336">
        <f>[2]sens_100_spec_10_PSA!A336</f>
        <v>335</v>
      </c>
      <c r="B336">
        <f>[2]sens_100_spec_10_PSA!B336</f>
        <v>1</v>
      </c>
      <c r="C336" t="str">
        <f>[2]sens_100_spec_10_PSA!C336</f>
        <v>NA</v>
      </c>
      <c r="D336">
        <f>[2]sens_100_spec_10_PSA!D336</f>
        <v>1</v>
      </c>
      <c r="E336" s="1">
        <f>[2]sens_100_spec_10_PSA!E336</f>
        <v>0.1187</v>
      </c>
      <c r="F336" s="1">
        <f>[2]sens_100_spec_10_PSA!F336</f>
        <v>2.7199999999999998E-2</v>
      </c>
      <c r="G336" s="2">
        <f>[2]sens_100_spec_10_PSA!G336</f>
        <v>20.802118076974999</v>
      </c>
      <c r="H336" s="2">
        <f>[2]sens_100_spec_10_PSA!H336</f>
        <v>16.3857417940253</v>
      </c>
      <c r="I336" s="2">
        <f>[2]sens_100_spec_10_PSA!I336</f>
        <v>9.6466053907265099</v>
      </c>
      <c r="J336" s="3">
        <f>[2]sens_100_spec_10_PSA!J336</f>
        <v>252832.11394781401</v>
      </c>
      <c r="K336" s="3">
        <f>[2]sens_100_spec_10_PSA!K336</f>
        <v>145419.94016938499</v>
      </c>
      <c r="L336">
        <f>[2]sens_100_spec_10_PSA!L336</f>
        <v>1</v>
      </c>
      <c r="M336">
        <f>[2]sens_100_spec_10_PSA!M336</f>
        <v>0</v>
      </c>
    </row>
    <row r="337" spans="1:13" x14ac:dyDescent="0.25">
      <c r="A337">
        <f>[2]sens_100_spec_10_PSA!A337</f>
        <v>336</v>
      </c>
      <c r="B337">
        <f>[2]sens_100_spec_10_PSA!B337</f>
        <v>1</v>
      </c>
      <c r="C337" t="str">
        <f>[2]sens_100_spec_10_PSA!C337</f>
        <v>NA</v>
      </c>
      <c r="D337">
        <f>[2]sens_100_spec_10_PSA!D337</f>
        <v>1</v>
      </c>
      <c r="E337" s="1">
        <f>[2]sens_100_spec_10_PSA!E337</f>
        <v>0.1721</v>
      </c>
      <c r="F337" s="1">
        <f>[2]sens_100_spec_10_PSA!F337</f>
        <v>2.5100000000000001E-2</v>
      </c>
      <c r="G337" s="2">
        <f>[2]sens_100_spec_10_PSA!G337</f>
        <v>17.249886316184298</v>
      </c>
      <c r="H337" s="2">
        <f>[2]sens_100_spec_10_PSA!H337</f>
        <v>12.810249086812901</v>
      </c>
      <c r="I337" s="2">
        <f>[2]sens_100_spec_10_PSA!I337</f>
        <v>7.85131670757906</v>
      </c>
      <c r="J337" s="3">
        <f>[2]sens_100_spec_10_PSA!J337</f>
        <v>156761.29890561901</v>
      </c>
      <c r="K337" s="3">
        <f>[2]sens_100_spec_10_PSA!K337</f>
        <v>97365.548871334395</v>
      </c>
      <c r="L337">
        <f>[2]sens_100_spec_10_PSA!L337</f>
        <v>1</v>
      </c>
      <c r="M337">
        <f>[2]sens_100_spec_10_PSA!M337</f>
        <v>0</v>
      </c>
    </row>
    <row r="338" spans="1:13" x14ac:dyDescent="0.25">
      <c r="A338">
        <f>[2]sens_100_spec_10_PSA!A338</f>
        <v>337</v>
      </c>
      <c r="B338">
        <f>[2]sens_100_spec_10_PSA!B338</f>
        <v>1</v>
      </c>
      <c r="C338" t="str">
        <f>[2]sens_100_spec_10_PSA!C338</f>
        <v>NA</v>
      </c>
      <c r="D338">
        <f>[2]sens_100_spec_10_PSA!D338</f>
        <v>1</v>
      </c>
      <c r="E338" s="1">
        <f>[2]sens_100_spec_10_PSA!E338</f>
        <v>0.13339999999999999</v>
      </c>
      <c r="F338" s="1">
        <f>[2]sens_100_spec_10_PSA!F338</f>
        <v>2.9700000000000001E-2</v>
      </c>
      <c r="G338" s="2">
        <f>[2]sens_100_spec_10_PSA!G338</f>
        <v>19.728839655237699</v>
      </c>
      <c r="H338" s="2">
        <f>[2]sens_100_spec_10_PSA!H338</f>
        <v>12.729855798329</v>
      </c>
      <c r="I338" s="2">
        <f>[2]sens_100_spec_10_PSA!I338</f>
        <v>7.5764217048655702</v>
      </c>
      <c r="J338" s="3">
        <f>[2]sens_100_spec_10_PSA!J338</f>
        <v>202545.108134763</v>
      </c>
      <c r="K338" s="3">
        <f>[2]sens_100_spec_10_PSA!K338</f>
        <v>119560.99598273</v>
      </c>
      <c r="L338">
        <f>[2]sens_100_spec_10_PSA!L338</f>
        <v>1</v>
      </c>
      <c r="M338">
        <f>[2]sens_100_spec_10_PSA!M338</f>
        <v>0</v>
      </c>
    </row>
    <row r="339" spans="1:13" x14ac:dyDescent="0.25">
      <c r="A339">
        <f>[2]sens_100_spec_10_PSA!A339</f>
        <v>338</v>
      </c>
      <c r="B339">
        <f>[2]sens_100_spec_10_PSA!B339</f>
        <v>1</v>
      </c>
      <c r="C339" t="str">
        <f>[2]sens_100_spec_10_PSA!C339</f>
        <v>NA</v>
      </c>
      <c r="D339">
        <f>[2]sens_100_spec_10_PSA!D339</f>
        <v>1</v>
      </c>
      <c r="E339" s="1">
        <f>[2]sens_100_spec_10_PSA!E339</f>
        <v>0.1832</v>
      </c>
      <c r="F339" s="1">
        <f>[2]sens_100_spec_10_PSA!F339</f>
        <v>2.4799999999999999E-2</v>
      </c>
      <c r="G339" s="2">
        <f>[2]sens_100_spec_10_PSA!G339</f>
        <v>18.266255356831699</v>
      </c>
      <c r="H339" s="2">
        <f>[2]sens_100_spec_10_PSA!H339</f>
        <v>13.93962586934</v>
      </c>
      <c r="I339" s="2">
        <f>[2]sens_100_spec_10_PSA!I339</f>
        <v>8.3801739541075104</v>
      </c>
      <c r="J339" s="3">
        <f>[2]sens_100_spec_10_PSA!J339</f>
        <v>196273.18364549201</v>
      </c>
      <c r="K339" s="3">
        <f>[2]sens_100_spec_10_PSA!K339</f>
        <v>117350.95219733501</v>
      </c>
      <c r="L339">
        <f>[2]sens_100_spec_10_PSA!L339</f>
        <v>1</v>
      </c>
      <c r="M339">
        <f>[2]sens_100_spec_10_PSA!M339</f>
        <v>0</v>
      </c>
    </row>
    <row r="340" spans="1:13" x14ac:dyDescent="0.25">
      <c r="A340">
        <f>[2]sens_100_spec_10_PSA!A340</f>
        <v>339</v>
      </c>
      <c r="B340">
        <f>[2]sens_100_spec_10_PSA!B340</f>
        <v>1</v>
      </c>
      <c r="C340" t="str">
        <f>[2]sens_100_spec_10_PSA!C340</f>
        <v>NA</v>
      </c>
      <c r="D340">
        <f>[2]sens_100_spec_10_PSA!D340</f>
        <v>1</v>
      </c>
      <c r="E340" s="1">
        <f>[2]sens_100_spec_10_PSA!E340</f>
        <v>0.1244</v>
      </c>
      <c r="F340" s="1">
        <f>[2]sens_100_spec_10_PSA!F340</f>
        <v>2.64E-2</v>
      </c>
      <c r="G340" s="2">
        <f>[2]sens_100_spec_10_PSA!G340</f>
        <v>18.695869802600299</v>
      </c>
      <c r="H340" s="2">
        <f>[2]sens_100_spec_10_PSA!H340</f>
        <v>13.432561324377399</v>
      </c>
      <c r="I340" s="2">
        <f>[2]sens_100_spec_10_PSA!I340</f>
        <v>8.1449995847372794</v>
      </c>
      <c r="J340" s="3">
        <f>[2]sens_100_spec_10_PSA!J340</f>
        <v>259339.955055428</v>
      </c>
      <c r="K340" s="3">
        <f>[2]sens_100_spec_10_PSA!K340</f>
        <v>154323.188228327</v>
      </c>
      <c r="L340">
        <f>[2]sens_100_spec_10_PSA!L340</f>
        <v>1</v>
      </c>
      <c r="M340">
        <f>[2]sens_100_spec_10_PSA!M340</f>
        <v>0</v>
      </c>
    </row>
    <row r="341" spans="1:13" x14ac:dyDescent="0.25">
      <c r="A341">
        <f>[2]sens_100_spec_10_PSA!A341</f>
        <v>340</v>
      </c>
      <c r="B341">
        <f>[2]sens_100_spec_10_PSA!B341</f>
        <v>1</v>
      </c>
      <c r="C341" t="str">
        <f>[2]sens_100_spec_10_PSA!C341</f>
        <v>NA</v>
      </c>
      <c r="D341">
        <f>[2]sens_100_spec_10_PSA!D341</f>
        <v>1</v>
      </c>
      <c r="E341" s="1">
        <f>[2]sens_100_spec_10_PSA!E341</f>
        <v>0.13389999999999999</v>
      </c>
      <c r="F341" s="1">
        <f>[2]sens_100_spec_10_PSA!F341</f>
        <v>2.69E-2</v>
      </c>
      <c r="G341" s="2">
        <f>[2]sens_100_spec_10_PSA!G341</f>
        <v>18.851595566347001</v>
      </c>
      <c r="H341" s="2">
        <f>[2]sens_100_spec_10_PSA!H341</f>
        <v>14.100982465643099</v>
      </c>
      <c r="I341" s="2">
        <f>[2]sens_100_spec_10_PSA!I341</f>
        <v>8.5160516579368704</v>
      </c>
      <c r="J341" s="3">
        <f>[2]sens_100_spec_10_PSA!J341</f>
        <v>169400.524869999</v>
      </c>
      <c r="K341" s="3">
        <f>[2]sens_100_spec_10_PSA!K341</f>
        <v>102652.933690333</v>
      </c>
      <c r="L341">
        <f>[2]sens_100_spec_10_PSA!L341</f>
        <v>1</v>
      </c>
      <c r="M341">
        <f>[2]sens_100_spec_10_PSA!M341</f>
        <v>0</v>
      </c>
    </row>
    <row r="342" spans="1:13" x14ac:dyDescent="0.25">
      <c r="A342">
        <f>[2]sens_100_spec_10_PSA!A342</f>
        <v>341</v>
      </c>
      <c r="B342">
        <f>[2]sens_100_spec_10_PSA!B342</f>
        <v>1</v>
      </c>
      <c r="C342" t="str">
        <f>[2]sens_100_spec_10_PSA!C342</f>
        <v>NA</v>
      </c>
      <c r="D342">
        <f>[2]sens_100_spec_10_PSA!D342</f>
        <v>1</v>
      </c>
      <c r="E342" s="1">
        <f>[2]sens_100_spec_10_PSA!E342</f>
        <v>0.20330000000000001</v>
      </c>
      <c r="F342" s="1">
        <f>[2]sens_100_spec_10_PSA!F342</f>
        <v>2.6599999999999999E-2</v>
      </c>
      <c r="G342" s="2">
        <f>[2]sens_100_spec_10_PSA!G342</f>
        <v>18.441498181476199</v>
      </c>
      <c r="H342" s="2">
        <f>[2]sens_100_spec_10_PSA!H342</f>
        <v>13.093370321608599</v>
      </c>
      <c r="I342" s="2">
        <f>[2]sens_100_spec_10_PSA!I342</f>
        <v>7.8055388404685502</v>
      </c>
      <c r="J342" s="3">
        <f>[2]sens_100_spec_10_PSA!J342</f>
        <v>190482.283061931</v>
      </c>
      <c r="K342" s="3">
        <f>[2]sens_100_spec_10_PSA!K342</f>
        <v>112726.92563840401</v>
      </c>
      <c r="L342">
        <f>[2]sens_100_spec_10_PSA!L342</f>
        <v>1</v>
      </c>
      <c r="M342">
        <f>[2]sens_100_spec_10_PSA!M342</f>
        <v>0</v>
      </c>
    </row>
    <row r="343" spans="1:13" x14ac:dyDescent="0.25">
      <c r="A343">
        <f>[2]sens_100_spec_10_PSA!A343</f>
        <v>342</v>
      </c>
      <c r="B343">
        <f>[2]sens_100_spec_10_PSA!B343</f>
        <v>1</v>
      </c>
      <c r="C343" t="str">
        <f>[2]sens_100_spec_10_PSA!C343</f>
        <v>NA</v>
      </c>
      <c r="D343">
        <f>[2]sens_100_spec_10_PSA!D343</f>
        <v>1</v>
      </c>
      <c r="E343" s="1">
        <f>[2]sens_100_spec_10_PSA!E343</f>
        <v>0.1055</v>
      </c>
      <c r="F343" s="1">
        <f>[2]sens_100_spec_10_PSA!F343</f>
        <v>2.69E-2</v>
      </c>
      <c r="G343" s="2">
        <f>[2]sens_100_spec_10_PSA!G343</f>
        <v>19.2610653741975</v>
      </c>
      <c r="H343" s="2">
        <f>[2]sens_100_spec_10_PSA!H343</f>
        <v>13.4264882518398</v>
      </c>
      <c r="I343" s="2">
        <f>[2]sens_100_spec_10_PSA!I343</f>
        <v>8.1040177828067002</v>
      </c>
      <c r="J343" s="3">
        <f>[2]sens_100_spec_10_PSA!J343</f>
        <v>250559.97929974899</v>
      </c>
      <c r="K343" s="3">
        <f>[2]sens_100_spec_10_PSA!K343</f>
        <v>148429.80261322099</v>
      </c>
      <c r="L343">
        <f>[2]sens_100_spec_10_PSA!L343</f>
        <v>1</v>
      </c>
      <c r="M343">
        <f>[2]sens_100_spec_10_PSA!M343</f>
        <v>0</v>
      </c>
    </row>
    <row r="344" spans="1:13" x14ac:dyDescent="0.25">
      <c r="A344">
        <f>[2]sens_100_spec_10_PSA!A344</f>
        <v>343</v>
      </c>
      <c r="B344">
        <f>[2]sens_100_spec_10_PSA!B344</f>
        <v>1</v>
      </c>
      <c r="C344" t="str">
        <f>[2]sens_100_spec_10_PSA!C344</f>
        <v>NA</v>
      </c>
      <c r="D344">
        <f>[2]sens_100_spec_10_PSA!D344</f>
        <v>1</v>
      </c>
      <c r="E344" s="1">
        <f>[2]sens_100_spec_10_PSA!E344</f>
        <v>0.1467</v>
      </c>
      <c r="F344" s="1">
        <f>[2]sens_100_spec_10_PSA!F344</f>
        <v>2.5999999999999999E-2</v>
      </c>
      <c r="G344" s="2">
        <f>[2]sens_100_spec_10_PSA!G344</f>
        <v>18.002328036893299</v>
      </c>
      <c r="H344" s="2">
        <f>[2]sens_100_spec_10_PSA!H344</f>
        <v>11.7549302208272</v>
      </c>
      <c r="I344" s="2">
        <f>[2]sens_100_spec_10_PSA!I344</f>
        <v>7.1434175578027297</v>
      </c>
      <c r="J344" s="3">
        <f>[2]sens_100_spec_10_PSA!J344</f>
        <v>201045.50026405699</v>
      </c>
      <c r="K344" s="3">
        <f>[2]sens_100_spec_10_PSA!K344</f>
        <v>121813.05647183199</v>
      </c>
      <c r="L344">
        <f>[2]sens_100_spec_10_PSA!L344</f>
        <v>1</v>
      </c>
      <c r="M344">
        <f>[2]sens_100_spec_10_PSA!M344</f>
        <v>0</v>
      </c>
    </row>
    <row r="345" spans="1:13" x14ac:dyDescent="0.25">
      <c r="A345">
        <f>[2]sens_100_spec_10_PSA!A345</f>
        <v>344</v>
      </c>
      <c r="B345">
        <f>[2]sens_100_spec_10_PSA!B345</f>
        <v>1</v>
      </c>
      <c r="C345" t="str">
        <f>[2]sens_100_spec_10_PSA!C345</f>
        <v>NA</v>
      </c>
      <c r="D345">
        <f>[2]sens_100_spec_10_PSA!D345</f>
        <v>1</v>
      </c>
      <c r="E345" s="1">
        <f>[2]sens_100_spec_10_PSA!E345</f>
        <v>0.23430000000000001</v>
      </c>
      <c r="F345" s="1">
        <f>[2]sens_100_spec_10_PSA!F345</f>
        <v>2.2700000000000001E-2</v>
      </c>
      <c r="G345" s="2">
        <f>[2]sens_100_spec_10_PSA!G345</f>
        <v>17.102128192834801</v>
      </c>
      <c r="H345" s="2">
        <f>[2]sens_100_spec_10_PSA!H345</f>
        <v>12.401697255248999</v>
      </c>
      <c r="I345" s="2">
        <f>[2]sens_100_spec_10_PSA!I345</f>
        <v>7.46948558008501</v>
      </c>
      <c r="J345" s="3">
        <f>[2]sens_100_spec_10_PSA!J345</f>
        <v>186172.24260450399</v>
      </c>
      <c r="K345" s="3">
        <f>[2]sens_100_spec_10_PSA!K345</f>
        <v>111405.093745698</v>
      </c>
      <c r="L345">
        <f>[2]sens_100_spec_10_PSA!L345</f>
        <v>1</v>
      </c>
      <c r="M345">
        <f>[2]sens_100_spec_10_PSA!M345</f>
        <v>0</v>
      </c>
    </row>
    <row r="346" spans="1:13" x14ac:dyDescent="0.25">
      <c r="A346">
        <f>[2]sens_100_spec_10_PSA!A346</f>
        <v>345</v>
      </c>
      <c r="B346">
        <f>[2]sens_100_spec_10_PSA!B346</f>
        <v>1</v>
      </c>
      <c r="C346" t="str">
        <f>[2]sens_100_spec_10_PSA!C346</f>
        <v>NA</v>
      </c>
      <c r="D346">
        <f>[2]sens_100_spec_10_PSA!D346</f>
        <v>1</v>
      </c>
      <c r="E346" s="1">
        <f>[2]sens_100_spec_10_PSA!E346</f>
        <v>0.17399999999999999</v>
      </c>
      <c r="F346" s="1">
        <f>[2]sens_100_spec_10_PSA!F346</f>
        <v>2.1000000000000001E-2</v>
      </c>
      <c r="G346" s="2">
        <f>[2]sens_100_spec_10_PSA!G346</f>
        <v>19.015708856616602</v>
      </c>
      <c r="H346" s="2">
        <f>[2]sens_100_spec_10_PSA!H346</f>
        <v>12.000199579193801</v>
      </c>
      <c r="I346" s="2">
        <f>[2]sens_100_spec_10_PSA!I346</f>
        <v>7.1649508688547598</v>
      </c>
      <c r="J346" s="3">
        <f>[2]sens_100_spec_10_PSA!J346</f>
        <v>209863.09034282301</v>
      </c>
      <c r="K346" s="3">
        <f>[2]sens_100_spec_10_PSA!K346</f>
        <v>123822.763189786</v>
      </c>
      <c r="L346">
        <f>[2]sens_100_spec_10_PSA!L346</f>
        <v>1</v>
      </c>
      <c r="M346">
        <f>[2]sens_100_spec_10_PSA!M346</f>
        <v>0</v>
      </c>
    </row>
    <row r="347" spans="1:13" x14ac:dyDescent="0.25">
      <c r="A347">
        <f>[2]sens_100_spec_10_PSA!A347</f>
        <v>346</v>
      </c>
      <c r="B347">
        <f>[2]sens_100_spec_10_PSA!B347</f>
        <v>1</v>
      </c>
      <c r="C347" t="str">
        <f>[2]sens_100_spec_10_PSA!C347</f>
        <v>NA</v>
      </c>
      <c r="D347">
        <f>[2]sens_100_spec_10_PSA!D347</f>
        <v>1</v>
      </c>
      <c r="E347" s="1">
        <f>[2]sens_100_spec_10_PSA!E347</f>
        <v>0.14779999999999999</v>
      </c>
      <c r="F347" s="1">
        <f>[2]sens_100_spec_10_PSA!F347</f>
        <v>2.8299999999999999E-2</v>
      </c>
      <c r="G347" s="2">
        <f>[2]sens_100_spec_10_PSA!G347</f>
        <v>18.633344886187999</v>
      </c>
      <c r="H347" s="2">
        <f>[2]sens_100_spec_10_PSA!H347</f>
        <v>13.9924628837783</v>
      </c>
      <c r="I347" s="2">
        <f>[2]sens_100_spec_10_PSA!I347</f>
        <v>8.4264909436445894</v>
      </c>
      <c r="J347" s="3">
        <f>[2]sens_100_spec_10_PSA!J347</f>
        <v>214823.987434512</v>
      </c>
      <c r="K347" s="3">
        <f>[2]sens_100_spec_10_PSA!K347</f>
        <v>128097.52745569</v>
      </c>
      <c r="L347">
        <f>[2]sens_100_spec_10_PSA!L347</f>
        <v>1</v>
      </c>
      <c r="M347">
        <f>[2]sens_100_spec_10_PSA!M347</f>
        <v>0</v>
      </c>
    </row>
    <row r="348" spans="1:13" x14ac:dyDescent="0.25">
      <c r="A348">
        <f>[2]sens_100_spec_10_PSA!A348</f>
        <v>347</v>
      </c>
      <c r="B348">
        <f>[2]sens_100_spec_10_PSA!B348</f>
        <v>1</v>
      </c>
      <c r="C348" t="str">
        <f>[2]sens_100_spec_10_PSA!C348</f>
        <v>NA</v>
      </c>
      <c r="D348">
        <f>[2]sens_100_spec_10_PSA!D348</f>
        <v>1</v>
      </c>
      <c r="E348" s="1">
        <f>[2]sens_100_spec_10_PSA!E348</f>
        <v>0.1179</v>
      </c>
      <c r="F348" s="1">
        <f>[2]sens_100_spec_10_PSA!F348</f>
        <v>3.3099999999999997E-2</v>
      </c>
      <c r="G348" s="2">
        <f>[2]sens_100_spec_10_PSA!G348</f>
        <v>19.907584600095301</v>
      </c>
      <c r="H348" s="2">
        <f>[2]sens_100_spec_10_PSA!H348</f>
        <v>14.494750251683699</v>
      </c>
      <c r="I348" s="2">
        <f>[2]sens_100_spec_10_PSA!I348</f>
        <v>8.6458309291814999</v>
      </c>
      <c r="J348" s="3">
        <f>[2]sens_100_spec_10_PSA!J348</f>
        <v>194508.048177736</v>
      </c>
      <c r="K348" s="3">
        <f>[2]sens_100_spec_10_PSA!K348</f>
        <v>115288.892535879</v>
      </c>
      <c r="L348">
        <f>[2]sens_100_spec_10_PSA!L348</f>
        <v>1</v>
      </c>
      <c r="M348">
        <f>[2]sens_100_spec_10_PSA!M348</f>
        <v>0</v>
      </c>
    </row>
    <row r="349" spans="1:13" x14ac:dyDescent="0.25">
      <c r="A349">
        <f>[2]sens_100_spec_10_PSA!A349</f>
        <v>348</v>
      </c>
      <c r="B349">
        <f>[2]sens_100_spec_10_PSA!B349</f>
        <v>1</v>
      </c>
      <c r="C349" t="str">
        <f>[2]sens_100_spec_10_PSA!C349</f>
        <v>NA</v>
      </c>
      <c r="D349">
        <f>[2]sens_100_spec_10_PSA!D349</f>
        <v>1</v>
      </c>
      <c r="E349" s="1">
        <f>[2]sens_100_spec_10_PSA!E349</f>
        <v>0.12529999999999999</v>
      </c>
      <c r="F349" s="1">
        <f>[2]sens_100_spec_10_PSA!F349</f>
        <v>2.18E-2</v>
      </c>
      <c r="G349" s="2">
        <f>[2]sens_100_spec_10_PSA!G349</f>
        <v>17.587449548301599</v>
      </c>
      <c r="H349" s="2">
        <f>[2]sens_100_spec_10_PSA!H349</f>
        <v>11.8964133402204</v>
      </c>
      <c r="I349" s="2">
        <f>[2]sens_100_spec_10_PSA!I349</f>
        <v>7.3644479877376998</v>
      </c>
      <c r="J349" s="3">
        <f>[2]sens_100_spec_10_PSA!J349</f>
        <v>190245.008971209</v>
      </c>
      <c r="K349" s="3">
        <f>[2]sens_100_spec_10_PSA!K349</f>
        <v>117804.88326142399</v>
      </c>
      <c r="L349">
        <f>[2]sens_100_spec_10_PSA!L349</f>
        <v>1</v>
      </c>
      <c r="M349">
        <f>[2]sens_100_spec_10_PSA!M349</f>
        <v>0</v>
      </c>
    </row>
    <row r="350" spans="1:13" x14ac:dyDescent="0.25">
      <c r="A350">
        <f>[2]sens_100_spec_10_PSA!A350</f>
        <v>349</v>
      </c>
      <c r="B350">
        <f>[2]sens_100_spec_10_PSA!B350</f>
        <v>1</v>
      </c>
      <c r="C350" t="str">
        <f>[2]sens_100_spec_10_PSA!C350</f>
        <v>NA</v>
      </c>
      <c r="D350">
        <f>[2]sens_100_spec_10_PSA!D350</f>
        <v>1</v>
      </c>
      <c r="E350" s="1">
        <f>[2]sens_100_spec_10_PSA!E350</f>
        <v>0.1145</v>
      </c>
      <c r="F350" s="1">
        <f>[2]sens_100_spec_10_PSA!F350</f>
        <v>2.52E-2</v>
      </c>
      <c r="G350" s="2">
        <f>[2]sens_100_spec_10_PSA!G350</f>
        <v>18.714010191684299</v>
      </c>
      <c r="H350" s="2">
        <f>[2]sens_100_spec_10_PSA!H350</f>
        <v>12.6602100502956</v>
      </c>
      <c r="I350" s="2">
        <f>[2]sens_100_spec_10_PSA!I350</f>
        <v>7.7003518233110197</v>
      </c>
      <c r="J350" s="3">
        <f>[2]sens_100_spec_10_PSA!J350</f>
        <v>220719.85712780699</v>
      </c>
      <c r="K350" s="3">
        <f>[2]sens_100_spec_10_PSA!K350</f>
        <v>133322.276738582</v>
      </c>
      <c r="L350">
        <f>[2]sens_100_spec_10_PSA!L350</f>
        <v>1</v>
      </c>
      <c r="M350">
        <f>[2]sens_100_spec_10_PSA!M350</f>
        <v>0</v>
      </c>
    </row>
    <row r="351" spans="1:13" x14ac:dyDescent="0.25">
      <c r="A351">
        <f>[2]sens_100_spec_10_PSA!A351</f>
        <v>350</v>
      </c>
      <c r="B351">
        <f>[2]sens_100_spec_10_PSA!B351</f>
        <v>1</v>
      </c>
      <c r="C351" t="str">
        <f>[2]sens_100_spec_10_PSA!C351</f>
        <v>NA</v>
      </c>
      <c r="D351">
        <f>[2]sens_100_spec_10_PSA!D351</f>
        <v>1</v>
      </c>
      <c r="E351" s="1">
        <f>[2]sens_100_spec_10_PSA!E351</f>
        <v>0.13780000000000001</v>
      </c>
      <c r="F351" s="1">
        <f>[2]sens_100_spec_10_PSA!F351</f>
        <v>2.5499999999999998E-2</v>
      </c>
      <c r="G351" s="2">
        <f>[2]sens_100_spec_10_PSA!G351</f>
        <v>17.920766863386</v>
      </c>
      <c r="H351" s="2">
        <f>[2]sens_100_spec_10_PSA!H351</f>
        <v>13.804759902879701</v>
      </c>
      <c r="I351" s="2">
        <f>[2]sens_100_spec_10_PSA!I351</f>
        <v>8.4382037540856594</v>
      </c>
      <c r="J351" s="3">
        <f>[2]sens_100_spec_10_PSA!J351</f>
        <v>176591.778333842</v>
      </c>
      <c r="K351" s="3">
        <f>[2]sens_100_spec_10_PSA!K351</f>
        <v>108336.729061923</v>
      </c>
      <c r="L351">
        <f>[2]sens_100_spec_10_PSA!L351</f>
        <v>1</v>
      </c>
      <c r="M351">
        <f>[2]sens_100_spec_10_PSA!M351</f>
        <v>0</v>
      </c>
    </row>
    <row r="352" spans="1:13" x14ac:dyDescent="0.25">
      <c r="A352">
        <f>[2]sens_100_spec_10_PSA!A352</f>
        <v>351</v>
      </c>
      <c r="B352">
        <f>[2]sens_100_spec_10_PSA!B352</f>
        <v>1</v>
      </c>
      <c r="C352" t="str">
        <f>[2]sens_100_spec_10_PSA!C352</f>
        <v>NA</v>
      </c>
      <c r="D352">
        <f>[2]sens_100_spec_10_PSA!D352</f>
        <v>1</v>
      </c>
      <c r="E352" s="1">
        <f>[2]sens_100_spec_10_PSA!E352</f>
        <v>0.1459</v>
      </c>
      <c r="F352" s="1">
        <f>[2]sens_100_spec_10_PSA!F352</f>
        <v>2.3900000000000001E-2</v>
      </c>
      <c r="G352" s="2">
        <f>[2]sens_100_spec_10_PSA!G352</f>
        <v>18.706287920327199</v>
      </c>
      <c r="H352" s="2">
        <f>[2]sens_100_spec_10_PSA!H352</f>
        <v>11.6157578767214</v>
      </c>
      <c r="I352" s="2">
        <f>[2]sens_100_spec_10_PSA!I352</f>
        <v>7.0177057845361901</v>
      </c>
      <c r="J352" s="3">
        <f>[2]sens_100_spec_10_PSA!J352</f>
        <v>165711.49242835701</v>
      </c>
      <c r="K352" s="3">
        <f>[2]sens_100_spec_10_PSA!K352</f>
        <v>100833.804247796</v>
      </c>
      <c r="L352">
        <f>[2]sens_100_spec_10_PSA!L352</f>
        <v>1</v>
      </c>
      <c r="M352">
        <f>[2]sens_100_spec_10_PSA!M352</f>
        <v>0</v>
      </c>
    </row>
    <row r="353" spans="1:13" x14ac:dyDescent="0.25">
      <c r="A353">
        <f>[2]sens_100_spec_10_PSA!A353</f>
        <v>352</v>
      </c>
      <c r="B353">
        <f>[2]sens_100_spec_10_PSA!B353</f>
        <v>1</v>
      </c>
      <c r="C353" t="str">
        <f>[2]sens_100_spec_10_PSA!C353</f>
        <v>NA</v>
      </c>
      <c r="D353">
        <f>[2]sens_100_spec_10_PSA!D353</f>
        <v>1</v>
      </c>
      <c r="E353" s="1">
        <f>[2]sens_100_spec_10_PSA!E353</f>
        <v>0.1236</v>
      </c>
      <c r="F353" s="1">
        <f>[2]sens_100_spec_10_PSA!F353</f>
        <v>2.0199999999999999E-2</v>
      </c>
      <c r="G353" s="2">
        <f>[2]sens_100_spec_10_PSA!G353</f>
        <v>18.126999223332898</v>
      </c>
      <c r="H353" s="2">
        <f>[2]sens_100_spec_10_PSA!H353</f>
        <v>12.9910620819533</v>
      </c>
      <c r="I353" s="2">
        <f>[2]sens_100_spec_10_PSA!I353</f>
        <v>7.9663174913957997</v>
      </c>
      <c r="J353" s="3">
        <f>[2]sens_100_spec_10_PSA!J353</f>
        <v>187362.00951235401</v>
      </c>
      <c r="K353" s="3">
        <f>[2]sens_100_spec_10_PSA!K353</f>
        <v>114875.469910985</v>
      </c>
      <c r="L353">
        <f>[2]sens_100_spec_10_PSA!L353</f>
        <v>1</v>
      </c>
      <c r="M353">
        <f>[2]sens_100_spec_10_PSA!M353</f>
        <v>0</v>
      </c>
    </row>
    <row r="354" spans="1:13" x14ac:dyDescent="0.25">
      <c r="A354">
        <f>[2]sens_100_spec_10_PSA!A354</f>
        <v>353</v>
      </c>
      <c r="B354">
        <f>[2]sens_100_spec_10_PSA!B354</f>
        <v>1</v>
      </c>
      <c r="C354" t="str">
        <f>[2]sens_100_spec_10_PSA!C354</f>
        <v>NA</v>
      </c>
      <c r="D354">
        <f>[2]sens_100_spec_10_PSA!D354</f>
        <v>1</v>
      </c>
      <c r="E354" s="1">
        <f>[2]sens_100_spec_10_PSA!E354</f>
        <v>0.13250000000000001</v>
      </c>
      <c r="F354" s="1">
        <f>[2]sens_100_spec_10_PSA!F354</f>
        <v>2.0400000000000001E-2</v>
      </c>
      <c r="G354" s="2">
        <f>[2]sens_100_spec_10_PSA!G354</f>
        <v>18.944288754411001</v>
      </c>
      <c r="H354" s="2">
        <f>[2]sens_100_spec_10_PSA!H354</f>
        <v>13.640545361399001</v>
      </c>
      <c r="I354" s="2">
        <f>[2]sens_100_spec_10_PSA!I354</f>
        <v>8.2575594378037103</v>
      </c>
      <c r="J354" s="3">
        <f>[2]sens_100_spec_10_PSA!J354</f>
        <v>236760.60587791601</v>
      </c>
      <c r="K354" s="3">
        <f>[2]sens_100_spec_10_PSA!K354</f>
        <v>141337.55562545799</v>
      </c>
      <c r="L354">
        <f>[2]sens_100_spec_10_PSA!L354</f>
        <v>1</v>
      </c>
      <c r="M354">
        <f>[2]sens_100_spec_10_PSA!M354</f>
        <v>0</v>
      </c>
    </row>
    <row r="355" spans="1:13" x14ac:dyDescent="0.25">
      <c r="A355">
        <f>[2]sens_100_spec_10_PSA!A355</f>
        <v>354</v>
      </c>
      <c r="B355">
        <f>[2]sens_100_spec_10_PSA!B355</f>
        <v>1</v>
      </c>
      <c r="C355" t="str">
        <f>[2]sens_100_spec_10_PSA!C355</f>
        <v>NA</v>
      </c>
      <c r="D355">
        <f>[2]sens_100_spec_10_PSA!D355</f>
        <v>1</v>
      </c>
      <c r="E355" s="1">
        <f>[2]sens_100_spec_10_PSA!E355</f>
        <v>0.11219999999999999</v>
      </c>
      <c r="F355" s="1">
        <f>[2]sens_100_spec_10_PSA!F355</f>
        <v>2.9700000000000001E-2</v>
      </c>
      <c r="G355" s="2">
        <f>[2]sens_100_spec_10_PSA!G355</f>
        <v>19.052162217914599</v>
      </c>
      <c r="H355" s="2">
        <f>[2]sens_100_spec_10_PSA!H355</f>
        <v>12.9428948988885</v>
      </c>
      <c r="I355" s="2">
        <f>[2]sens_100_spec_10_PSA!I355</f>
        <v>7.8314134256858097</v>
      </c>
      <c r="J355" s="3">
        <f>[2]sens_100_spec_10_PSA!J355</f>
        <v>169154.91272657001</v>
      </c>
      <c r="K355" s="3">
        <f>[2]sens_100_spec_10_PSA!K355</f>
        <v>103146.20500189099</v>
      </c>
      <c r="L355">
        <f>[2]sens_100_spec_10_PSA!L355</f>
        <v>1</v>
      </c>
      <c r="M355">
        <f>[2]sens_100_spec_10_PSA!M355</f>
        <v>0</v>
      </c>
    </row>
    <row r="356" spans="1:13" x14ac:dyDescent="0.25">
      <c r="A356">
        <f>[2]sens_100_spec_10_PSA!A356</f>
        <v>355</v>
      </c>
      <c r="B356">
        <f>[2]sens_100_spec_10_PSA!B356</f>
        <v>1</v>
      </c>
      <c r="C356" t="str">
        <f>[2]sens_100_spec_10_PSA!C356</f>
        <v>NA</v>
      </c>
      <c r="D356">
        <f>[2]sens_100_spec_10_PSA!D356</f>
        <v>1</v>
      </c>
      <c r="E356" s="1">
        <f>[2]sens_100_spec_10_PSA!E356</f>
        <v>0.1484</v>
      </c>
      <c r="F356" s="1">
        <f>[2]sens_100_spec_10_PSA!F356</f>
        <v>2.0500000000000001E-2</v>
      </c>
      <c r="G356" s="2">
        <f>[2]sens_100_spec_10_PSA!G356</f>
        <v>18.529250139659698</v>
      </c>
      <c r="H356" s="2">
        <f>[2]sens_100_spec_10_PSA!H356</f>
        <v>12.7212351274813</v>
      </c>
      <c r="I356" s="2">
        <f>[2]sens_100_spec_10_PSA!I356</f>
        <v>7.6960754929366502</v>
      </c>
      <c r="J356" s="3">
        <f>[2]sens_100_spec_10_PSA!J356</f>
        <v>170070.65196722199</v>
      </c>
      <c r="K356" s="3">
        <f>[2]sens_100_spec_10_PSA!K356</f>
        <v>103487.26474180599</v>
      </c>
      <c r="L356">
        <f>[2]sens_100_spec_10_PSA!L356</f>
        <v>1</v>
      </c>
      <c r="M356">
        <f>[2]sens_100_spec_10_PSA!M356</f>
        <v>0</v>
      </c>
    </row>
    <row r="357" spans="1:13" x14ac:dyDescent="0.25">
      <c r="A357">
        <f>[2]sens_100_spec_10_PSA!A357</f>
        <v>356</v>
      </c>
      <c r="B357">
        <f>[2]sens_100_spec_10_PSA!B357</f>
        <v>1</v>
      </c>
      <c r="C357" t="str">
        <f>[2]sens_100_spec_10_PSA!C357</f>
        <v>NA</v>
      </c>
      <c r="D357">
        <f>[2]sens_100_spec_10_PSA!D357</f>
        <v>1</v>
      </c>
      <c r="E357" s="1">
        <f>[2]sens_100_spec_10_PSA!E357</f>
        <v>0.1331</v>
      </c>
      <c r="F357" s="1">
        <f>[2]sens_100_spec_10_PSA!F357</f>
        <v>2.7799999999999998E-2</v>
      </c>
      <c r="G357" s="2">
        <f>[2]sens_100_spec_10_PSA!G357</f>
        <v>20.364875474089601</v>
      </c>
      <c r="H357" s="2">
        <f>[2]sens_100_spec_10_PSA!H357</f>
        <v>15.5772200676635</v>
      </c>
      <c r="I357" s="2">
        <f>[2]sens_100_spec_10_PSA!I357</f>
        <v>9.1816780350679892</v>
      </c>
      <c r="J357" s="3">
        <f>[2]sens_100_spec_10_PSA!J357</f>
        <v>230240.626542499</v>
      </c>
      <c r="K357" s="3">
        <f>[2]sens_100_spec_10_PSA!K357</f>
        <v>133183.211091345</v>
      </c>
      <c r="L357">
        <f>[2]sens_100_spec_10_PSA!L357</f>
        <v>1</v>
      </c>
      <c r="M357">
        <f>[2]sens_100_spec_10_PSA!M357</f>
        <v>0</v>
      </c>
    </row>
    <row r="358" spans="1:13" x14ac:dyDescent="0.25">
      <c r="A358">
        <f>[2]sens_100_spec_10_PSA!A358</f>
        <v>357</v>
      </c>
      <c r="B358">
        <f>[2]sens_100_spec_10_PSA!B358</f>
        <v>1</v>
      </c>
      <c r="C358" t="str">
        <f>[2]sens_100_spec_10_PSA!C358</f>
        <v>NA</v>
      </c>
      <c r="D358">
        <f>[2]sens_100_spec_10_PSA!D358</f>
        <v>1</v>
      </c>
      <c r="E358" s="1">
        <f>[2]sens_100_spec_10_PSA!E358</f>
        <v>0.13669999999999999</v>
      </c>
      <c r="F358" s="1">
        <f>[2]sens_100_spec_10_PSA!F358</f>
        <v>2.8299999999999999E-2</v>
      </c>
      <c r="G358" s="2">
        <f>[2]sens_100_spec_10_PSA!G358</f>
        <v>17.7835577490936</v>
      </c>
      <c r="H358" s="2">
        <f>[2]sens_100_spec_10_PSA!H358</f>
        <v>11.0489164326343</v>
      </c>
      <c r="I358" s="2">
        <f>[2]sens_100_spec_10_PSA!I358</f>
        <v>6.7657865992602204</v>
      </c>
      <c r="J358" s="3">
        <f>[2]sens_100_spec_10_PSA!J358</f>
        <v>149579.13406914601</v>
      </c>
      <c r="K358" s="3">
        <f>[2]sens_100_spec_10_PSA!K358</f>
        <v>93091.184748198095</v>
      </c>
      <c r="L358">
        <f>[2]sens_100_spec_10_PSA!L358</f>
        <v>1</v>
      </c>
      <c r="M358">
        <f>[2]sens_100_spec_10_PSA!M358</f>
        <v>0</v>
      </c>
    </row>
    <row r="359" spans="1:13" x14ac:dyDescent="0.25">
      <c r="A359">
        <f>[2]sens_100_spec_10_PSA!A359</f>
        <v>358</v>
      </c>
      <c r="B359">
        <f>[2]sens_100_spec_10_PSA!B359</f>
        <v>1</v>
      </c>
      <c r="C359" t="str">
        <f>[2]sens_100_spec_10_PSA!C359</f>
        <v>NA</v>
      </c>
      <c r="D359">
        <f>[2]sens_100_spec_10_PSA!D359</f>
        <v>1</v>
      </c>
      <c r="E359" s="1">
        <f>[2]sens_100_spec_10_PSA!E359</f>
        <v>0.1075</v>
      </c>
      <c r="F359" s="1">
        <f>[2]sens_100_spec_10_PSA!F359</f>
        <v>2.4899999999999999E-2</v>
      </c>
      <c r="G359" s="2">
        <f>[2]sens_100_spec_10_PSA!G359</f>
        <v>20.2956914451076</v>
      </c>
      <c r="H359" s="2">
        <f>[2]sens_100_spec_10_PSA!H359</f>
        <v>13.485207282175001</v>
      </c>
      <c r="I359" s="2">
        <f>[2]sens_100_spec_10_PSA!I359</f>
        <v>8.0356102495943293</v>
      </c>
      <c r="J359" s="3">
        <f>[2]sens_100_spec_10_PSA!J359</f>
        <v>261136.66699442401</v>
      </c>
      <c r="K359" s="3">
        <f>[2]sens_100_spec_10_PSA!K359</f>
        <v>152335.786449281</v>
      </c>
      <c r="L359">
        <f>[2]sens_100_spec_10_PSA!L359</f>
        <v>1</v>
      </c>
      <c r="M359">
        <f>[2]sens_100_spec_10_PSA!M359</f>
        <v>0</v>
      </c>
    </row>
    <row r="360" spans="1:13" x14ac:dyDescent="0.25">
      <c r="A360">
        <f>[2]sens_100_spec_10_PSA!A360</f>
        <v>359</v>
      </c>
      <c r="B360">
        <f>[2]sens_100_spec_10_PSA!B360</f>
        <v>1</v>
      </c>
      <c r="C360" t="str">
        <f>[2]sens_100_spec_10_PSA!C360</f>
        <v>NA</v>
      </c>
      <c r="D360">
        <f>[2]sens_100_spec_10_PSA!D360</f>
        <v>1</v>
      </c>
      <c r="E360" s="1">
        <f>[2]sens_100_spec_10_PSA!E360</f>
        <v>0.13189999999999999</v>
      </c>
      <c r="F360" s="1">
        <f>[2]sens_100_spec_10_PSA!F360</f>
        <v>2.3699999999999999E-2</v>
      </c>
      <c r="G360" s="2">
        <f>[2]sens_100_spec_10_PSA!G360</f>
        <v>19.672150769603402</v>
      </c>
      <c r="H360" s="2">
        <f>[2]sens_100_spec_10_PSA!H360</f>
        <v>12.516318977582101</v>
      </c>
      <c r="I360" s="2">
        <f>[2]sens_100_spec_10_PSA!I360</f>
        <v>7.4869738877215104</v>
      </c>
      <c r="J360" s="3">
        <f>[2]sens_100_spec_10_PSA!J360</f>
        <v>247010.86838645299</v>
      </c>
      <c r="K360" s="3">
        <f>[2]sens_100_spec_10_PSA!K360</f>
        <v>145004.44121169701</v>
      </c>
      <c r="L360">
        <f>[2]sens_100_spec_10_PSA!L360</f>
        <v>1</v>
      </c>
      <c r="M360">
        <f>[2]sens_100_spec_10_PSA!M360</f>
        <v>0</v>
      </c>
    </row>
    <row r="361" spans="1:13" x14ac:dyDescent="0.25">
      <c r="A361">
        <f>[2]sens_100_spec_10_PSA!A361</f>
        <v>360</v>
      </c>
      <c r="B361">
        <f>[2]sens_100_spec_10_PSA!B361</f>
        <v>1</v>
      </c>
      <c r="C361" t="str">
        <f>[2]sens_100_spec_10_PSA!C361</f>
        <v>NA</v>
      </c>
      <c r="D361">
        <f>[2]sens_100_spec_10_PSA!D361</f>
        <v>1</v>
      </c>
      <c r="E361" s="1">
        <f>[2]sens_100_spec_10_PSA!E361</f>
        <v>0.1857</v>
      </c>
      <c r="F361" s="1">
        <f>[2]sens_100_spec_10_PSA!F361</f>
        <v>2.0899999999999998E-2</v>
      </c>
      <c r="G361" s="2">
        <f>[2]sens_100_spec_10_PSA!G361</f>
        <v>18.5926004999985</v>
      </c>
      <c r="H361" s="2">
        <f>[2]sens_100_spec_10_PSA!H361</f>
        <v>13.0570109868115</v>
      </c>
      <c r="I361" s="2">
        <f>[2]sens_100_spec_10_PSA!I361</f>
        <v>7.8074969966325298</v>
      </c>
      <c r="J361" s="3">
        <f>[2]sens_100_spec_10_PSA!J361</f>
        <v>196194.716147773</v>
      </c>
      <c r="K361" s="3">
        <f>[2]sens_100_spec_10_PSA!K361</f>
        <v>116157.008594516</v>
      </c>
      <c r="L361">
        <f>[2]sens_100_spec_10_PSA!L361</f>
        <v>1</v>
      </c>
      <c r="M361">
        <f>[2]sens_100_spec_10_PSA!M361</f>
        <v>0</v>
      </c>
    </row>
    <row r="362" spans="1:13" x14ac:dyDescent="0.25">
      <c r="A362">
        <f>[2]sens_100_spec_10_PSA!A362</f>
        <v>361</v>
      </c>
      <c r="B362">
        <f>[2]sens_100_spec_10_PSA!B362</f>
        <v>1</v>
      </c>
      <c r="C362" t="str">
        <f>[2]sens_100_spec_10_PSA!C362</f>
        <v>NA</v>
      </c>
      <c r="D362">
        <f>[2]sens_100_spec_10_PSA!D362</f>
        <v>1</v>
      </c>
      <c r="E362" s="1">
        <f>[2]sens_100_spec_10_PSA!E362</f>
        <v>0.13800000000000001</v>
      </c>
      <c r="F362" s="1">
        <f>[2]sens_100_spec_10_PSA!F362</f>
        <v>2.41E-2</v>
      </c>
      <c r="G362" s="2">
        <f>[2]sens_100_spec_10_PSA!G362</f>
        <v>20.768880711393201</v>
      </c>
      <c r="H362" s="2">
        <f>[2]sens_100_spec_10_PSA!H362</f>
        <v>13.9171269621412</v>
      </c>
      <c r="I362" s="2">
        <f>[2]sens_100_spec_10_PSA!I362</f>
        <v>8.1723909959496197</v>
      </c>
      <c r="J362" s="3">
        <f>[2]sens_100_spec_10_PSA!J362</f>
        <v>257163.213693639</v>
      </c>
      <c r="K362" s="3">
        <f>[2]sens_100_spec_10_PSA!K362</f>
        <v>146797.01374243101</v>
      </c>
      <c r="L362">
        <f>[2]sens_100_spec_10_PSA!L362</f>
        <v>1</v>
      </c>
      <c r="M362">
        <f>[2]sens_100_spec_10_PSA!M362</f>
        <v>0</v>
      </c>
    </row>
    <row r="363" spans="1:13" x14ac:dyDescent="0.25">
      <c r="A363">
        <f>[2]sens_100_spec_10_PSA!A363</f>
        <v>362</v>
      </c>
      <c r="B363">
        <f>[2]sens_100_spec_10_PSA!B363</f>
        <v>1</v>
      </c>
      <c r="C363" t="str">
        <f>[2]sens_100_spec_10_PSA!C363</f>
        <v>NA</v>
      </c>
      <c r="D363">
        <f>[2]sens_100_spec_10_PSA!D363</f>
        <v>1</v>
      </c>
      <c r="E363" s="1">
        <f>[2]sens_100_spec_10_PSA!E363</f>
        <v>0.13239999999999999</v>
      </c>
      <c r="F363" s="1">
        <f>[2]sens_100_spec_10_PSA!F363</f>
        <v>2.58E-2</v>
      </c>
      <c r="G363" s="2">
        <f>[2]sens_100_spec_10_PSA!G363</f>
        <v>19.0982444569844</v>
      </c>
      <c r="H363" s="2">
        <f>[2]sens_100_spec_10_PSA!H363</f>
        <v>14.218038005778601</v>
      </c>
      <c r="I363" s="2">
        <f>[2]sens_100_spec_10_PSA!I363</f>
        <v>8.5730623403611101</v>
      </c>
      <c r="J363" s="3">
        <f>[2]sens_100_spec_10_PSA!J363</f>
        <v>205891.73489099799</v>
      </c>
      <c r="K363" s="3">
        <f>[2]sens_100_spec_10_PSA!K363</f>
        <v>123302.154513181</v>
      </c>
      <c r="L363">
        <f>[2]sens_100_spec_10_PSA!L363</f>
        <v>1</v>
      </c>
      <c r="M363">
        <f>[2]sens_100_spec_10_PSA!M363</f>
        <v>0</v>
      </c>
    </row>
    <row r="364" spans="1:13" x14ac:dyDescent="0.25">
      <c r="A364">
        <f>[2]sens_100_spec_10_PSA!A364</f>
        <v>363</v>
      </c>
      <c r="B364">
        <f>[2]sens_100_spec_10_PSA!B364</f>
        <v>1</v>
      </c>
      <c r="C364" t="str">
        <f>[2]sens_100_spec_10_PSA!C364</f>
        <v>NA</v>
      </c>
      <c r="D364">
        <f>[2]sens_100_spec_10_PSA!D364</f>
        <v>1</v>
      </c>
      <c r="E364" s="1">
        <f>[2]sens_100_spec_10_PSA!E364</f>
        <v>0.1409</v>
      </c>
      <c r="F364" s="1">
        <f>[2]sens_100_spec_10_PSA!F364</f>
        <v>3.1800000000000002E-2</v>
      </c>
      <c r="G364" s="2">
        <f>[2]sens_100_spec_10_PSA!G364</f>
        <v>18.704328047411799</v>
      </c>
      <c r="H364" s="2">
        <f>[2]sens_100_spec_10_PSA!H364</f>
        <v>12.5467530666886</v>
      </c>
      <c r="I364" s="2">
        <f>[2]sens_100_spec_10_PSA!I364</f>
        <v>7.5668751155156304</v>
      </c>
      <c r="J364" s="3">
        <f>[2]sens_100_spec_10_PSA!J364</f>
        <v>230328.18299560901</v>
      </c>
      <c r="K364" s="3">
        <f>[2]sens_100_spec_10_PSA!K364</f>
        <v>136904.504681794</v>
      </c>
      <c r="L364">
        <f>[2]sens_100_spec_10_PSA!L364</f>
        <v>1</v>
      </c>
      <c r="M364">
        <f>[2]sens_100_spec_10_PSA!M364</f>
        <v>0</v>
      </c>
    </row>
    <row r="365" spans="1:13" x14ac:dyDescent="0.25">
      <c r="A365">
        <f>[2]sens_100_spec_10_PSA!A365</f>
        <v>364</v>
      </c>
      <c r="B365">
        <f>[2]sens_100_spec_10_PSA!B365</f>
        <v>1</v>
      </c>
      <c r="C365" t="str">
        <f>[2]sens_100_spec_10_PSA!C365</f>
        <v>NA</v>
      </c>
      <c r="D365">
        <f>[2]sens_100_spec_10_PSA!D365</f>
        <v>1</v>
      </c>
      <c r="E365" s="1">
        <f>[2]sens_100_spec_10_PSA!E365</f>
        <v>0.17780000000000001</v>
      </c>
      <c r="F365" s="1">
        <f>[2]sens_100_spec_10_PSA!F365</f>
        <v>2.8000000000000001E-2</v>
      </c>
      <c r="G365" s="2">
        <f>[2]sens_100_spec_10_PSA!G365</f>
        <v>18.5800770125126</v>
      </c>
      <c r="H365" s="2">
        <f>[2]sens_100_spec_10_PSA!H365</f>
        <v>13.083353638004301</v>
      </c>
      <c r="I365" s="2">
        <f>[2]sens_100_spec_10_PSA!I365</f>
        <v>7.8355214511370503</v>
      </c>
      <c r="J365" s="3">
        <f>[2]sens_100_spec_10_PSA!J365</f>
        <v>203093.03792323</v>
      </c>
      <c r="K365" s="3">
        <f>[2]sens_100_spec_10_PSA!K365</f>
        <v>120455.00851741301</v>
      </c>
      <c r="L365">
        <f>[2]sens_100_spec_10_PSA!L365</f>
        <v>1</v>
      </c>
      <c r="M365">
        <f>[2]sens_100_spec_10_PSA!M365</f>
        <v>0</v>
      </c>
    </row>
    <row r="366" spans="1:13" x14ac:dyDescent="0.25">
      <c r="A366">
        <f>[2]sens_100_spec_10_PSA!A366</f>
        <v>365</v>
      </c>
      <c r="B366">
        <f>[2]sens_100_spec_10_PSA!B366</f>
        <v>1</v>
      </c>
      <c r="C366" t="str">
        <f>[2]sens_100_spec_10_PSA!C366</f>
        <v>NA</v>
      </c>
      <c r="D366">
        <f>[2]sens_100_spec_10_PSA!D366</f>
        <v>1</v>
      </c>
      <c r="E366" s="1">
        <f>[2]sens_100_spec_10_PSA!E366</f>
        <v>0.12379999999999999</v>
      </c>
      <c r="F366" s="1">
        <f>[2]sens_100_spec_10_PSA!F366</f>
        <v>2.0799999999999999E-2</v>
      </c>
      <c r="G366" s="2">
        <f>[2]sens_100_spec_10_PSA!G366</f>
        <v>18.709304321242598</v>
      </c>
      <c r="H366" s="2">
        <f>[2]sens_100_spec_10_PSA!H366</f>
        <v>13.2730513683345</v>
      </c>
      <c r="I366" s="2">
        <f>[2]sens_100_spec_10_PSA!I366</f>
        <v>8.0658232552932496</v>
      </c>
      <c r="J366" s="3">
        <f>[2]sens_100_spec_10_PSA!J366</f>
        <v>187163.67582833901</v>
      </c>
      <c r="K366" s="3">
        <f>[2]sens_100_spec_10_PSA!K366</f>
        <v>113637.37246567001</v>
      </c>
      <c r="L366">
        <f>[2]sens_100_spec_10_PSA!L366</f>
        <v>1</v>
      </c>
      <c r="M366">
        <f>[2]sens_100_spec_10_PSA!M366</f>
        <v>0</v>
      </c>
    </row>
    <row r="367" spans="1:13" x14ac:dyDescent="0.25">
      <c r="A367">
        <f>[2]sens_100_spec_10_PSA!A367</f>
        <v>366</v>
      </c>
      <c r="B367">
        <f>[2]sens_100_spec_10_PSA!B367</f>
        <v>1</v>
      </c>
      <c r="C367" t="str">
        <f>[2]sens_100_spec_10_PSA!C367</f>
        <v>NA</v>
      </c>
      <c r="D367">
        <f>[2]sens_100_spec_10_PSA!D367</f>
        <v>1</v>
      </c>
      <c r="E367" s="1">
        <f>[2]sens_100_spec_10_PSA!E367</f>
        <v>0.2306</v>
      </c>
      <c r="F367" s="1">
        <f>[2]sens_100_spec_10_PSA!F367</f>
        <v>2.0199999999999999E-2</v>
      </c>
      <c r="G367" s="2">
        <f>[2]sens_100_spec_10_PSA!G367</f>
        <v>17.453846610472901</v>
      </c>
      <c r="H367" s="2">
        <f>[2]sens_100_spec_10_PSA!H367</f>
        <v>10.9037283026585</v>
      </c>
      <c r="I367" s="2">
        <f>[2]sens_100_spec_10_PSA!I367</f>
        <v>6.5523138699997698</v>
      </c>
      <c r="J367" s="3">
        <f>[2]sens_100_spec_10_PSA!J367</f>
        <v>188607.91947524899</v>
      </c>
      <c r="K367" s="3">
        <f>[2]sens_100_spec_10_PSA!K367</f>
        <v>112479.317012942</v>
      </c>
      <c r="L367">
        <f>[2]sens_100_spec_10_PSA!L367</f>
        <v>1</v>
      </c>
      <c r="M367">
        <f>[2]sens_100_spec_10_PSA!M367</f>
        <v>0</v>
      </c>
    </row>
    <row r="368" spans="1:13" x14ac:dyDescent="0.25">
      <c r="A368">
        <f>[2]sens_100_spec_10_PSA!A368</f>
        <v>367</v>
      </c>
      <c r="B368">
        <f>[2]sens_100_spec_10_PSA!B368</f>
        <v>1</v>
      </c>
      <c r="C368" t="str">
        <f>[2]sens_100_spec_10_PSA!C368</f>
        <v>NA</v>
      </c>
      <c r="D368">
        <f>[2]sens_100_spec_10_PSA!D368</f>
        <v>1</v>
      </c>
      <c r="E368" s="1">
        <f>[2]sens_100_spec_10_PSA!E368</f>
        <v>0.15040000000000001</v>
      </c>
      <c r="F368" s="1">
        <f>[2]sens_100_spec_10_PSA!F368</f>
        <v>2.6599999999999999E-2</v>
      </c>
      <c r="G368" s="2">
        <f>[2]sens_100_spec_10_PSA!G368</f>
        <v>18.823928007006199</v>
      </c>
      <c r="H368" s="2">
        <f>[2]sens_100_spec_10_PSA!H368</f>
        <v>12.260118066554201</v>
      </c>
      <c r="I368" s="2">
        <f>[2]sens_100_spec_10_PSA!I368</f>
        <v>7.34731138592646</v>
      </c>
      <c r="J368" s="3">
        <f>[2]sens_100_spec_10_PSA!J368</f>
        <v>192228.95808089801</v>
      </c>
      <c r="K368" s="3">
        <f>[2]sens_100_spec_10_PSA!K368</f>
        <v>114562.633230516</v>
      </c>
      <c r="L368">
        <f>[2]sens_100_spec_10_PSA!L368</f>
        <v>1</v>
      </c>
      <c r="M368">
        <f>[2]sens_100_spec_10_PSA!M368</f>
        <v>0</v>
      </c>
    </row>
    <row r="369" spans="1:13" x14ac:dyDescent="0.25">
      <c r="A369">
        <f>[2]sens_100_spec_10_PSA!A369</f>
        <v>368</v>
      </c>
      <c r="B369">
        <f>[2]sens_100_spec_10_PSA!B369</f>
        <v>1</v>
      </c>
      <c r="C369" t="str">
        <f>[2]sens_100_spec_10_PSA!C369</f>
        <v>NA</v>
      </c>
      <c r="D369">
        <f>[2]sens_100_spec_10_PSA!D369</f>
        <v>1</v>
      </c>
      <c r="E369" s="1">
        <f>[2]sens_100_spec_10_PSA!E369</f>
        <v>0.1129</v>
      </c>
      <c r="F369" s="1">
        <f>[2]sens_100_spec_10_PSA!F369</f>
        <v>2.8199999999999999E-2</v>
      </c>
      <c r="G369" s="2">
        <f>[2]sens_100_spec_10_PSA!G369</f>
        <v>19.291033131336601</v>
      </c>
      <c r="H369" s="2">
        <f>[2]sens_100_spec_10_PSA!H369</f>
        <v>13.872926159165599</v>
      </c>
      <c r="I369" s="2">
        <f>[2]sens_100_spec_10_PSA!I369</f>
        <v>8.3519979896057492</v>
      </c>
      <c r="J369" s="3">
        <f>[2]sens_100_spec_10_PSA!J369</f>
        <v>227281.10882895999</v>
      </c>
      <c r="K369" s="3">
        <f>[2]sens_100_spec_10_PSA!K369</f>
        <v>135108.04747885501</v>
      </c>
      <c r="L369">
        <f>[2]sens_100_spec_10_PSA!L369</f>
        <v>1</v>
      </c>
      <c r="M369">
        <f>[2]sens_100_spec_10_PSA!M369</f>
        <v>0</v>
      </c>
    </row>
    <row r="370" spans="1:13" x14ac:dyDescent="0.25">
      <c r="A370">
        <f>[2]sens_100_spec_10_PSA!A370</f>
        <v>369</v>
      </c>
      <c r="B370">
        <f>[2]sens_100_spec_10_PSA!B370</f>
        <v>1</v>
      </c>
      <c r="C370" t="str">
        <f>[2]sens_100_spec_10_PSA!C370</f>
        <v>NA</v>
      </c>
      <c r="D370">
        <f>[2]sens_100_spec_10_PSA!D370</f>
        <v>1</v>
      </c>
      <c r="E370" s="1">
        <f>[2]sens_100_spec_10_PSA!E370</f>
        <v>0.1467</v>
      </c>
      <c r="F370" s="1">
        <f>[2]sens_100_spec_10_PSA!F370</f>
        <v>2.63E-2</v>
      </c>
      <c r="G370" s="2">
        <f>[2]sens_100_spec_10_PSA!G370</f>
        <v>20.368078839680098</v>
      </c>
      <c r="H370" s="2">
        <f>[2]sens_100_spec_10_PSA!H370</f>
        <v>15.055696690197999</v>
      </c>
      <c r="I370" s="2">
        <f>[2]sens_100_spec_10_PSA!I370</f>
        <v>8.8949273093142107</v>
      </c>
      <c r="J370" s="3">
        <f>[2]sens_100_spec_10_PSA!J370</f>
        <v>254823.678078711</v>
      </c>
      <c r="K370" s="3">
        <f>[2]sens_100_spec_10_PSA!K370</f>
        <v>146906.72880845901</v>
      </c>
      <c r="L370">
        <f>[2]sens_100_spec_10_PSA!L370</f>
        <v>1</v>
      </c>
      <c r="M370">
        <f>[2]sens_100_spec_10_PSA!M370</f>
        <v>0</v>
      </c>
    </row>
    <row r="371" spans="1:13" x14ac:dyDescent="0.25">
      <c r="A371">
        <f>[2]sens_100_spec_10_PSA!A371</f>
        <v>370</v>
      </c>
      <c r="B371">
        <f>[2]sens_100_spec_10_PSA!B371</f>
        <v>1</v>
      </c>
      <c r="C371" t="str">
        <f>[2]sens_100_spec_10_PSA!C371</f>
        <v>NA</v>
      </c>
      <c r="D371">
        <f>[2]sens_100_spec_10_PSA!D371</f>
        <v>1</v>
      </c>
      <c r="E371" s="1">
        <f>[2]sens_100_spec_10_PSA!E371</f>
        <v>0.17960000000000001</v>
      </c>
      <c r="F371" s="1">
        <f>[2]sens_100_spec_10_PSA!F371</f>
        <v>3.1099999999999999E-2</v>
      </c>
      <c r="G371" s="2">
        <f>[2]sens_100_spec_10_PSA!G371</f>
        <v>18.624487012811201</v>
      </c>
      <c r="H371" s="2">
        <f>[2]sens_100_spec_10_PSA!H371</f>
        <v>15.4412164547764</v>
      </c>
      <c r="I371" s="2">
        <f>[2]sens_100_spec_10_PSA!I371</f>
        <v>9.22542417976174</v>
      </c>
      <c r="J371" s="3">
        <f>[2]sens_100_spec_10_PSA!J371</f>
        <v>219355.153947691</v>
      </c>
      <c r="K371" s="3">
        <f>[2]sens_100_spec_10_PSA!K371</f>
        <v>129247.971426333</v>
      </c>
      <c r="L371">
        <f>[2]sens_100_spec_10_PSA!L371</f>
        <v>1</v>
      </c>
      <c r="M371">
        <f>[2]sens_100_spec_10_PSA!M371</f>
        <v>0</v>
      </c>
    </row>
    <row r="372" spans="1:13" x14ac:dyDescent="0.25">
      <c r="A372">
        <f>[2]sens_100_spec_10_PSA!A372</f>
        <v>371</v>
      </c>
      <c r="B372">
        <f>[2]sens_100_spec_10_PSA!B372</f>
        <v>1</v>
      </c>
      <c r="C372" t="str">
        <f>[2]sens_100_spec_10_PSA!C372</f>
        <v>NA</v>
      </c>
      <c r="D372">
        <f>[2]sens_100_spec_10_PSA!D372</f>
        <v>1</v>
      </c>
      <c r="E372" s="1">
        <f>[2]sens_100_spec_10_PSA!E372</f>
        <v>0.16320000000000001</v>
      </c>
      <c r="F372" s="1">
        <f>[2]sens_100_spec_10_PSA!F372</f>
        <v>2.53E-2</v>
      </c>
      <c r="G372" s="2">
        <f>[2]sens_100_spec_10_PSA!G372</f>
        <v>17.6974625525081</v>
      </c>
      <c r="H372" s="2">
        <f>[2]sens_100_spec_10_PSA!H372</f>
        <v>13.629184857752501</v>
      </c>
      <c r="I372" s="2">
        <f>[2]sens_100_spec_10_PSA!I372</f>
        <v>8.28571593765232</v>
      </c>
      <c r="J372" s="3">
        <f>[2]sens_100_spec_10_PSA!J372</f>
        <v>180810.05619950601</v>
      </c>
      <c r="K372" s="3">
        <f>[2]sens_100_spec_10_PSA!K372</f>
        <v>110038.421908276</v>
      </c>
      <c r="L372">
        <f>[2]sens_100_spec_10_PSA!L372</f>
        <v>1</v>
      </c>
      <c r="M372">
        <f>[2]sens_100_spec_10_PSA!M372</f>
        <v>0</v>
      </c>
    </row>
    <row r="373" spans="1:13" x14ac:dyDescent="0.25">
      <c r="A373">
        <f>[2]sens_100_spec_10_PSA!A373</f>
        <v>372</v>
      </c>
      <c r="B373">
        <f>[2]sens_100_spec_10_PSA!B373</f>
        <v>1</v>
      </c>
      <c r="C373" t="str">
        <f>[2]sens_100_spec_10_PSA!C373</f>
        <v>NA</v>
      </c>
      <c r="D373">
        <f>[2]sens_100_spec_10_PSA!D373</f>
        <v>1</v>
      </c>
      <c r="E373" s="1">
        <f>[2]sens_100_spec_10_PSA!E373</f>
        <v>0.14960000000000001</v>
      </c>
      <c r="F373" s="1">
        <f>[2]sens_100_spec_10_PSA!F373</f>
        <v>2.6599999999999999E-2</v>
      </c>
      <c r="G373" s="2">
        <f>[2]sens_100_spec_10_PSA!G373</f>
        <v>19.519507660068001</v>
      </c>
      <c r="H373" s="2">
        <f>[2]sens_100_spec_10_PSA!H373</f>
        <v>13.4184546502328</v>
      </c>
      <c r="I373" s="2">
        <f>[2]sens_100_spec_10_PSA!I373</f>
        <v>7.9755077989883398</v>
      </c>
      <c r="J373" s="3">
        <f>[2]sens_100_spec_10_PSA!J373</f>
        <v>226798.87726924999</v>
      </c>
      <c r="K373" s="3">
        <f>[2]sens_100_spec_10_PSA!K373</f>
        <v>132532.53498847299</v>
      </c>
      <c r="L373">
        <f>[2]sens_100_spec_10_PSA!L373</f>
        <v>1</v>
      </c>
      <c r="M373">
        <f>[2]sens_100_spec_10_PSA!M373</f>
        <v>0</v>
      </c>
    </row>
    <row r="374" spans="1:13" x14ac:dyDescent="0.25">
      <c r="A374">
        <f>[2]sens_100_spec_10_PSA!A374</f>
        <v>373</v>
      </c>
      <c r="B374">
        <f>[2]sens_100_spec_10_PSA!B374</f>
        <v>1</v>
      </c>
      <c r="C374" t="str">
        <f>[2]sens_100_spec_10_PSA!C374</f>
        <v>NA</v>
      </c>
      <c r="D374">
        <f>[2]sens_100_spec_10_PSA!D374</f>
        <v>1</v>
      </c>
      <c r="E374" s="1">
        <f>[2]sens_100_spec_10_PSA!E374</f>
        <v>0.12189999999999999</v>
      </c>
      <c r="F374" s="1">
        <f>[2]sens_100_spec_10_PSA!F374</f>
        <v>2.4500000000000001E-2</v>
      </c>
      <c r="G374" s="2">
        <f>[2]sens_100_spec_10_PSA!G374</f>
        <v>19.3720161591032</v>
      </c>
      <c r="H374" s="2">
        <f>[2]sens_100_spec_10_PSA!H374</f>
        <v>13.8349517483414</v>
      </c>
      <c r="I374" s="2">
        <f>[2]sens_100_spec_10_PSA!I374</f>
        <v>8.3112015450056393</v>
      </c>
      <c r="J374" s="3">
        <f>[2]sens_100_spec_10_PSA!J374</f>
        <v>207818.31097738</v>
      </c>
      <c r="K374" s="3">
        <f>[2]sens_100_spec_10_PSA!K374</f>
        <v>123428.95335616601</v>
      </c>
      <c r="L374">
        <f>[2]sens_100_spec_10_PSA!L374</f>
        <v>1</v>
      </c>
      <c r="M374">
        <f>[2]sens_100_spec_10_PSA!M374</f>
        <v>0</v>
      </c>
    </row>
    <row r="375" spans="1:13" x14ac:dyDescent="0.25">
      <c r="A375">
        <f>[2]sens_100_spec_10_PSA!A375</f>
        <v>374</v>
      </c>
      <c r="B375">
        <f>[2]sens_100_spec_10_PSA!B375</f>
        <v>1</v>
      </c>
      <c r="C375" t="str">
        <f>[2]sens_100_spec_10_PSA!C375</f>
        <v>NA</v>
      </c>
      <c r="D375">
        <f>[2]sens_100_spec_10_PSA!D375</f>
        <v>1</v>
      </c>
      <c r="E375" s="1">
        <f>[2]sens_100_spec_10_PSA!E375</f>
        <v>0.12970000000000001</v>
      </c>
      <c r="F375" s="1">
        <f>[2]sens_100_spec_10_PSA!F375</f>
        <v>2.5999999999999999E-2</v>
      </c>
      <c r="G375" s="2">
        <f>[2]sens_100_spec_10_PSA!G375</f>
        <v>18.278814692144401</v>
      </c>
      <c r="H375" s="2">
        <f>[2]sens_100_spec_10_PSA!H375</f>
        <v>12.306870471148001</v>
      </c>
      <c r="I375" s="2">
        <f>[2]sens_100_spec_10_PSA!I375</f>
        <v>7.5177706974414296</v>
      </c>
      <c r="J375" s="3">
        <f>[2]sens_100_spec_10_PSA!J375</f>
        <v>214697.864968154</v>
      </c>
      <c r="K375" s="3">
        <f>[2]sens_100_spec_10_PSA!K375</f>
        <v>130034.533903754</v>
      </c>
      <c r="L375">
        <f>[2]sens_100_spec_10_PSA!L375</f>
        <v>1</v>
      </c>
      <c r="M375">
        <f>[2]sens_100_spec_10_PSA!M375</f>
        <v>0</v>
      </c>
    </row>
    <row r="376" spans="1:13" x14ac:dyDescent="0.25">
      <c r="A376">
        <f>[2]sens_100_spec_10_PSA!A376</f>
        <v>375</v>
      </c>
      <c r="B376">
        <f>[2]sens_100_spec_10_PSA!B376</f>
        <v>1</v>
      </c>
      <c r="C376" t="str">
        <f>[2]sens_100_spec_10_PSA!C376</f>
        <v>NA</v>
      </c>
      <c r="D376">
        <f>[2]sens_100_spec_10_PSA!D376</f>
        <v>1</v>
      </c>
      <c r="E376" s="1">
        <f>[2]sens_100_spec_10_PSA!E376</f>
        <v>0.17019999999999999</v>
      </c>
      <c r="F376" s="1">
        <f>[2]sens_100_spec_10_PSA!F376</f>
        <v>2.7900000000000001E-2</v>
      </c>
      <c r="G376" s="2">
        <f>[2]sens_100_spec_10_PSA!G376</f>
        <v>18.536823936363799</v>
      </c>
      <c r="H376" s="2">
        <f>[2]sens_100_spec_10_PSA!H376</f>
        <v>10.2016402313557</v>
      </c>
      <c r="I376" s="2">
        <f>[2]sens_100_spec_10_PSA!I376</f>
        <v>6.1172174172431797</v>
      </c>
      <c r="J376" s="3">
        <f>[2]sens_100_spec_10_PSA!J376</f>
        <v>171206.31647956101</v>
      </c>
      <c r="K376" s="3">
        <f>[2]sens_100_spec_10_PSA!K376</f>
        <v>103007.413110108</v>
      </c>
      <c r="L376">
        <f>[2]sens_100_spec_10_PSA!L376</f>
        <v>1</v>
      </c>
      <c r="M376">
        <f>[2]sens_100_spec_10_PSA!M376</f>
        <v>0</v>
      </c>
    </row>
    <row r="377" spans="1:13" x14ac:dyDescent="0.25">
      <c r="A377">
        <f>[2]sens_100_spec_10_PSA!A377</f>
        <v>376</v>
      </c>
      <c r="B377">
        <f>[2]sens_100_spec_10_PSA!B377</f>
        <v>1</v>
      </c>
      <c r="C377" t="str">
        <f>[2]sens_100_spec_10_PSA!C377</f>
        <v>NA</v>
      </c>
      <c r="D377">
        <f>[2]sens_100_spec_10_PSA!D377</f>
        <v>1</v>
      </c>
      <c r="E377" s="1">
        <f>[2]sens_100_spec_10_PSA!E377</f>
        <v>0.14149999999999999</v>
      </c>
      <c r="F377" s="1">
        <f>[2]sens_100_spec_10_PSA!F377</f>
        <v>2.6700000000000002E-2</v>
      </c>
      <c r="G377" s="2">
        <f>[2]sens_100_spec_10_PSA!G377</f>
        <v>20.0630346883596</v>
      </c>
      <c r="H377" s="2">
        <f>[2]sens_100_spec_10_PSA!H377</f>
        <v>13.628860187284401</v>
      </c>
      <c r="I377" s="2">
        <f>[2]sens_100_spec_10_PSA!I377</f>
        <v>8.0543663617313008</v>
      </c>
      <c r="J377" s="3">
        <f>[2]sens_100_spec_10_PSA!J377</f>
        <v>239503.36173759701</v>
      </c>
      <c r="K377" s="3">
        <f>[2]sens_100_spec_10_PSA!K377</f>
        <v>138583.46383923199</v>
      </c>
      <c r="L377">
        <f>[2]sens_100_spec_10_PSA!L377</f>
        <v>1</v>
      </c>
      <c r="M377">
        <f>[2]sens_100_spec_10_PSA!M377</f>
        <v>0</v>
      </c>
    </row>
    <row r="378" spans="1:13" x14ac:dyDescent="0.25">
      <c r="A378">
        <f>[2]sens_100_spec_10_PSA!A378</f>
        <v>377</v>
      </c>
      <c r="B378">
        <f>[2]sens_100_spec_10_PSA!B378</f>
        <v>1</v>
      </c>
      <c r="C378" t="str">
        <f>[2]sens_100_spec_10_PSA!C378</f>
        <v>NA</v>
      </c>
      <c r="D378">
        <f>[2]sens_100_spec_10_PSA!D378</f>
        <v>1</v>
      </c>
      <c r="E378" s="1">
        <f>[2]sens_100_spec_10_PSA!E378</f>
        <v>0.2321</v>
      </c>
      <c r="F378" s="1">
        <f>[2]sens_100_spec_10_PSA!F378</f>
        <v>2.2700000000000001E-2</v>
      </c>
      <c r="G378" s="2">
        <f>[2]sens_100_spec_10_PSA!G378</f>
        <v>18.1906092346481</v>
      </c>
      <c r="H378" s="2">
        <f>[2]sens_100_spec_10_PSA!H378</f>
        <v>13.266549709061801</v>
      </c>
      <c r="I378" s="2">
        <f>[2]sens_100_spec_10_PSA!I378</f>
        <v>7.8678271518235396</v>
      </c>
      <c r="J378" s="3">
        <f>[2]sens_100_spec_10_PSA!J378</f>
        <v>216136.747942694</v>
      </c>
      <c r="K378" s="3">
        <f>[2]sens_100_spec_10_PSA!K378</f>
        <v>126149.495830905</v>
      </c>
      <c r="L378">
        <f>[2]sens_100_spec_10_PSA!L378</f>
        <v>1</v>
      </c>
      <c r="M378">
        <f>[2]sens_100_spec_10_PSA!M378</f>
        <v>0</v>
      </c>
    </row>
    <row r="379" spans="1:13" x14ac:dyDescent="0.25">
      <c r="A379">
        <f>[2]sens_100_spec_10_PSA!A379</f>
        <v>378</v>
      </c>
      <c r="B379">
        <f>[2]sens_100_spec_10_PSA!B379</f>
        <v>1</v>
      </c>
      <c r="C379" t="str">
        <f>[2]sens_100_spec_10_PSA!C379</f>
        <v>NA</v>
      </c>
      <c r="D379">
        <f>[2]sens_100_spec_10_PSA!D379</f>
        <v>1</v>
      </c>
      <c r="E379" s="1">
        <f>[2]sens_100_spec_10_PSA!E379</f>
        <v>0.12690000000000001</v>
      </c>
      <c r="F379" s="1">
        <f>[2]sens_100_spec_10_PSA!F379</f>
        <v>2.86E-2</v>
      </c>
      <c r="G379" s="2">
        <f>[2]sens_100_spec_10_PSA!G379</f>
        <v>19.786376519115599</v>
      </c>
      <c r="H379" s="2">
        <f>[2]sens_100_spec_10_PSA!H379</f>
        <v>14.1253180537941</v>
      </c>
      <c r="I379" s="2">
        <f>[2]sens_100_spec_10_PSA!I379</f>
        <v>8.4317875048436495</v>
      </c>
      <c r="J379" s="3">
        <f>[2]sens_100_spec_10_PSA!J379</f>
        <v>243784.91341143701</v>
      </c>
      <c r="K379" s="3">
        <f>[2]sens_100_spec_10_PSA!K379</f>
        <v>142781.4097627</v>
      </c>
      <c r="L379">
        <f>[2]sens_100_spec_10_PSA!L379</f>
        <v>1</v>
      </c>
      <c r="M379">
        <f>[2]sens_100_spec_10_PSA!M379</f>
        <v>0</v>
      </c>
    </row>
    <row r="380" spans="1:13" x14ac:dyDescent="0.25">
      <c r="A380">
        <f>[2]sens_100_spec_10_PSA!A380</f>
        <v>379</v>
      </c>
      <c r="B380">
        <f>[2]sens_100_spec_10_PSA!B380</f>
        <v>1</v>
      </c>
      <c r="C380" t="str">
        <f>[2]sens_100_spec_10_PSA!C380</f>
        <v>NA</v>
      </c>
      <c r="D380">
        <f>[2]sens_100_spec_10_PSA!D380</f>
        <v>1</v>
      </c>
      <c r="E380" s="1">
        <f>[2]sens_100_spec_10_PSA!E380</f>
        <v>0.13</v>
      </c>
      <c r="F380" s="1">
        <f>[2]sens_100_spec_10_PSA!F380</f>
        <v>2.6700000000000002E-2</v>
      </c>
      <c r="G380" s="2">
        <f>[2]sens_100_spec_10_PSA!G380</f>
        <v>17.624386232453801</v>
      </c>
      <c r="H380" s="2">
        <f>[2]sens_100_spec_10_PSA!H380</f>
        <v>13.5004642959642</v>
      </c>
      <c r="I380" s="2">
        <f>[2]sens_100_spec_10_PSA!I380</f>
        <v>8.3179500924156393</v>
      </c>
      <c r="J380" s="3">
        <f>[2]sens_100_spec_10_PSA!J380</f>
        <v>237037.80355510901</v>
      </c>
      <c r="K380" s="3">
        <f>[2]sens_100_spec_10_PSA!K380</f>
        <v>144308.50118893501</v>
      </c>
      <c r="L380">
        <f>[2]sens_100_spec_10_PSA!L380</f>
        <v>1</v>
      </c>
      <c r="M380">
        <f>[2]sens_100_spec_10_PSA!M380</f>
        <v>0</v>
      </c>
    </row>
    <row r="381" spans="1:13" x14ac:dyDescent="0.25">
      <c r="A381">
        <f>[2]sens_100_spec_10_PSA!A381</f>
        <v>380</v>
      </c>
      <c r="B381">
        <f>[2]sens_100_spec_10_PSA!B381</f>
        <v>1</v>
      </c>
      <c r="C381" t="str">
        <f>[2]sens_100_spec_10_PSA!C381</f>
        <v>NA</v>
      </c>
      <c r="D381">
        <f>[2]sens_100_spec_10_PSA!D381</f>
        <v>1</v>
      </c>
      <c r="E381" s="1">
        <f>[2]sens_100_spec_10_PSA!E381</f>
        <v>0.14319999999999999</v>
      </c>
      <c r="F381" s="1">
        <f>[2]sens_100_spec_10_PSA!F381</f>
        <v>2.3199999999999998E-2</v>
      </c>
      <c r="G381" s="2">
        <f>[2]sens_100_spec_10_PSA!G381</f>
        <v>18.1326387617314</v>
      </c>
      <c r="H381" s="2">
        <f>[2]sens_100_spec_10_PSA!H381</f>
        <v>13.1157911385442</v>
      </c>
      <c r="I381" s="2">
        <f>[2]sens_100_spec_10_PSA!I381</f>
        <v>7.9862043887369598</v>
      </c>
      <c r="J381" s="3">
        <f>[2]sens_100_spec_10_PSA!J381</f>
        <v>169949.23181969399</v>
      </c>
      <c r="K381" s="3">
        <f>[2]sens_100_spec_10_PSA!K381</f>
        <v>104220.178435098</v>
      </c>
      <c r="L381">
        <f>[2]sens_100_spec_10_PSA!L381</f>
        <v>1</v>
      </c>
      <c r="M381">
        <f>[2]sens_100_spec_10_PSA!M381</f>
        <v>0</v>
      </c>
    </row>
    <row r="382" spans="1:13" x14ac:dyDescent="0.25">
      <c r="A382">
        <f>[2]sens_100_spec_10_PSA!A382</f>
        <v>381</v>
      </c>
      <c r="B382">
        <f>[2]sens_100_spec_10_PSA!B382</f>
        <v>1</v>
      </c>
      <c r="C382" t="str">
        <f>[2]sens_100_spec_10_PSA!C382</f>
        <v>NA</v>
      </c>
      <c r="D382">
        <f>[2]sens_100_spec_10_PSA!D382</f>
        <v>1</v>
      </c>
      <c r="E382" s="1">
        <f>[2]sens_100_spec_10_PSA!E382</f>
        <v>0.15079999999999999</v>
      </c>
      <c r="F382" s="1">
        <f>[2]sens_100_spec_10_PSA!F382</f>
        <v>2.8000000000000001E-2</v>
      </c>
      <c r="G382" s="2">
        <f>[2]sens_100_spec_10_PSA!G382</f>
        <v>20.082702625082799</v>
      </c>
      <c r="H382" s="2">
        <f>[2]sens_100_spec_10_PSA!H382</f>
        <v>14.003814836538799</v>
      </c>
      <c r="I382" s="2">
        <f>[2]sens_100_spec_10_PSA!I382</f>
        <v>8.2523137232886601</v>
      </c>
      <c r="J382" s="3">
        <f>[2]sens_100_spec_10_PSA!J382</f>
        <v>199120.16978665799</v>
      </c>
      <c r="K382" s="3">
        <f>[2]sens_100_spec_10_PSA!K382</f>
        <v>116115.87292347501</v>
      </c>
      <c r="L382">
        <f>[2]sens_100_spec_10_PSA!L382</f>
        <v>1</v>
      </c>
      <c r="M382">
        <f>[2]sens_100_spec_10_PSA!M382</f>
        <v>0</v>
      </c>
    </row>
    <row r="383" spans="1:13" x14ac:dyDescent="0.25">
      <c r="A383">
        <f>[2]sens_100_spec_10_PSA!A383</f>
        <v>382</v>
      </c>
      <c r="B383">
        <f>[2]sens_100_spec_10_PSA!B383</f>
        <v>1</v>
      </c>
      <c r="C383" t="str">
        <f>[2]sens_100_spec_10_PSA!C383</f>
        <v>NA</v>
      </c>
      <c r="D383">
        <f>[2]sens_100_spec_10_PSA!D383</f>
        <v>1</v>
      </c>
      <c r="E383" s="1">
        <f>[2]sens_100_spec_10_PSA!E383</f>
        <v>0.19719999999999999</v>
      </c>
      <c r="F383" s="1">
        <f>[2]sens_100_spec_10_PSA!F383</f>
        <v>2.46E-2</v>
      </c>
      <c r="G383" s="2">
        <f>[2]sens_100_spec_10_PSA!G383</f>
        <v>17.9161682480003</v>
      </c>
      <c r="H383" s="2">
        <f>[2]sens_100_spec_10_PSA!H383</f>
        <v>12.8028894194731</v>
      </c>
      <c r="I383" s="2">
        <f>[2]sens_100_spec_10_PSA!I383</f>
        <v>7.7085357595195996</v>
      </c>
      <c r="J383" s="3">
        <f>[2]sens_100_spec_10_PSA!J383</f>
        <v>210152.612377699</v>
      </c>
      <c r="K383" s="3">
        <f>[2]sens_100_spec_10_PSA!K383</f>
        <v>125266.290167643</v>
      </c>
      <c r="L383">
        <f>[2]sens_100_spec_10_PSA!L383</f>
        <v>1</v>
      </c>
      <c r="M383">
        <f>[2]sens_100_spec_10_PSA!M383</f>
        <v>0</v>
      </c>
    </row>
    <row r="384" spans="1:13" x14ac:dyDescent="0.25">
      <c r="A384">
        <f>[2]sens_100_spec_10_PSA!A384</f>
        <v>383</v>
      </c>
      <c r="B384">
        <f>[2]sens_100_spec_10_PSA!B384</f>
        <v>1</v>
      </c>
      <c r="C384" t="str">
        <f>[2]sens_100_spec_10_PSA!C384</f>
        <v>NA</v>
      </c>
      <c r="D384">
        <f>[2]sens_100_spec_10_PSA!D384</f>
        <v>1</v>
      </c>
      <c r="E384" s="1">
        <f>[2]sens_100_spec_10_PSA!E384</f>
        <v>0.1615</v>
      </c>
      <c r="F384" s="1">
        <f>[2]sens_100_spec_10_PSA!F384</f>
        <v>2.5899999999999999E-2</v>
      </c>
      <c r="G384" s="2">
        <f>[2]sens_100_spec_10_PSA!G384</f>
        <v>18.314980278640299</v>
      </c>
      <c r="H384" s="2">
        <f>[2]sens_100_spec_10_PSA!H384</f>
        <v>13.9725957389513</v>
      </c>
      <c r="I384" s="2">
        <f>[2]sens_100_spec_10_PSA!I384</f>
        <v>8.4251378736260296</v>
      </c>
      <c r="J384" s="3">
        <f>[2]sens_100_spec_10_PSA!J384</f>
        <v>219924.00157886499</v>
      </c>
      <c r="K384" s="3">
        <f>[2]sens_100_spec_10_PSA!K384</f>
        <v>130949.849217069</v>
      </c>
      <c r="L384">
        <f>[2]sens_100_spec_10_PSA!L384</f>
        <v>1</v>
      </c>
      <c r="M384">
        <f>[2]sens_100_spec_10_PSA!M384</f>
        <v>0</v>
      </c>
    </row>
    <row r="385" spans="1:13" x14ac:dyDescent="0.25">
      <c r="A385">
        <f>[2]sens_100_spec_10_PSA!A385</f>
        <v>384</v>
      </c>
      <c r="B385">
        <f>[2]sens_100_spec_10_PSA!B385</f>
        <v>1</v>
      </c>
      <c r="C385" t="str">
        <f>[2]sens_100_spec_10_PSA!C385</f>
        <v>NA</v>
      </c>
      <c r="D385">
        <f>[2]sens_100_spec_10_PSA!D385</f>
        <v>1</v>
      </c>
      <c r="E385" s="1">
        <f>[2]sens_100_spec_10_PSA!E385</f>
        <v>9.6100000000000005E-2</v>
      </c>
      <c r="F385" s="1">
        <f>[2]sens_100_spec_10_PSA!F385</f>
        <v>2.58E-2</v>
      </c>
      <c r="G385" s="2">
        <f>[2]sens_100_spec_10_PSA!G385</f>
        <v>20.844572481070099</v>
      </c>
      <c r="H385" s="2">
        <f>[2]sens_100_spec_10_PSA!H385</f>
        <v>15.896040994981799</v>
      </c>
      <c r="I385" s="2">
        <f>[2]sens_100_spec_10_PSA!I385</f>
        <v>9.4071751015274199</v>
      </c>
      <c r="J385" s="3">
        <f>[2]sens_100_spec_10_PSA!J385</f>
        <v>202750.09949758599</v>
      </c>
      <c r="K385" s="3">
        <f>[2]sens_100_spec_10_PSA!K385</f>
        <v>119090.61485459701</v>
      </c>
      <c r="L385">
        <f>[2]sens_100_spec_10_PSA!L385</f>
        <v>1</v>
      </c>
      <c r="M385">
        <f>[2]sens_100_spec_10_PSA!M385</f>
        <v>0</v>
      </c>
    </row>
    <row r="386" spans="1:13" x14ac:dyDescent="0.25">
      <c r="A386">
        <f>[2]sens_100_spec_10_PSA!A386</f>
        <v>385</v>
      </c>
      <c r="B386">
        <f>[2]sens_100_spec_10_PSA!B386</f>
        <v>1</v>
      </c>
      <c r="C386" t="str">
        <f>[2]sens_100_spec_10_PSA!C386</f>
        <v>NA</v>
      </c>
      <c r="D386">
        <f>[2]sens_100_spec_10_PSA!D386</f>
        <v>1</v>
      </c>
      <c r="E386" s="1">
        <f>[2]sens_100_spec_10_PSA!E386</f>
        <v>0.1686</v>
      </c>
      <c r="F386" s="1">
        <f>[2]sens_100_spec_10_PSA!F386</f>
        <v>2.3400000000000001E-2</v>
      </c>
      <c r="G386" s="2">
        <f>[2]sens_100_spec_10_PSA!G386</f>
        <v>19.158710423065902</v>
      </c>
      <c r="H386" s="2">
        <f>[2]sens_100_spec_10_PSA!H386</f>
        <v>15.4512757835894</v>
      </c>
      <c r="I386" s="2">
        <f>[2]sens_100_spec_10_PSA!I386</f>
        <v>9.2022565449808802</v>
      </c>
      <c r="J386" s="3">
        <f>[2]sens_100_spec_10_PSA!J386</f>
        <v>159447.45126507201</v>
      </c>
      <c r="K386" s="3">
        <f>[2]sens_100_spec_10_PSA!K386</f>
        <v>95687.101061309499</v>
      </c>
      <c r="L386">
        <f>[2]sens_100_spec_10_PSA!L386</f>
        <v>1</v>
      </c>
      <c r="M386">
        <f>[2]sens_100_spec_10_PSA!M386</f>
        <v>0</v>
      </c>
    </row>
    <row r="387" spans="1:13" x14ac:dyDescent="0.25">
      <c r="A387">
        <f>[2]sens_100_spec_10_PSA!A387</f>
        <v>386</v>
      </c>
      <c r="B387">
        <f>[2]sens_100_spec_10_PSA!B387</f>
        <v>1</v>
      </c>
      <c r="C387" t="str">
        <f>[2]sens_100_spec_10_PSA!C387</f>
        <v>NA</v>
      </c>
      <c r="D387">
        <f>[2]sens_100_spec_10_PSA!D387</f>
        <v>1</v>
      </c>
      <c r="E387" s="1">
        <f>[2]sens_100_spec_10_PSA!E387</f>
        <v>0.1401</v>
      </c>
      <c r="F387" s="1">
        <f>[2]sens_100_spec_10_PSA!F387</f>
        <v>2.4299999999999999E-2</v>
      </c>
      <c r="G387" s="2">
        <f>[2]sens_100_spec_10_PSA!G387</f>
        <v>17.6174771822214</v>
      </c>
      <c r="H387" s="2">
        <f>[2]sens_100_spec_10_PSA!H387</f>
        <v>11.7568540309586</v>
      </c>
      <c r="I387" s="2">
        <f>[2]sens_100_spec_10_PSA!I387</f>
        <v>7.2274833718116396</v>
      </c>
      <c r="J387" s="3">
        <f>[2]sens_100_spec_10_PSA!J387</f>
        <v>200212.54505555399</v>
      </c>
      <c r="K387" s="3">
        <f>[2]sens_100_spec_10_PSA!K387</f>
        <v>122967.79410729</v>
      </c>
      <c r="L387">
        <f>[2]sens_100_spec_10_PSA!L387</f>
        <v>1</v>
      </c>
      <c r="M387">
        <f>[2]sens_100_spec_10_PSA!M387</f>
        <v>0</v>
      </c>
    </row>
    <row r="388" spans="1:13" x14ac:dyDescent="0.25">
      <c r="A388">
        <f>[2]sens_100_spec_10_PSA!A388</f>
        <v>387</v>
      </c>
      <c r="B388">
        <f>[2]sens_100_spec_10_PSA!B388</f>
        <v>1</v>
      </c>
      <c r="C388" t="str">
        <f>[2]sens_100_spec_10_PSA!C388</f>
        <v>NA</v>
      </c>
      <c r="D388">
        <f>[2]sens_100_spec_10_PSA!D388</f>
        <v>1</v>
      </c>
      <c r="E388" s="1">
        <f>[2]sens_100_spec_10_PSA!E388</f>
        <v>0.1135</v>
      </c>
      <c r="F388" s="1">
        <f>[2]sens_100_spec_10_PSA!F388</f>
        <v>2.8199999999999999E-2</v>
      </c>
      <c r="G388" s="2">
        <f>[2]sens_100_spec_10_PSA!G388</f>
        <v>18.693591495248899</v>
      </c>
      <c r="H388" s="2">
        <f>[2]sens_100_spec_10_PSA!H388</f>
        <v>14.2443479610828</v>
      </c>
      <c r="I388" s="2">
        <f>[2]sens_100_spec_10_PSA!I388</f>
        <v>8.6834267385141999</v>
      </c>
      <c r="J388" s="3">
        <f>[2]sens_100_spec_10_PSA!J388</f>
        <v>215569.97132799201</v>
      </c>
      <c r="K388" s="3">
        <f>[2]sens_100_spec_10_PSA!K388</f>
        <v>130382.643253086</v>
      </c>
      <c r="L388">
        <f>[2]sens_100_spec_10_PSA!L388</f>
        <v>1</v>
      </c>
      <c r="M388">
        <f>[2]sens_100_spec_10_PSA!M388</f>
        <v>0</v>
      </c>
    </row>
    <row r="389" spans="1:13" x14ac:dyDescent="0.25">
      <c r="A389">
        <f>[2]sens_100_spec_10_PSA!A389</f>
        <v>388</v>
      </c>
      <c r="B389">
        <f>[2]sens_100_spec_10_PSA!B389</f>
        <v>1</v>
      </c>
      <c r="C389" t="str">
        <f>[2]sens_100_spec_10_PSA!C389</f>
        <v>NA</v>
      </c>
      <c r="D389">
        <f>[2]sens_100_spec_10_PSA!D389</f>
        <v>1</v>
      </c>
      <c r="E389" s="1">
        <f>[2]sens_100_spec_10_PSA!E389</f>
        <v>0.13289999999999999</v>
      </c>
      <c r="F389" s="1">
        <f>[2]sens_100_spec_10_PSA!F389</f>
        <v>2.7799999999999998E-2</v>
      </c>
      <c r="G389" s="2">
        <f>[2]sens_100_spec_10_PSA!G389</f>
        <v>16.9486899365216</v>
      </c>
      <c r="H389" s="2">
        <f>[2]sens_100_spec_10_PSA!H389</f>
        <v>12.613332017636701</v>
      </c>
      <c r="I389" s="2">
        <f>[2]sens_100_spec_10_PSA!I389</f>
        <v>7.8306016631789896</v>
      </c>
      <c r="J389" s="3">
        <f>[2]sens_100_spec_10_PSA!J389</f>
        <v>189160.116501232</v>
      </c>
      <c r="K389" s="3">
        <f>[2]sens_100_spec_10_PSA!K389</f>
        <v>117572.61297719</v>
      </c>
      <c r="L389">
        <f>[2]sens_100_spec_10_PSA!L389</f>
        <v>1</v>
      </c>
      <c r="M389">
        <f>[2]sens_100_spec_10_PSA!M389</f>
        <v>0</v>
      </c>
    </row>
    <row r="390" spans="1:13" x14ac:dyDescent="0.25">
      <c r="A390">
        <f>[2]sens_100_spec_10_PSA!A390</f>
        <v>389</v>
      </c>
      <c r="B390">
        <f>[2]sens_100_spec_10_PSA!B390</f>
        <v>1</v>
      </c>
      <c r="C390" t="str">
        <f>[2]sens_100_spec_10_PSA!C390</f>
        <v>NA</v>
      </c>
      <c r="D390">
        <f>[2]sens_100_spec_10_PSA!D390</f>
        <v>1</v>
      </c>
      <c r="E390" s="1">
        <f>[2]sens_100_spec_10_PSA!E390</f>
        <v>0.15490000000000001</v>
      </c>
      <c r="F390" s="1">
        <f>[2]sens_100_spec_10_PSA!F390</f>
        <v>2.4899999999999999E-2</v>
      </c>
      <c r="G390" s="2">
        <f>[2]sens_100_spec_10_PSA!G390</f>
        <v>18.352134135584599</v>
      </c>
      <c r="H390" s="2">
        <f>[2]sens_100_spec_10_PSA!H390</f>
        <v>14.028067586792201</v>
      </c>
      <c r="I390" s="2">
        <f>[2]sens_100_spec_10_PSA!I390</f>
        <v>8.4820323475883708</v>
      </c>
      <c r="J390" s="3">
        <f>[2]sens_100_spec_10_PSA!J390</f>
        <v>205779.826362336</v>
      </c>
      <c r="K390" s="3">
        <f>[2]sens_100_spec_10_PSA!K390</f>
        <v>123513.806653008</v>
      </c>
      <c r="L390">
        <f>[2]sens_100_spec_10_PSA!L390</f>
        <v>1</v>
      </c>
      <c r="M390">
        <f>[2]sens_100_spec_10_PSA!M390</f>
        <v>0</v>
      </c>
    </row>
    <row r="391" spans="1:13" x14ac:dyDescent="0.25">
      <c r="A391">
        <f>[2]sens_100_spec_10_PSA!A391</f>
        <v>390</v>
      </c>
      <c r="B391">
        <f>[2]sens_100_spec_10_PSA!B391</f>
        <v>1</v>
      </c>
      <c r="C391" t="str">
        <f>[2]sens_100_spec_10_PSA!C391</f>
        <v>NA</v>
      </c>
      <c r="D391">
        <f>[2]sens_100_spec_10_PSA!D391</f>
        <v>1</v>
      </c>
      <c r="E391" s="1">
        <f>[2]sens_100_spec_10_PSA!E391</f>
        <v>0.1368</v>
      </c>
      <c r="F391" s="1">
        <f>[2]sens_100_spec_10_PSA!F391</f>
        <v>2.4799999999999999E-2</v>
      </c>
      <c r="G391" s="2">
        <f>[2]sens_100_spec_10_PSA!G391</f>
        <v>18.445493695326999</v>
      </c>
      <c r="H391" s="2">
        <f>[2]sens_100_spec_10_PSA!H391</f>
        <v>13.5848391454289</v>
      </c>
      <c r="I391" s="2">
        <f>[2]sens_100_spec_10_PSA!I391</f>
        <v>8.2454384314485196</v>
      </c>
      <c r="J391" s="3">
        <f>[2]sens_100_spec_10_PSA!J391</f>
        <v>198477.20039493599</v>
      </c>
      <c r="K391" s="3">
        <f>[2]sens_100_spec_10_PSA!K391</f>
        <v>119992.802291966</v>
      </c>
      <c r="L391">
        <f>[2]sens_100_spec_10_PSA!L391</f>
        <v>1</v>
      </c>
      <c r="M391">
        <f>[2]sens_100_spec_10_PSA!M391</f>
        <v>0</v>
      </c>
    </row>
    <row r="392" spans="1:13" x14ac:dyDescent="0.25">
      <c r="A392">
        <f>[2]sens_100_spec_10_PSA!A392</f>
        <v>391</v>
      </c>
      <c r="B392">
        <f>[2]sens_100_spec_10_PSA!B392</f>
        <v>1</v>
      </c>
      <c r="C392" t="str">
        <f>[2]sens_100_spec_10_PSA!C392</f>
        <v>NA</v>
      </c>
      <c r="D392">
        <f>[2]sens_100_spec_10_PSA!D392</f>
        <v>1</v>
      </c>
      <c r="E392" s="1">
        <f>[2]sens_100_spec_10_PSA!E392</f>
        <v>0.18940000000000001</v>
      </c>
      <c r="F392" s="1">
        <f>[2]sens_100_spec_10_PSA!F392</f>
        <v>2.69E-2</v>
      </c>
      <c r="G392" s="2">
        <f>[2]sens_100_spec_10_PSA!G392</f>
        <v>18.370276718881701</v>
      </c>
      <c r="H392" s="2">
        <f>[2]sens_100_spec_10_PSA!H392</f>
        <v>12.505928617360301</v>
      </c>
      <c r="I392" s="2">
        <f>[2]sens_100_spec_10_PSA!I392</f>
        <v>7.4645469869962797</v>
      </c>
      <c r="J392" s="3">
        <f>[2]sens_100_spec_10_PSA!J392</f>
        <v>238630.54771642899</v>
      </c>
      <c r="K392" s="3">
        <f>[2]sens_100_spec_10_PSA!K392</f>
        <v>139725.708958473</v>
      </c>
      <c r="L392">
        <f>[2]sens_100_spec_10_PSA!L392</f>
        <v>1</v>
      </c>
      <c r="M392">
        <f>[2]sens_100_spec_10_PSA!M392</f>
        <v>0</v>
      </c>
    </row>
    <row r="393" spans="1:13" x14ac:dyDescent="0.25">
      <c r="A393">
        <f>[2]sens_100_spec_10_PSA!A393</f>
        <v>392</v>
      </c>
      <c r="B393">
        <f>[2]sens_100_spec_10_PSA!B393</f>
        <v>1</v>
      </c>
      <c r="C393" t="str">
        <f>[2]sens_100_spec_10_PSA!C393</f>
        <v>NA</v>
      </c>
      <c r="D393">
        <f>[2]sens_100_spec_10_PSA!D393</f>
        <v>1</v>
      </c>
      <c r="E393" s="1">
        <f>[2]sens_100_spec_10_PSA!E393</f>
        <v>0.2036</v>
      </c>
      <c r="F393" s="1">
        <f>[2]sens_100_spec_10_PSA!F393</f>
        <v>2.1899999999999999E-2</v>
      </c>
      <c r="G393" s="2">
        <f>[2]sens_100_spec_10_PSA!G393</f>
        <v>18.5908195811684</v>
      </c>
      <c r="H393" s="2">
        <f>[2]sens_100_spec_10_PSA!H393</f>
        <v>13.8364247141487</v>
      </c>
      <c r="I393" s="2">
        <f>[2]sens_100_spec_10_PSA!I393</f>
        <v>8.2312356118154497</v>
      </c>
      <c r="J393" s="3">
        <f>[2]sens_100_spec_10_PSA!J393</f>
        <v>209078.99948437</v>
      </c>
      <c r="K393" s="3">
        <f>[2]sens_100_spec_10_PSA!K393</f>
        <v>122824.892288594</v>
      </c>
      <c r="L393">
        <f>[2]sens_100_spec_10_PSA!L393</f>
        <v>1</v>
      </c>
      <c r="M393">
        <f>[2]sens_100_spec_10_PSA!M393</f>
        <v>0</v>
      </c>
    </row>
    <row r="394" spans="1:13" x14ac:dyDescent="0.25">
      <c r="A394">
        <f>[2]sens_100_spec_10_PSA!A394</f>
        <v>393</v>
      </c>
      <c r="B394">
        <f>[2]sens_100_spec_10_PSA!B394</f>
        <v>1</v>
      </c>
      <c r="C394" t="str">
        <f>[2]sens_100_spec_10_PSA!C394</f>
        <v>NA</v>
      </c>
      <c r="D394">
        <f>[2]sens_100_spec_10_PSA!D394</f>
        <v>1</v>
      </c>
      <c r="E394" s="1">
        <f>[2]sens_100_spec_10_PSA!E394</f>
        <v>0.1401</v>
      </c>
      <c r="F394" s="1">
        <f>[2]sens_100_spec_10_PSA!F394</f>
        <v>2.24E-2</v>
      </c>
      <c r="G394" s="2">
        <f>[2]sens_100_spec_10_PSA!G394</f>
        <v>19.4989046789524</v>
      </c>
      <c r="H394" s="2">
        <f>[2]sens_100_spec_10_PSA!H394</f>
        <v>12.723043992252499</v>
      </c>
      <c r="I394" s="2">
        <f>[2]sens_100_spec_10_PSA!I394</f>
        <v>7.6262027725158399</v>
      </c>
      <c r="J394" s="3">
        <f>[2]sens_100_spec_10_PSA!J394</f>
        <v>182091.074696747</v>
      </c>
      <c r="K394" s="3">
        <f>[2]sens_100_spec_10_PSA!K394</f>
        <v>108940.713432727</v>
      </c>
      <c r="L394">
        <f>[2]sens_100_spec_10_PSA!L394</f>
        <v>1</v>
      </c>
      <c r="M394">
        <f>[2]sens_100_spec_10_PSA!M394</f>
        <v>0</v>
      </c>
    </row>
    <row r="395" spans="1:13" x14ac:dyDescent="0.25">
      <c r="A395">
        <f>[2]sens_100_spec_10_PSA!A395</f>
        <v>394</v>
      </c>
      <c r="B395">
        <f>[2]sens_100_spec_10_PSA!B395</f>
        <v>1</v>
      </c>
      <c r="C395" t="str">
        <f>[2]sens_100_spec_10_PSA!C395</f>
        <v>NA</v>
      </c>
      <c r="D395">
        <f>[2]sens_100_spec_10_PSA!D395</f>
        <v>1</v>
      </c>
      <c r="E395" s="1">
        <f>[2]sens_100_spec_10_PSA!E395</f>
        <v>0.19689999999999999</v>
      </c>
      <c r="F395" s="1">
        <f>[2]sens_100_spec_10_PSA!F395</f>
        <v>2.0199999999999999E-2</v>
      </c>
      <c r="G395" s="2">
        <f>[2]sens_100_spec_10_PSA!G395</f>
        <v>17.490560553343901</v>
      </c>
      <c r="H395" s="2">
        <f>[2]sens_100_spec_10_PSA!H395</f>
        <v>11.728802252972001</v>
      </c>
      <c r="I395" s="2">
        <f>[2]sens_100_spec_10_PSA!I395</f>
        <v>7.1222273328691497</v>
      </c>
      <c r="J395" s="3">
        <f>[2]sens_100_spec_10_PSA!J395</f>
        <v>256795.15200034299</v>
      </c>
      <c r="K395" s="3">
        <f>[2]sens_100_spec_10_PSA!K395</f>
        <v>152771.096391178</v>
      </c>
      <c r="L395">
        <f>[2]sens_100_spec_10_PSA!L395</f>
        <v>1</v>
      </c>
      <c r="M395">
        <f>[2]sens_100_spec_10_PSA!M395</f>
        <v>0</v>
      </c>
    </row>
    <row r="396" spans="1:13" x14ac:dyDescent="0.25">
      <c r="A396">
        <f>[2]sens_100_spec_10_PSA!A396</f>
        <v>395</v>
      </c>
      <c r="B396">
        <f>[2]sens_100_spec_10_PSA!B396</f>
        <v>1</v>
      </c>
      <c r="C396" t="str">
        <f>[2]sens_100_spec_10_PSA!C396</f>
        <v>NA</v>
      </c>
      <c r="D396">
        <f>[2]sens_100_spec_10_PSA!D396</f>
        <v>1</v>
      </c>
      <c r="E396" s="1">
        <f>[2]sens_100_spec_10_PSA!E396</f>
        <v>0.1196</v>
      </c>
      <c r="F396" s="1">
        <f>[2]sens_100_spec_10_PSA!F396</f>
        <v>2.5700000000000001E-2</v>
      </c>
      <c r="G396" s="2">
        <f>[2]sens_100_spec_10_PSA!G396</f>
        <v>18.090645684013602</v>
      </c>
      <c r="H396" s="2">
        <f>[2]sens_100_spec_10_PSA!H396</f>
        <v>13.388040889118599</v>
      </c>
      <c r="I396" s="2">
        <f>[2]sens_100_spec_10_PSA!I396</f>
        <v>8.2063616226170097</v>
      </c>
      <c r="J396" s="3">
        <f>[2]sens_100_spec_10_PSA!J396</f>
        <v>171763.11183954601</v>
      </c>
      <c r="K396" s="3">
        <f>[2]sens_100_spec_10_PSA!K396</f>
        <v>105997.771841851</v>
      </c>
      <c r="L396">
        <f>[2]sens_100_spec_10_PSA!L396</f>
        <v>1</v>
      </c>
      <c r="M396">
        <f>[2]sens_100_spec_10_PSA!M396</f>
        <v>0</v>
      </c>
    </row>
    <row r="397" spans="1:13" x14ac:dyDescent="0.25">
      <c r="A397">
        <f>[2]sens_100_spec_10_PSA!A397</f>
        <v>396</v>
      </c>
      <c r="B397">
        <f>[2]sens_100_spec_10_PSA!B397</f>
        <v>1</v>
      </c>
      <c r="C397" t="str">
        <f>[2]sens_100_spec_10_PSA!C397</f>
        <v>NA</v>
      </c>
      <c r="D397">
        <f>[2]sens_100_spec_10_PSA!D397</f>
        <v>1</v>
      </c>
      <c r="E397" s="1">
        <f>[2]sens_100_spec_10_PSA!E397</f>
        <v>0.19320000000000001</v>
      </c>
      <c r="F397" s="1">
        <f>[2]sens_100_spec_10_PSA!F397</f>
        <v>2.53E-2</v>
      </c>
      <c r="G397" s="2">
        <f>[2]sens_100_spec_10_PSA!G397</f>
        <v>18.694021655000299</v>
      </c>
      <c r="H397" s="2">
        <f>[2]sens_100_spec_10_PSA!H397</f>
        <v>12.853574468317801</v>
      </c>
      <c r="I397" s="2">
        <f>[2]sens_100_spec_10_PSA!I397</f>
        <v>7.6530205886618896</v>
      </c>
      <c r="J397" s="3">
        <f>[2]sens_100_spec_10_PSA!J397</f>
        <v>190946.15545378099</v>
      </c>
      <c r="K397" s="3">
        <f>[2]sens_100_spec_10_PSA!K397</f>
        <v>113047.62111610601</v>
      </c>
      <c r="L397">
        <f>[2]sens_100_spec_10_PSA!L397</f>
        <v>1</v>
      </c>
      <c r="M397">
        <f>[2]sens_100_spec_10_PSA!M397</f>
        <v>0</v>
      </c>
    </row>
    <row r="398" spans="1:13" x14ac:dyDescent="0.25">
      <c r="A398">
        <f>[2]sens_100_spec_10_PSA!A398</f>
        <v>397</v>
      </c>
      <c r="B398">
        <f>[2]sens_100_spec_10_PSA!B398</f>
        <v>1</v>
      </c>
      <c r="C398" t="str">
        <f>[2]sens_100_spec_10_PSA!C398</f>
        <v>NA</v>
      </c>
      <c r="D398">
        <f>[2]sens_100_spec_10_PSA!D398</f>
        <v>1</v>
      </c>
      <c r="E398" s="1">
        <f>[2]sens_100_spec_10_PSA!E398</f>
        <v>0.10639999999999999</v>
      </c>
      <c r="F398" s="1">
        <f>[2]sens_100_spec_10_PSA!F398</f>
        <v>2.86E-2</v>
      </c>
      <c r="G398" s="2">
        <f>[2]sens_100_spec_10_PSA!G398</f>
        <v>20.405138357286798</v>
      </c>
      <c r="H398" s="2">
        <f>[2]sens_100_spec_10_PSA!H398</f>
        <v>14.006638181654299</v>
      </c>
      <c r="I398" s="2">
        <f>[2]sens_100_spec_10_PSA!I398</f>
        <v>8.3346477706762592</v>
      </c>
      <c r="J398" s="3">
        <f>[2]sens_100_spec_10_PSA!J398</f>
        <v>211491.51594423701</v>
      </c>
      <c r="K398" s="3">
        <f>[2]sens_100_spec_10_PSA!K398</f>
        <v>124561.920927118</v>
      </c>
      <c r="L398">
        <f>[2]sens_100_spec_10_PSA!L398</f>
        <v>1</v>
      </c>
      <c r="M398">
        <f>[2]sens_100_spec_10_PSA!M398</f>
        <v>0</v>
      </c>
    </row>
    <row r="399" spans="1:13" x14ac:dyDescent="0.25">
      <c r="A399">
        <f>[2]sens_100_spec_10_PSA!A399</f>
        <v>398</v>
      </c>
      <c r="B399">
        <f>[2]sens_100_spec_10_PSA!B399</f>
        <v>1</v>
      </c>
      <c r="C399" t="str">
        <f>[2]sens_100_spec_10_PSA!C399</f>
        <v>NA</v>
      </c>
      <c r="D399">
        <f>[2]sens_100_spec_10_PSA!D399</f>
        <v>1</v>
      </c>
      <c r="E399" s="1">
        <f>[2]sens_100_spec_10_PSA!E399</f>
        <v>9.1600000000000001E-2</v>
      </c>
      <c r="F399" s="1">
        <f>[2]sens_100_spec_10_PSA!F399</f>
        <v>2.2700000000000001E-2</v>
      </c>
      <c r="G399" s="2">
        <f>[2]sens_100_spec_10_PSA!G399</f>
        <v>21.222981310989098</v>
      </c>
      <c r="H399" s="2">
        <f>[2]sens_100_spec_10_PSA!H399</f>
        <v>14.1075021589826</v>
      </c>
      <c r="I399" s="2">
        <f>[2]sens_100_spec_10_PSA!I399</f>
        <v>8.3307057629055503</v>
      </c>
      <c r="J399" s="3">
        <f>[2]sens_100_spec_10_PSA!J399</f>
        <v>181860.03802779401</v>
      </c>
      <c r="K399" s="3">
        <f>[2]sens_100_spec_10_PSA!K399</f>
        <v>107161.696054787</v>
      </c>
      <c r="L399">
        <f>[2]sens_100_spec_10_PSA!L399</f>
        <v>1</v>
      </c>
      <c r="M399">
        <f>[2]sens_100_spec_10_PSA!M399</f>
        <v>0</v>
      </c>
    </row>
    <row r="400" spans="1:13" x14ac:dyDescent="0.25">
      <c r="A400">
        <f>[2]sens_100_spec_10_PSA!A400</f>
        <v>399</v>
      </c>
      <c r="B400">
        <f>[2]sens_100_spec_10_PSA!B400</f>
        <v>1</v>
      </c>
      <c r="C400" t="str">
        <f>[2]sens_100_spec_10_PSA!C400</f>
        <v>NA</v>
      </c>
      <c r="D400">
        <f>[2]sens_100_spec_10_PSA!D400</f>
        <v>1</v>
      </c>
      <c r="E400" s="1">
        <f>[2]sens_100_spec_10_PSA!E400</f>
        <v>0.14349999999999999</v>
      </c>
      <c r="F400" s="1">
        <f>[2]sens_100_spec_10_PSA!F400</f>
        <v>2.6700000000000002E-2</v>
      </c>
      <c r="G400" s="2">
        <f>[2]sens_100_spec_10_PSA!G400</f>
        <v>17.7910006526578</v>
      </c>
      <c r="H400" s="2">
        <f>[2]sens_100_spec_10_PSA!H400</f>
        <v>13.908606823983501</v>
      </c>
      <c r="I400" s="2">
        <f>[2]sens_100_spec_10_PSA!I400</f>
        <v>8.5003264144922994</v>
      </c>
      <c r="J400" s="3">
        <f>[2]sens_100_spec_10_PSA!J400</f>
        <v>209877.62154440299</v>
      </c>
      <c r="K400" s="3">
        <f>[2]sens_100_spec_10_PSA!K400</f>
        <v>127700.096766544</v>
      </c>
      <c r="L400">
        <f>[2]sens_100_spec_10_PSA!L400</f>
        <v>1</v>
      </c>
      <c r="M400">
        <f>[2]sens_100_spec_10_PSA!M400</f>
        <v>0</v>
      </c>
    </row>
    <row r="401" spans="1:13" x14ac:dyDescent="0.25">
      <c r="A401">
        <f>[2]sens_100_spec_10_PSA!A401</f>
        <v>400</v>
      </c>
      <c r="B401">
        <f>[2]sens_100_spec_10_PSA!B401</f>
        <v>1</v>
      </c>
      <c r="C401" t="str">
        <f>[2]sens_100_spec_10_PSA!C401</f>
        <v>NA</v>
      </c>
      <c r="D401">
        <f>[2]sens_100_spec_10_PSA!D401</f>
        <v>1</v>
      </c>
      <c r="E401" s="1">
        <f>[2]sens_100_spec_10_PSA!E401</f>
        <v>0.1578</v>
      </c>
      <c r="F401" s="1">
        <f>[2]sens_100_spec_10_PSA!F401</f>
        <v>2.0899999999999998E-2</v>
      </c>
      <c r="G401" s="2">
        <f>[2]sens_100_spec_10_PSA!G401</f>
        <v>18.1044698235007</v>
      </c>
      <c r="H401" s="2">
        <f>[2]sens_100_spec_10_PSA!H401</f>
        <v>12.1759355935364</v>
      </c>
      <c r="I401" s="2">
        <f>[2]sens_100_spec_10_PSA!I401</f>
        <v>7.3966073163912798</v>
      </c>
      <c r="J401" s="3">
        <f>[2]sens_100_spec_10_PSA!J401</f>
        <v>158814.60491513199</v>
      </c>
      <c r="K401" s="3">
        <f>[2]sens_100_spec_10_PSA!K401</f>
        <v>97440.252200657094</v>
      </c>
      <c r="L401">
        <f>[2]sens_100_spec_10_PSA!L401</f>
        <v>1</v>
      </c>
      <c r="M401">
        <f>[2]sens_100_spec_10_PSA!M401</f>
        <v>0</v>
      </c>
    </row>
    <row r="402" spans="1:13" x14ac:dyDescent="0.25">
      <c r="A402">
        <f>[2]sens_100_spec_10_PSA!A402</f>
        <v>401</v>
      </c>
      <c r="B402">
        <f>[2]sens_100_spec_10_PSA!B402</f>
        <v>1</v>
      </c>
      <c r="C402" t="str">
        <f>[2]sens_100_spec_10_PSA!C402</f>
        <v>NA</v>
      </c>
      <c r="D402">
        <f>[2]sens_100_spec_10_PSA!D402</f>
        <v>1</v>
      </c>
      <c r="E402" s="1">
        <f>[2]sens_100_spec_10_PSA!E402</f>
        <v>0.16520000000000001</v>
      </c>
      <c r="F402" s="1">
        <f>[2]sens_100_spec_10_PSA!F402</f>
        <v>1.9199999999999998E-2</v>
      </c>
      <c r="G402" s="2">
        <f>[2]sens_100_spec_10_PSA!G402</f>
        <v>18.8782061075073</v>
      </c>
      <c r="H402" s="2">
        <f>[2]sens_100_spec_10_PSA!H402</f>
        <v>15.1771610036425</v>
      </c>
      <c r="I402" s="2">
        <f>[2]sens_100_spec_10_PSA!I402</f>
        <v>9.1122620840283304</v>
      </c>
      <c r="J402" s="3">
        <f>[2]sens_100_spec_10_PSA!J402</f>
        <v>224004.33284423899</v>
      </c>
      <c r="K402" s="3">
        <f>[2]sens_100_spec_10_PSA!K402</f>
        <v>132737.734473408</v>
      </c>
      <c r="L402">
        <f>[2]sens_100_spec_10_PSA!L402</f>
        <v>1</v>
      </c>
      <c r="M402">
        <f>[2]sens_100_spec_10_PSA!M402</f>
        <v>0</v>
      </c>
    </row>
    <row r="403" spans="1:13" x14ac:dyDescent="0.25">
      <c r="A403">
        <f>[2]sens_100_spec_10_PSA!A403</f>
        <v>402</v>
      </c>
      <c r="B403">
        <f>[2]sens_100_spec_10_PSA!B403</f>
        <v>1</v>
      </c>
      <c r="C403" t="str">
        <f>[2]sens_100_spec_10_PSA!C403</f>
        <v>NA</v>
      </c>
      <c r="D403">
        <f>[2]sens_100_spec_10_PSA!D403</f>
        <v>1</v>
      </c>
      <c r="E403" s="1">
        <f>[2]sens_100_spec_10_PSA!E403</f>
        <v>0.2077</v>
      </c>
      <c r="F403" s="1">
        <f>[2]sens_100_spec_10_PSA!F403</f>
        <v>2.1100000000000001E-2</v>
      </c>
      <c r="G403" s="2">
        <f>[2]sens_100_spec_10_PSA!G403</f>
        <v>17.820639657698099</v>
      </c>
      <c r="H403" s="2">
        <f>[2]sens_100_spec_10_PSA!H403</f>
        <v>13.3189101843616</v>
      </c>
      <c r="I403" s="2">
        <f>[2]sens_100_spec_10_PSA!I403</f>
        <v>8.0188021610301607</v>
      </c>
      <c r="J403" s="3">
        <f>[2]sens_100_spec_10_PSA!J403</f>
        <v>192888.63117161099</v>
      </c>
      <c r="K403" s="3">
        <f>[2]sens_100_spec_10_PSA!K403</f>
        <v>115141.12928848001</v>
      </c>
      <c r="L403">
        <f>[2]sens_100_spec_10_PSA!L403</f>
        <v>1</v>
      </c>
      <c r="M403">
        <f>[2]sens_100_spec_10_PSA!M403</f>
        <v>0</v>
      </c>
    </row>
    <row r="404" spans="1:13" x14ac:dyDescent="0.25">
      <c r="A404">
        <f>[2]sens_100_spec_10_PSA!A404</f>
        <v>403</v>
      </c>
      <c r="B404">
        <f>[2]sens_100_spec_10_PSA!B404</f>
        <v>1</v>
      </c>
      <c r="C404" t="str">
        <f>[2]sens_100_spec_10_PSA!C404</f>
        <v>NA</v>
      </c>
      <c r="D404">
        <f>[2]sens_100_spec_10_PSA!D404</f>
        <v>1</v>
      </c>
      <c r="E404" s="1">
        <f>[2]sens_100_spec_10_PSA!E404</f>
        <v>0.15559999999999999</v>
      </c>
      <c r="F404" s="1">
        <f>[2]sens_100_spec_10_PSA!F404</f>
        <v>2.6499999999999999E-2</v>
      </c>
      <c r="G404" s="2">
        <f>[2]sens_100_spec_10_PSA!G404</f>
        <v>18.980967352910501</v>
      </c>
      <c r="H404" s="2">
        <f>[2]sens_100_spec_10_PSA!H404</f>
        <v>12.411933958912799</v>
      </c>
      <c r="I404" s="2">
        <f>[2]sens_100_spec_10_PSA!I404</f>
        <v>7.4376404422601503</v>
      </c>
      <c r="J404" s="3">
        <f>[2]sens_100_spec_10_PSA!J404</f>
        <v>272650.84873144497</v>
      </c>
      <c r="K404" s="3">
        <f>[2]sens_100_spec_10_PSA!K404</f>
        <v>159444.175011671</v>
      </c>
      <c r="L404">
        <f>[2]sens_100_spec_10_PSA!L404</f>
        <v>1</v>
      </c>
      <c r="M404">
        <f>[2]sens_100_spec_10_PSA!M404</f>
        <v>0</v>
      </c>
    </row>
    <row r="405" spans="1:13" x14ac:dyDescent="0.25">
      <c r="A405">
        <f>[2]sens_100_spec_10_PSA!A405</f>
        <v>404</v>
      </c>
      <c r="B405">
        <f>[2]sens_100_spec_10_PSA!B405</f>
        <v>1</v>
      </c>
      <c r="C405" t="str">
        <f>[2]sens_100_spec_10_PSA!C405</f>
        <v>NA</v>
      </c>
      <c r="D405">
        <f>[2]sens_100_spec_10_PSA!D405</f>
        <v>1</v>
      </c>
      <c r="E405" s="1">
        <f>[2]sens_100_spec_10_PSA!E405</f>
        <v>0.11</v>
      </c>
      <c r="F405" s="1">
        <f>[2]sens_100_spec_10_PSA!F405</f>
        <v>2.53E-2</v>
      </c>
      <c r="G405" s="2">
        <f>[2]sens_100_spec_10_PSA!G405</f>
        <v>19.1134414147126</v>
      </c>
      <c r="H405" s="2">
        <f>[2]sens_100_spec_10_PSA!H405</f>
        <v>14.434529775342501</v>
      </c>
      <c r="I405" s="2">
        <f>[2]sens_100_spec_10_PSA!I405</f>
        <v>8.7168642380262504</v>
      </c>
      <c r="J405" s="3">
        <f>[2]sens_100_spec_10_PSA!J405</f>
        <v>221946.96531801001</v>
      </c>
      <c r="K405" s="3">
        <f>[2]sens_100_spec_10_PSA!K405</f>
        <v>132613.219705986</v>
      </c>
      <c r="L405">
        <f>[2]sens_100_spec_10_PSA!L405</f>
        <v>1</v>
      </c>
      <c r="M405">
        <f>[2]sens_100_spec_10_PSA!M405</f>
        <v>0</v>
      </c>
    </row>
    <row r="406" spans="1:13" x14ac:dyDescent="0.25">
      <c r="A406">
        <f>[2]sens_100_spec_10_PSA!A406</f>
        <v>405</v>
      </c>
      <c r="B406">
        <f>[2]sens_100_spec_10_PSA!B406</f>
        <v>1</v>
      </c>
      <c r="C406" t="str">
        <f>[2]sens_100_spec_10_PSA!C406</f>
        <v>NA</v>
      </c>
      <c r="D406">
        <f>[2]sens_100_spec_10_PSA!D406</f>
        <v>1</v>
      </c>
      <c r="E406" s="1">
        <f>[2]sens_100_spec_10_PSA!E406</f>
        <v>0.18740000000000001</v>
      </c>
      <c r="F406" s="1">
        <f>[2]sens_100_spec_10_PSA!F406</f>
        <v>2.18E-2</v>
      </c>
      <c r="G406" s="2">
        <f>[2]sens_100_spec_10_PSA!G406</f>
        <v>19.8245236373943</v>
      </c>
      <c r="H406" s="2">
        <f>[2]sens_100_spec_10_PSA!H406</f>
        <v>13.9281933918609</v>
      </c>
      <c r="I406" s="2">
        <f>[2]sens_100_spec_10_PSA!I406</f>
        <v>8.1977073242660996</v>
      </c>
      <c r="J406" s="3">
        <f>[2]sens_100_spec_10_PSA!J406</f>
        <v>156693.65855517201</v>
      </c>
      <c r="K406" s="3">
        <f>[2]sens_100_spec_10_PSA!K406</f>
        <v>92629.348527717797</v>
      </c>
      <c r="L406">
        <f>[2]sens_100_spec_10_PSA!L406</f>
        <v>1</v>
      </c>
      <c r="M406">
        <f>[2]sens_100_spec_10_PSA!M406</f>
        <v>0</v>
      </c>
    </row>
    <row r="407" spans="1:13" x14ac:dyDescent="0.25">
      <c r="A407">
        <f>[2]sens_100_spec_10_PSA!A407</f>
        <v>406</v>
      </c>
      <c r="B407">
        <f>[2]sens_100_spec_10_PSA!B407</f>
        <v>1</v>
      </c>
      <c r="C407" t="str">
        <f>[2]sens_100_spec_10_PSA!C407</f>
        <v>NA</v>
      </c>
      <c r="D407">
        <f>[2]sens_100_spec_10_PSA!D407</f>
        <v>1</v>
      </c>
      <c r="E407" s="1">
        <f>[2]sens_100_spec_10_PSA!E407</f>
        <v>0.1749</v>
      </c>
      <c r="F407" s="1">
        <f>[2]sens_100_spec_10_PSA!F407</f>
        <v>3.0499999999999999E-2</v>
      </c>
      <c r="G407" s="2">
        <f>[2]sens_100_spec_10_PSA!G407</f>
        <v>16.712617675013298</v>
      </c>
      <c r="H407" s="2">
        <f>[2]sens_100_spec_10_PSA!H407</f>
        <v>12.2074692839197</v>
      </c>
      <c r="I407" s="2">
        <f>[2]sens_100_spec_10_PSA!I407</f>
        <v>7.5059687121087997</v>
      </c>
      <c r="J407" s="3">
        <f>[2]sens_100_spec_10_PSA!J407</f>
        <v>203582.739255491</v>
      </c>
      <c r="K407" s="3">
        <f>[2]sens_100_spec_10_PSA!K407</f>
        <v>124611.0355532</v>
      </c>
      <c r="L407">
        <f>[2]sens_100_spec_10_PSA!L407</f>
        <v>1</v>
      </c>
      <c r="M407">
        <f>[2]sens_100_spec_10_PSA!M407</f>
        <v>0</v>
      </c>
    </row>
    <row r="408" spans="1:13" x14ac:dyDescent="0.25">
      <c r="A408">
        <f>[2]sens_100_spec_10_PSA!A408</f>
        <v>407</v>
      </c>
      <c r="B408">
        <f>[2]sens_100_spec_10_PSA!B408</f>
        <v>1</v>
      </c>
      <c r="C408" t="str">
        <f>[2]sens_100_spec_10_PSA!C408</f>
        <v>NA</v>
      </c>
      <c r="D408">
        <f>[2]sens_100_spec_10_PSA!D408</f>
        <v>1</v>
      </c>
      <c r="E408" s="1">
        <f>[2]sens_100_spec_10_PSA!E408</f>
        <v>0.1101</v>
      </c>
      <c r="F408" s="1">
        <f>[2]sens_100_spec_10_PSA!F408</f>
        <v>2.4E-2</v>
      </c>
      <c r="G408" s="2">
        <f>[2]sens_100_spec_10_PSA!G408</f>
        <v>19.335598288334999</v>
      </c>
      <c r="H408" s="2">
        <f>[2]sens_100_spec_10_PSA!H408</f>
        <v>15.3538228859036</v>
      </c>
      <c r="I408" s="2">
        <f>[2]sens_100_spec_10_PSA!I408</f>
        <v>9.2727809867821502</v>
      </c>
      <c r="J408" s="3">
        <f>[2]sens_100_spec_10_PSA!J408</f>
        <v>217832.552653619</v>
      </c>
      <c r="K408" s="3">
        <f>[2]sens_100_spec_10_PSA!K408</f>
        <v>130267.890862022</v>
      </c>
      <c r="L408">
        <f>[2]sens_100_spec_10_PSA!L408</f>
        <v>1</v>
      </c>
      <c r="M408">
        <f>[2]sens_100_spec_10_PSA!M408</f>
        <v>0</v>
      </c>
    </row>
    <row r="409" spans="1:13" x14ac:dyDescent="0.25">
      <c r="A409">
        <f>[2]sens_100_spec_10_PSA!A409</f>
        <v>408</v>
      </c>
      <c r="B409">
        <f>[2]sens_100_spec_10_PSA!B409</f>
        <v>1</v>
      </c>
      <c r="C409" t="str">
        <f>[2]sens_100_spec_10_PSA!C409</f>
        <v>NA</v>
      </c>
      <c r="D409">
        <f>[2]sens_100_spec_10_PSA!D409</f>
        <v>1</v>
      </c>
      <c r="E409" s="1">
        <f>[2]sens_100_spec_10_PSA!E409</f>
        <v>0.15759999999999999</v>
      </c>
      <c r="F409" s="1">
        <f>[2]sens_100_spec_10_PSA!F409</f>
        <v>2.5999999999999999E-2</v>
      </c>
      <c r="G409" s="2">
        <f>[2]sens_100_spec_10_PSA!G409</f>
        <v>17.927062435391999</v>
      </c>
      <c r="H409" s="2">
        <f>[2]sens_100_spec_10_PSA!H409</f>
        <v>14.6873997214041</v>
      </c>
      <c r="I409" s="2">
        <f>[2]sens_100_spec_10_PSA!I409</f>
        <v>8.9349045918408105</v>
      </c>
      <c r="J409" s="3">
        <f>[2]sens_100_spec_10_PSA!J409</f>
        <v>173985.26970843301</v>
      </c>
      <c r="K409" s="3">
        <f>[2]sens_100_spec_10_PSA!K409</f>
        <v>106271.05624468</v>
      </c>
      <c r="L409">
        <f>[2]sens_100_spec_10_PSA!L409</f>
        <v>1</v>
      </c>
      <c r="M409">
        <f>[2]sens_100_spec_10_PSA!M409</f>
        <v>0</v>
      </c>
    </row>
    <row r="410" spans="1:13" x14ac:dyDescent="0.25">
      <c r="A410">
        <f>[2]sens_100_spec_10_PSA!A410</f>
        <v>409</v>
      </c>
      <c r="B410">
        <f>[2]sens_100_spec_10_PSA!B410</f>
        <v>1</v>
      </c>
      <c r="C410" t="str">
        <f>[2]sens_100_spec_10_PSA!C410</f>
        <v>NA</v>
      </c>
      <c r="D410">
        <f>[2]sens_100_spec_10_PSA!D410</f>
        <v>1</v>
      </c>
      <c r="E410" s="1">
        <f>[2]sens_100_spec_10_PSA!E410</f>
        <v>0.14899999999999999</v>
      </c>
      <c r="F410" s="1">
        <f>[2]sens_100_spec_10_PSA!F410</f>
        <v>2.69E-2</v>
      </c>
      <c r="G410" s="2">
        <f>[2]sens_100_spec_10_PSA!G410</f>
        <v>18.099660839379201</v>
      </c>
      <c r="H410" s="2">
        <f>[2]sens_100_spec_10_PSA!H410</f>
        <v>12.999166725897799</v>
      </c>
      <c r="I410" s="2">
        <f>[2]sens_100_spec_10_PSA!I410</f>
        <v>7.9022370987613204</v>
      </c>
      <c r="J410" s="3">
        <f>[2]sens_100_spec_10_PSA!J410</f>
        <v>169268.99533584499</v>
      </c>
      <c r="K410" s="3">
        <f>[2]sens_100_spec_10_PSA!K410</f>
        <v>103503.16608938899</v>
      </c>
      <c r="L410">
        <f>[2]sens_100_spec_10_PSA!L410</f>
        <v>1</v>
      </c>
      <c r="M410">
        <f>[2]sens_100_spec_10_PSA!M410</f>
        <v>0</v>
      </c>
    </row>
    <row r="411" spans="1:13" x14ac:dyDescent="0.25">
      <c r="A411">
        <f>[2]sens_100_spec_10_PSA!A411</f>
        <v>410</v>
      </c>
      <c r="B411">
        <f>[2]sens_100_spec_10_PSA!B411</f>
        <v>1</v>
      </c>
      <c r="C411" t="str">
        <f>[2]sens_100_spec_10_PSA!C411</f>
        <v>NA</v>
      </c>
      <c r="D411">
        <f>[2]sens_100_spec_10_PSA!D411</f>
        <v>1</v>
      </c>
      <c r="E411" s="1">
        <f>[2]sens_100_spec_10_PSA!E411</f>
        <v>9.8000000000000004E-2</v>
      </c>
      <c r="F411" s="1">
        <f>[2]sens_100_spec_10_PSA!F411</f>
        <v>1.9900000000000001E-2</v>
      </c>
      <c r="G411" s="2">
        <f>[2]sens_100_spec_10_PSA!G411</f>
        <v>19.1139305138643</v>
      </c>
      <c r="H411" s="2">
        <f>[2]sens_100_spec_10_PSA!H411</f>
        <v>12.640532434909</v>
      </c>
      <c r="I411" s="2">
        <f>[2]sens_100_spec_10_PSA!I411</f>
        <v>7.6741060129262904</v>
      </c>
      <c r="J411" s="3">
        <f>[2]sens_100_spec_10_PSA!J411</f>
        <v>194055.40052086601</v>
      </c>
      <c r="K411" s="3">
        <f>[2]sens_100_spec_10_PSA!K411</f>
        <v>117727.176329829</v>
      </c>
      <c r="L411">
        <f>[2]sens_100_spec_10_PSA!L411</f>
        <v>1</v>
      </c>
      <c r="M411">
        <f>[2]sens_100_spec_10_PSA!M411</f>
        <v>0</v>
      </c>
    </row>
    <row r="412" spans="1:13" x14ac:dyDescent="0.25">
      <c r="A412">
        <f>[2]sens_100_spec_10_PSA!A412</f>
        <v>411</v>
      </c>
      <c r="B412">
        <f>[2]sens_100_spec_10_PSA!B412</f>
        <v>1</v>
      </c>
      <c r="C412" t="str">
        <f>[2]sens_100_spec_10_PSA!C412</f>
        <v>NA</v>
      </c>
      <c r="D412">
        <f>[2]sens_100_spec_10_PSA!D412</f>
        <v>1</v>
      </c>
      <c r="E412" s="1">
        <f>[2]sens_100_spec_10_PSA!E412</f>
        <v>9.9599999999999994E-2</v>
      </c>
      <c r="F412" s="1">
        <f>[2]sens_100_spec_10_PSA!F412</f>
        <v>2.9499999999999998E-2</v>
      </c>
      <c r="G412" s="2">
        <f>[2]sens_100_spec_10_PSA!G412</f>
        <v>19.1476743017503</v>
      </c>
      <c r="H412" s="2">
        <f>[2]sens_100_spec_10_PSA!H412</f>
        <v>13.2541205395763</v>
      </c>
      <c r="I412" s="2">
        <f>[2]sens_100_spec_10_PSA!I412</f>
        <v>8.0437861016195509</v>
      </c>
      <c r="J412" s="3">
        <f>[2]sens_100_spec_10_PSA!J412</f>
        <v>247109.28492067699</v>
      </c>
      <c r="K412" s="3">
        <f>[2]sens_100_spec_10_PSA!K412</f>
        <v>147719.626312993</v>
      </c>
      <c r="L412">
        <f>[2]sens_100_spec_10_PSA!L412</f>
        <v>1</v>
      </c>
      <c r="M412">
        <f>[2]sens_100_spec_10_PSA!M412</f>
        <v>0</v>
      </c>
    </row>
    <row r="413" spans="1:13" x14ac:dyDescent="0.25">
      <c r="A413">
        <f>[2]sens_100_spec_10_PSA!A413</f>
        <v>412</v>
      </c>
      <c r="B413">
        <f>[2]sens_100_spec_10_PSA!B413</f>
        <v>1</v>
      </c>
      <c r="C413" t="str">
        <f>[2]sens_100_spec_10_PSA!C413</f>
        <v>NA</v>
      </c>
      <c r="D413">
        <f>[2]sens_100_spec_10_PSA!D413</f>
        <v>1</v>
      </c>
      <c r="E413" s="1">
        <f>[2]sens_100_spec_10_PSA!E413</f>
        <v>0.23449999999999999</v>
      </c>
      <c r="F413" s="1">
        <f>[2]sens_100_spec_10_PSA!F413</f>
        <v>2.24E-2</v>
      </c>
      <c r="G413" s="2">
        <f>[2]sens_100_spec_10_PSA!G413</f>
        <v>16.0334274536315</v>
      </c>
      <c r="H413" s="2">
        <f>[2]sens_100_spec_10_PSA!H413</f>
        <v>11.7501916352251</v>
      </c>
      <c r="I413" s="2">
        <f>[2]sens_100_spec_10_PSA!I413</f>
        <v>7.2208262123412501</v>
      </c>
      <c r="J413" s="3">
        <f>[2]sens_100_spec_10_PSA!J413</f>
        <v>173250.53040298499</v>
      </c>
      <c r="K413" s="3">
        <f>[2]sens_100_spec_10_PSA!K413</f>
        <v>106736.004466392</v>
      </c>
      <c r="L413">
        <f>[2]sens_100_spec_10_PSA!L413</f>
        <v>1</v>
      </c>
      <c r="M413">
        <f>[2]sens_100_spec_10_PSA!M413</f>
        <v>0</v>
      </c>
    </row>
    <row r="414" spans="1:13" x14ac:dyDescent="0.25">
      <c r="A414">
        <f>[2]sens_100_spec_10_PSA!A414</f>
        <v>413</v>
      </c>
      <c r="B414">
        <f>[2]sens_100_spec_10_PSA!B414</f>
        <v>1</v>
      </c>
      <c r="C414" t="str">
        <f>[2]sens_100_spec_10_PSA!C414</f>
        <v>NA</v>
      </c>
      <c r="D414">
        <f>[2]sens_100_spec_10_PSA!D414</f>
        <v>1</v>
      </c>
      <c r="E414" s="1">
        <f>[2]sens_100_spec_10_PSA!E414</f>
        <v>0.14360000000000001</v>
      </c>
      <c r="F414" s="1">
        <f>[2]sens_100_spec_10_PSA!F414</f>
        <v>2.4500000000000001E-2</v>
      </c>
      <c r="G414" s="2">
        <f>[2]sens_100_spec_10_PSA!G414</f>
        <v>19.256266608364399</v>
      </c>
      <c r="H414" s="2">
        <f>[2]sens_100_spec_10_PSA!H414</f>
        <v>12.8275846847888</v>
      </c>
      <c r="I414" s="2">
        <f>[2]sens_100_spec_10_PSA!I414</f>
        <v>7.6937006954410503</v>
      </c>
      <c r="J414" s="3">
        <f>[2]sens_100_spec_10_PSA!J414</f>
        <v>202921.89608470301</v>
      </c>
      <c r="K414" s="3">
        <f>[2]sens_100_spec_10_PSA!K414</f>
        <v>120500.779093939</v>
      </c>
      <c r="L414">
        <f>[2]sens_100_spec_10_PSA!L414</f>
        <v>1</v>
      </c>
      <c r="M414">
        <f>[2]sens_100_spec_10_PSA!M414</f>
        <v>0</v>
      </c>
    </row>
    <row r="415" spans="1:13" x14ac:dyDescent="0.25">
      <c r="A415">
        <f>[2]sens_100_spec_10_PSA!A415</f>
        <v>414</v>
      </c>
      <c r="B415">
        <f>[2]sens_100_spec_10_PSA!B415</f>
        <v>1</v>
      </c>
      <c r="C415" t="str">
        <f>[2]sens_100_spec_10_PSA!C415</f>
        <v>NA</v>
      </c>
      <c r="D415">
        <f>[2]sens_100_spec_10_PSA!D415</f>
        <v>1</v>
      </c>
      <c r="E415" s="1">
        <f>[2]sens_100_spec_10_PSA!E415</f>
        <v>0.1159</v>
      </c>
      <c r="F415" s="1">
        <f>[2]sens_100_spec_10_PSA!F415</f>
        <v>2.3300000000000001E-2</v>
      </c>
      <c r="G415" s="2">
        <f>[2]sens_100_spec_10_PSA!G415</f>
        <v>18.742286038268201</v>
      </c>
      <c r="H415" s="2">
        <f>[2]sens_100_spec_10_PSA!H415</f>
        <v>14.090501584346301</v>
      </c>
      <c r="I415" s="2">
        <f>[2]sens_100_spec_10_PSA!I415</f>
        <v>8.5816578122308904</v>
      </c>
      <c r="J415" s="3">
        <f>[2]sens_100_spec_10_PSA!J415</f>
        <v>138285.93236921399</v>
      </c>
      <c r="K415" s="3">
        <f>[2]sens_100_spec_10_PSA!K415</f>
        <v>86119.413783745404</v>
      </c>
      <c r="L415">
        <f>[2]sens_100_spec_10_PSA!L415</f>
        <v>1</v>
      </c>
      <c r="M415">
        <f>[2]sens_100_spec_10_PSA!M415</f>
        <v>0</v>
      </c>
    </row>
    <row r="416" spans="1:13" x14ac:dyDescent="0.25">
      <c r="A416">
        <f>[2]sens_100_spec_10_PSA!A416</f>
        <v>415</v>
      </c>
      <c r="B416">
        <f>[2]sens_100_spec_10_PSA!B416</f>
        <v>1</v>
      </c>
      <c r="C416" t="str">
        <f>[2]sens_100_spec_10_PSA!C416</f>
        <v>NA</v>
      </c>
      <c r="D416">
        <f>[2]sens_100_spec_10_PSA!D416</f>
        <v>1</v>
      </c>
      <c r="E416" s="1">
        <f>[2]sens_100_spec_10_PSA!E416</f>
        <v>0.14399999999999999</v>
      </c>
      <c r="F416" s="1">
        <f>[2]sens_100_spec_10_PSA!F416</f>
        <v>3.0099999999999998E-2</v>
      </c>
      <c r="G416" s="2">
        <f>[2]sens_100_spec_10_PSA!G416</f>
        <v>17.211239891181901</v>
      </c>
      <c r="H416" s="2">
        <f>[2]sens_100_spec_10_PSA!H416</f>
        <v>12.2029614493607</v>
      </c>
      <c r="I416" s="2">
        <f>[2]sens_100_spec_10_PSA!I416</f>
        <v>7.5333700953945897</v>
      </c>
      <c r="J416" s="3">
        <f>[2]sens_100_spec_10_PSA!J416</f>
        <v>170196.362261698</v>
      </c>
      <c r="K416" s="3">
        <f>[2]sens_100_spec_10_PSA!K416</f>
        <v>105725.96916550001</v>
      </c>
      <c r="L416">
        <f>[2]sens_100_spec_10_PSA!L416</f>
        <v>1</v>
      </c>
      <c r="M416">
        <f>[2]sens_100_spec_10_PSA!M416</f>
        <v>0</v>
      </c>
    </row>
    <row r="417" spans="1:13" x14ac:dyDescent="0.25">
      <c r="A417">
        <f>[2]sens_100_spec_10_PSA!A417</f>
        <v>416</v>
      </c>
      <c r="B417">
        <f>[2]sens_100_spec_10_PSA!B417</f>
        <v>1</v>
      </c>
      <c r="C417" t="str">
        <f>[2]sens_100_spec_10_PSA!C417</f>
        <v>NA</v>
      </c>
      <c r="D417">
        <f>[2]sens_100_spec_10_PSA!D417</f>
        <v>1</v>
      </c>
      <c r="E417" s="1">
        <f>[2]sens_100_spec_10_PSA!E417</f>
        <v>0.1366</v>
      </c>
      <c r="F417" s="1">
        <f>[2]sens_100_spec_10_PSA!F417</f>
        <v>2.5700000000000001E-2</v>
      </c>
      <c r="G417" s="2">
        <f>[2]sens_100_spec_10_PSA!G417</f>
        <v>19.487117847025299</v>
      </c>
      <c r="H417" s="2">
        <f>[2]sens_100_spec_10_PSA!H417</f>
        <v>13.8157771595295</v>
      </c>
      <c r="I417" s="2">
        <f>[2]sens_100_spec_10_PSA!I417</f>
        <v>8.26057469890136</v>
      </c>
      <c r="J417" s="3">
        <f>[2]sens_100_spec_10_PSA!J417</f>
        <v>205392.11947988</v>
      </c>
      <c r="K417" s="3">
        <f>[2]sens_100_spec_10_PSA!K417</f>
        <v>121733.95914989999</v>
      </c>
      <c r="L417">
        <f>[2]sens_100_spec_10_PSA!L417</f>
        <v>1</v>
      </c>
      <c r="M417">
        <f>[2]sens_100_spec_10_PSA!M417</f>
        <v>0</v>
      </c>
    </row>
    <row r="418" spans="1:13" x14ac:dyDescent="0.25">
      <c r="A418">
        <f>[2]sens_100_spec_10_PSA!A418</f>
        <v>417</v>
      </c>
      <c r="B418">
        <f>[2]sens_100_spec_10_PSA!B418</f>
        <v>1</v>
      </c>
      <c r="C418" t="str">
        <f>[2]sens_100_spec_10_PSA!C418</f>
        <v>NA</v>
      </c>
      <c r="D418">
        <f>[2]sens_100_spec_10_PSA!D418</f>
        <v>1</v>
      </c>
      <c r="E418" s="1">
        <f>[2]sens_100_spec_10_PSA!E418</f>
        <v>0.14019999999999999</v>
      </c>
      <c r="F418" s="1">
        <f>[2]sens_100_spec_10_PSA!F418</f>
        <v>2.5399999999999999E-2</v>
      </c>
      <c r="G418" s="2">
        <f>[2]sens_100_spec_10_PSA!G418</f>
        <v>19.365058997153099</v>
      </c>
      <c r="H418" s="2">
        <f>[2]sens_100_spec_10_PSA!H418</f>
        <v>13.894249613390601</v>
      </c>
      <c r="I418" s="2">
        <f>[2]sens_100_spec_10_PSA!I418</f>
        <v>8.3055281651400996</v>
      </c>
      <c r="J418" s="3">
        <f>[2]sens_100_spec_10_PSA!J418</f>
        <v>229930.06467176101</v>
      </c>
      <c r="K418" s="3">
        <f>[2]sens_100_spec_10_PSA!K418</f>
        <v>135193.675359371</v>
      </c>
      <c r="L418">
        <f>[2]sens_100_spec_10_PSA!L418</f>
        <v>1</v>
      </c>
      <c r="M418">
        <f>[2]sens_100_spec_10_PSA!M418</f>
        <v>0</v>
      </c>
    </row>
    <row r="419" spans="1:13" x14ac:dyDescent="0.25">
      <c r="A419">
        <f>[2]sens_100_spec_10_PSA!A419</f>
        <v>418</v>
      </c>
      <c r="B419">
        <f>[2]sens_100_spec_10_PSA!B419</f>
        <v>1</v>
      </c>
      <c r="C419" t="str">
        <f>[2]sens_100_spec_10_PSA!C419</f>
        <v>NA</v>
      </c>
      <c r="D419">
        <f>[2]sens_100_spec_10_PSA!D419</f>
        <v>1</v>
      </c>
      <c r="E419" s="1">
        <f>[2]sens_100_spec_10_PSA!E419</f>
        <v>0.18540000000000001</v>
      </c>
      <c r="F419" s="1">
        <f>[2]sens_100_spec_10_PSA!F419</f>
        <v>2.3599999999999999E-2</v>
      </c>
      <c r="G419" s="2">
        <f>[2]sens_100_spec_10_PSA!G419</f>
        <v>19.586183458116501</v>
      </c>
      <c r="H419" s="2">
        <f>[2]sens_100_spec_10_PSA!H419</f>
        <v>14.367720493651101</v>
      </c>
      <c r="I419" s="2">
        <f>[2]sens_100_spec_10_PSA!I419</f>
        <v>8.4841590822606108</v>
      </c>
      <c r="J419" s="3">
        <f>[2]sens_100_spec_10_PSA!J419</f>
        <v>160661.94127750999</v>
      </c>
      <c r="K419" s="3">
        <f>[2]sens_100_spec_10_PSA!K419</f>
        <v>95312.849458046301</v>
      </c>
      <c r="L419">
        <f>[2]sens_100_spec_10_PSA!L419</f>
        <v>1</v>
      </c>
      <c r="M419">
        <f>[2]sens_100_spec_10_PSA!M419</f>
        <v>0</v>
      </c>
    </row>
    <row r="420" spans="1:13" x14ac:dyDescent="0.25">
      <c r="A420">
        <f>[2]sens_100_spec_10_PSA!A420</f>
        <v>419</v>
      </c>
      <c r="B420">
        <f>[2]sens_100_spec_10_PSA!B420</f>
        <v>1</v>
      </c>
      <c r="C420" t="str">
        <f>[2]sens_100_spec_10_PSA!C420</f>
        <v>NA</v>
      </c>
      <c r="D420">
        <f>[2]sens_100_spec_10_PSA!D420</f>
        <v>1</v>
      </c>
      <c r="E420" s="1">
        <f>[2]sens_100_spec_10_PSA!E420</f>
        <v>0.14560000000000001</v>
      </c>
      <c r="F420" s="1">
        <f>[2]sens_100_spec_10_PSA!F420</f>
        <v>2.7300000000000001E-2</v>
      </c>
      <c r="G420" s="2">
        <f>[2]sens_100_spec_10_PSA!G420</f>
        <v>19.1755255274233</v>
      </c>
      <c r="H420" s="2">
        <f>[2]sens_100_spec_10_PSA!H420</f>
        <v>15.067708891215499</v>
      </c>
      <c r="I420" s="2">
        <f>[2]sens_100_spec_10_PSA!I420</f>
        <v>9.0015130186505594</v>
      </c>
      <c r="J420" s="3">
        <f>[2]sens_100_spec_10_PSA!J420</f>
        <v>263731.15498809301</v>
      </c>
      <c r="K420" s="3">
        <f>[2]sens_100_spec_10_PSA!K420</f>
        <v>154083.195522984</v>
      </c>
      <c r="L420">
        <f>[2]sens_100_spec_10_PSA!L420</f>
        <v>1</v>
      </c>
      <c r="M420">
        <f>[2]sens_100_spec_10_PSA!M420</f>
        <v>0</v>
      </c>
    </row>
    <row r="421" spans="1:13" x14ac:dyDescent="0.25">
      <c r="A421">
        <f>[2]sens_100_spec_10_PSA!A421</f>
        <v>420</v>
      </c>
      <c r="B421">
        <f>[2]sens_100_spec_10_PSA!B421</f>
        <v>1</v>
      </c>
      <c r="C421" t="str">
        <f>[2]sens_100_spec_10_PSA!C421</f>
        <v>NA</v>
      </c>
      <c r="D421">
        <f>[2]sens_100_spec_10_PSA!D421</f>
        <v>1</v>
      </c>
      <c r="E421" s="1">
        <f>[2]sens_100_spec_10_PSA!E421</f>
        <v>0.16950000000000001</v>
      </c>
      <c r="F421" s="1">
        <f>[2]sens_100_spec_10_PSA!F421</f>
        <v>2.24E-2</v>
      </c>
      <c r="G421" s="2">
        <f>[2]sens_100_spec_10_PSA!G421</f>
        <v>19.577972166655599</v>
      </c>
      <c r="H421" s="2">
        <f>[2]sens_100_spec_10_PSA!H421</f>
        <v>13.6418030872026</v>
      </c>
      <c r="I421" s="2">
        <f>[2]sens_100_spec_10_PSA!I421</f>
        <v>8.0607480587745499</v>
      </c>
      <c r="J421" s="3">
        <f>[2]sens_100_spec_10_PSA!J421</f>
        <v>158818.71736383499</v>
      </c>
      <c r="K421" s="3">
        <f>[2]sens_100_spec_10_PSA!K421</f>
        <v>94266.9623386975</v>
      </c>
      <c r="L421">
        <f>[2]sens_100_spec_10_PSA!L421</f>
        <v>1</v>
      </c>
      <c r="M421">
        <f>[2]sens_100_spec_10_PSA!M421</f>
        <v>0</v>
      </c>
    </row>
    <row r="422" spans="1:13" x14ac:dyDescent="0.25">
      <c r="A422">
        <f>[2]sens_100_spec_10_PSA!A422</f>
        <v>421</v>
      </c>
      <c r="B422">
        <f>[2]sens_100_spec_10_PSA!B422</f>
        <v>1</v>
      </c>
      <c r="C422" t="str">
        <f>[2]sens_100_spec_10_PSA!C422</f>
        <v>NA</v>
      </c>
      <c r="D422">
        <f>[2]sens_100_spec_10_PSA!D422</f>
        <v>1</v>
      </c>
      <c r="E422" s="1">
        <f>[2]sens_100_spec_10_PSA!E422</f>
        <v>0.2104</v>
      </c>
      <c r="F422" s="1">
        <f>[2]sens_100_spec_10_PSA!F422</f>
        <v>2.3E-2</v>
      </c>
      <c r="G422" s="2">
        <f>[2]sens_100_spec_10_PSA!G422</f>
        <v>18.8377447333595</v>
      </c>
      <c r="H422" s="2">
        <f>[2]sens_100_spec_10_PSA!H422</f>
        <v>13.053629468574099</v>
      </c>
      <c r="I422" s="2">
        <f>[2]sens_100_spec_10_PSA!I422</f>
        <v>7.7128336162303599</v>
      </c>
      <c r="J422" s="3">
        <f>[2]sens_100_spec_10_PSA!J422</f>
        <v>184775.05154301101</v>
      </c>
      <c r="K422" s="3">
        <f>[2]sens_100_spec_10_PSA!K422</f>
        <v>108463.809452273</v>
      </c>
      <c r="L422">
        <f>[2]sens_100_spec_10_PSA!L422</f>
        <v>1</v>
      </c>
      <c r="M422">
        <f>[2]sens_100_spec_10_PSA!M422</f>
        <v>0</v>
      </c>
    </row>
    <row r="423" spans="1:13" x14ac:dyDescent="0.25">
      <c r="A423">
        <f>[2]sens_100_spec_10_PSA!A423</f>
        <v>422</v>
      </c>
      <c r="B423">
        <f>[2]sens_100_spec_10_PSA!B423</f>
        <v>1</v>
      </c>
      <c r="C423" t="str">
        <f>[2]sens_100_spec_10_PSA!C423</f>
        <v>NA</v>
      </c>
      <c r="D423">
        <f>[2]sens_100_spec_10_PSA!D423</f>
        <v>1</v>
      </c>
      <c r="E423" s="1">
        <f>[2]sens_100_spec_10_PSA!E423</f>
        <v>0.1176</v>
      </c>
      <c r="F423" s="1">
        <f>[2]sens_100_spec_10_PSA!F423</f>
        <v>2.9899999999999999E-2</v>
      </c>
      <c r="G423" s="2">
        <f>[2]sens_100_spec_10_PSA!G423</f>
        <v>20.3041506795883</v>
      </c>
      <c r="H423" s="2">
        <f>[2]sens_100_spec_10_PSA!H423</f>
        <v>15.5333774044195</v>
      </c>
      <c r="I423" s="2">
        <f>[2]sens_100_spec_10_PSA!I423</f>
        <v>9.2125542365807593</v>
      </c>
      <c r="J423" s="3">
        <f>[2]sens_100_spec_10_PSA!J423</f>
        <v>252306.63613695599</v>
      </c>
      <c r="K423" s="3">
        <f>[2]sens_100_spec_10_PSA!K423</f>
        <v>146343.10991232301</v>
      </c>
      <c r="L423">
        <f>[2]sens_100_spec_10_PSA!L423</f>
        <v>1</v>
      </c>
      <c r="M423">
        <f>[2]sens_100_spec_10_PSA!M423</f>
        <v>0</v>
      </c>
    </row>
    <row r="424" spans="1:13" x14ac:dyDescent="0.25">
      <c r="A424">
        <f>[2]sens_100_spec_10_PSA!A424</f>
        <v>423</v>
      </c>
      <c r="B424">
        <f>[2]sens_100_spec_10_PSA!B424</f>
        <v>1</v>
      </c>
      <c r="C424" t="str">
        <f>[2]sens_100_spec_10_PSA!C424</f>
        <v>NA</v>
      </c>
      <c r="D424">
        <f>[2]sens_100_spec_10_PSA!D424</f>
        <v>1</v>
      </c>
      <c r="E424" s="1">
        <f>[2]sens_100_spec_10_PSA!E424</f>
        <v>0.1231</v>
      </c>
      <c r="F424" s="1">
        <f>[2]sens_100_spec_10_PSA!F424</f>
        <v>2.76E-2</v>
      </c>
      <c r="G424" s="2">
        <f>[2]sens_100_spec_10_PSA!G424</f>
        <v>18.6188194938679</v>
      </c>
      <c r="H424" s="2">
        <f>[2]sens_100_spec_10_PSA!H424</f>
        <v>14.2646362566395</v>
      </c>
      <c r="I424" s="2">
        <f>[2]sens_100_spec_10_PSA!I424</f>
        <v>8.6781230449582001</v>
      </c>
      <c r="J424" s="3">
        <f>[2]sens_100_spec_10_PSA!J424</f>
        <v>277354.94728285802</v>
      </c>
      <c r="K424" s="3">
        <f>[2]sens_100_spec_10_PSA!K424</f>
        <v>165108.87395642101</v>
      </c>
      <c r="L424">
        <f>[2]sens_100_spec_10_PSA!L424</f>
        <v>1</v>
      </c>
      <c r="M424">
        <f>[2]sens_100_spec_10_PSA!M424</f>
        <v>0</v>
      </c>
    </row>
    <row r="425" spans="1:13" x14ac:dyDescent="0.25">
      <c r="A425">
        <f>[2]sens_100_spec_10_PSA!A425</f>
        <v>424</v>
      </c>
      <c r="B425">
        <f>[2]sens_100_spec_10_PSA!B425</f>
        <v>1</v>
      </c>
      <c r="C425" t="str">
        <f>[2]sens_100_spec_10_PSA!C425</f>
        <v>NA</v>
      </c>
      <c r="D425">
        <f>[2]sens_100_spec_10_PSA!D425</f>
        <v>1</v>
      </c>
      <c r="E425" s="1">
        <f>[2]sens_100_spec_10_PSA!E425</f>
        <v>0.1036</v>
      </c>
      <c r="F425" s="1">
        <f>[2]sens_100_spec_10_PSA!F425</f>
        <v>2.3400000000000001E-2</v>
      </c>
      <c r="G425" s="2">
        <f>[2]sens_100_spec_10_PSA!G425</f>
        <v>18.639061777567001</v>
      </c>
      <c r="H425" s="2">
        <f>[2]sens_100_spec_10_PSA!H425</f>
        <v>12.6852647507089</v>
      </c>
      <c r="I425" s="2">
        <f>[2]sens_100_spec_10_PSA!I425</f>
        <v>7.7518693800192704</v>
      </c>
      <c r="J425" s="3">
        <f>[2]sens_100_spec_10_PSA!J425</f>
        <v>194170.34469795701</v>
      </c>
      <c r="K425" s="3">
        <f>[2]sens_100_spec_10_PSA!K425</f>
        <v>118436.526234805</v>
      </c>
      <c r="L425">
        <f>[2]sens_100_spec_10_PSA!L425</f>
        <v>1</v>
      </c>
      <c r="M425">
        <f>[2]sens_100_spec_10_PSA!M425</f>
        <v>0</v>
      </c>
    </row>
    <row r="426" spans="1:13" x14ac:dyDescent="0.25">
      <c r="A426">
        <f>[2]sens_100_spec_10_PSA!A426</f>
        <v>425</v>
      </c>
      <c r="B426">
        <f>[2]sens_100_spec_10_PSA!B426</f>
        <v>1</v>
      </c>
      <c r="C426" t="str">
        <f>[2]sens_100_spec_10_PSA!C426</f>
        <v>NA</v>
      </c>
      <c r="D426">
        <f>[2]sens_100_spec_10_PSA!D426</f>
        <v>1</v>
      </c>
      <c r="E426" s="1">
        <f>[2]sens_100_spec_10_PSA!E426</f>
        <v>0.1434</v>
      </c>
      <c r="F426" s="1">
        <f>[2]sens_100_spec_10_PSA!F426</f>
        <v>2.3300000000000001E-2</v>
      </c>
      <c r="G426" s="2">
        <f>[2]sens_100_spec_10_PSA!G426</f>
        <v>19.761740955370701</v>
      </c>
      <c r="H426" s="2">
        <f>[2]sens_100_spec_10_PSA!H426</f>
        <v>13.3076770142864</v>
      </c>
      <c r="I426" s="2">
        <f>[2]sens_100_spec_10_PSA!I426</f>
        <v>7.9551696397537297</v>
      </c>
      <c r="J426" s="3">
        <f>[2]sens_100_spec_10_PSA!J426</f>
        <v>269235.75241770002</v>
      </c>
      <c r="K426" s="3">
        <f>[2]sens_100_spec_10_PSA!K426</f>
        <v>157052.63831775601</v>
      </c>
      <c r="L426">
        <f>[2]sens_100_spec_10_PSA!L426</f>
        <v>1</v>
      </c>
      <c r="M426">
        <f>[2]sens_100_spec_10_PSA!M426</f>
        <v>0</v>
      </c>
    </row>
    <row r="427" spans="1:13" x14ac:dyDescent="0.25">
      <c r="A427">
        <f>[2]sens_100_spec_10_PSA!A427</f>
        <v>426</v>
      </c>
      <c r="B427">
        <f>[2]sens_100_spec_10_PSA!B427</f>
        <v>1</v>
      </c>
      <c r="C427" t="str">
        <f>[2]sens_100_spec_10_PSA!C427</f>
        <v>NA</v>
      </c>
      <c r="D427">
        <f>[2]sens_100_spec_10_PSA!D427</f>
        <v>1</v>
      </c>
      <c r="E427" s="1">
        <f>[2]sens_100_spec_10_PSA!E427</f>
        <v>0.24759999999999999</v>
      </c>
      <c r="F427" s="1">
        <f>[2]sens_100_spec_10_PSA!F427</f>
        <v>2.1100000000000001E-2</v>
      </c>
      <c r="G427" s="2">
        <f>[2]sens_100_spec_10_PSA!G427</f>
        <v>16.9041433516179</v>
      </c>
      <c r="H427" s="2">
        <f>[2]sens_100_spec_10_PSA!H427</f>
        <v>12.6971287512206</v>
      </c>
      <c r="I427" s="2">
        <f>[2]sens_100_spec_10_PSA!I427</f>
        <v>7.6552263095127504</v>
      </c>
      <c r="J427" s="3">
        <f>[2]sens_100_spec_10_PSA!J427</f>
        <v>171556.248444242</v>
      </c>
      <c r="K427" s="3">
        <f>[2]sens_100_spec_10_PSA!K427</f>
        <v>103439.54971009601</v>
      </c>
      <c r="L427">
        <f>[2]sens_100_spec_10_PSA!L427</f>
        <v>1</v>
      </c>
      <c r="M427">
        <f>[2]sens_100_spec_10_PSA!M427</f>
        <v>0</v>
      </c>
    </row>
    <row r="428" spans="1:13" x14ac:dyDescent="0.25">
      <c r="A428">
        <f>[2]sens_100_spec_10_PSA!A428</f>
        <v>427</v>
      </c>
      <c r="B428">
        <f>[2]sens_100_spec_10_PSA!B428</f>
        <v>1</v>
      </c>
      <c r="C428" t="str">
        <f>[2]sens_100_spec_10_PSA!C428</f>
        <v>NA</v>
      </c>
      <c r="D428">
        <f>[2]sens_100_spec_10_PSA!D428</f>
        <v>1</v>
      </c>
      <c r="E428" s="1">
        <f>[2]sens_100_spec_10_PSA!E428</f>
        <v>0.12479999999999999</v>
      </c>
      <c r="F428" s="1">
        <f>[2]sens_100_spec_10_PSA!F428</f>
        <v>2.4799999999999999E-2</v>
      </c>
      <c r="G428" s="2">
        <f>[2]sens_100_spec_10_PSA!G428</f>
        <v>20.154828044185201</v>
      </c>
      <c r="H428" s="2">
        <f>[2]sens_100_spec_10_PSA!H428</f>
        <v>13.5673044031905</v>
      </c>
      <c r="I428" s="2">
        <f>[2]sens_100_spec_10_PSA!I428</f>
        <v>8.0779924212696095</v>
      </c>
      <c r="J428" s="3">
        <f>[2]sens_100_spec_10_PSA!J428</f>
        <v>289043.82362015301</v>
      </c>
      <c r="K428" s="3">
        <f>[2]sens_100_spec_10_PSA!K428</f>
        <v>167450.115223901</v>
      </c>
      <c r="L428">
        <f>[2]sens_100_spec_10_PSA!L428</f>
        <v>1</v>
      </c>
      <c r="M428">
        <f>[2]sens_100_spec_10_PSA!M428</f>
        <v>0</v>
      </c>
    </row>
    <row r="429" spans="1:13" x14ac:dyDescent="0.25">
      <c r="A429">
        <f>[2]sens_100_spec_10_PSA!A429</f>
        <v>428</v>
      </c>
      <c r="B429">
        <f>[2]sens_100_spec_10_PSA!B429</f>
        <v>1</v>
      </c>
      <c r="C429" t="str">
        <f>[2]sens_100_spec_10_PSA!C429</f>
        <v>NA</v>
      </c>
      <c r="D429">
        <f>[2]sens_100_spec_10_PSA!D429</f>
        <v>1</v>
      </c>
      <c r="E429" s="1">
        <f>[2]sens_100_spec_10_PSA!E429</f>
        <v>0.21279999999999999</v>
      </c>
      <c r="F429" s="1">
        <f>[2]sens_100_spec_10_PSA!F429</f>
        <v>2.81E-2</v>
      </c>
      <c r="G429" s="2">
        <f>[2]sens_100_spec_10_PSA!G429</f>
        <v>17.343943299967801</v>
      </c>
      <c r="H429" s="2">
        <f>[2]sens_100_spec_10_PSA!H429</f>
        <v>13.9221232005207</v>
      </c>
      <c r="I429" s="2">
        <f>[2]sens_100_spec_10_PSA!I429</f>
        <v>8.4079473810384808</v>
      </c>
      <c r="J429" s="3">
        <f>[2]sens_100_spec_10_PSA!J429</f>
        <v>205927.36639394501</v>
      </c>
      <c r="K429" s="3">
        <f>[2]sens_100_spec_10_PSA!K429</f>
        <v>123254.434277983</v>
      </c>
      <c r="L429">
        <f>[2]sens_100_spec_10_PSA!L429</f>
        <v>1</v>
      </c>
      <c r="M429">
        <f>[2]sens_100_spec_10_PSA!M429</f>
        <v>0</v>
      </c>
    </row>
    <row r="430" spans="1:13" x14ac:dyDescent="0.25">
      <c r="A430">
        <f>[2]sens_100_spec_10_PSA!A430</f>
        <v>429</v>
      </c>
      <c r="B430">
        <f>[2]sens_100_spec_10_PSA!B430</f>
        <v>1</v>
      </c>
      <c r="C430" t="str">
        <f>[2]sens_100_spec_10_PSA!C430</f>
        <v>NA</v>
      </c>
      <c r="D430">
        <f>[2]sens_100_spec_10_PSA!D430</f>
        <v>1</v>
      </c>
      <c r="E430" s="1">
        <f>[2]sens_100_spec_10_PSA!E430</f>
        <v>9.7000000000000003E-2</v>
      </c>
      <c r="F430" s="1">
        <f>[2]sens_100_spec_10_PSA!F430</f>
        <v>2.46E-2</v>
      </c>
      <c r="G430" s="2">
        <f>[2]sens_100_spec_10_PSA!G430</f>
        <v>17.997291848426698</v>
      </c>
      <c r="H430" s="2">
        <f>[2]sens_100_spec_10_PSA!H430</f>
        <v>12.7167307778478</v>
      </c>
      <c r="I430" s="2">
        <f>[2]sens_100_spec_10_PSA!I430</f>
        <v>7.8372570206600196</v>
      </c>
      <c r="J430" s="3">
        <f>[2]sens_100_spec_10_PSA!J430</f>
        <v>253807.76238725401</v>
      </c>
      <c r="K430" s="3">
        <f>[2]sens_100_spec_10_PSA!K430</f>
        <v>154247.73918874</v>
      </c>
      <c r="L430">
        <f>[2]sens_100_spec_10_PSA!L430</f>
        <v>1</v>
      </c>
      <c r="M430">
        <f>[2]sens_100_spec_10_PSA!M430</f>
        <v>0</v>
      </c>
    </row>
    <row r="431" spans="1:13" x14ac:dyDescent="0.25">
      <c r="A431">
        <f>[2]sens_100_spec_10_PSA!A431</f>
        <v>430</v>
      </c>
      <c r="B431">
        <f>[2]sens_100_spec_10_PSA!B431</f>
        <v>1</v>
      </c>
      <c r="C431" t="str">
        <f>[2]sens_100_spec_10_PSA!C431</f>
        <v>NA</v>
      </c>
      <c r="D431">
        <f>[2]sens_100_spec_10_PSA!D431</f>
        <v>1</v>
      </c>
      <c r="E431" s="1">
        <f>[2]sens_100_spec_10_PSA!E431</f>
        <v>0.12239999999999999</v>
      </c>
      <c r="F431" s="1">
        <f>[2]sens_100_spec_10_PSA!F431</f>
        <v>2.5399999999999999E-2</v>
      </c>
      <c r="G431" s="2">
        <f>[2]sens_100_spec_10_PSA!G431</f>
        <v>19.852057046699599</v>
      </c>
      <c r="H431" s="2">
        <f>[2]sens_100_spec_10_PSA!H431</f>
        <v>13.549502264722401</v>
      </c>
      <c r="I431" s="2">
        <f>[2]sens_100_spec_10_PSA!I431</f>
        <v>8.0919573352189502</v>
      </c>
      <c r="J431" s="3">
        <f>[2]sens_100_spec_10_PSA!J431</f>
        <v>177621.69626359901</v>
      </c>
      <c r="K431" s="3">
        <f>[2]sens_100_spec_10_PSA!K431</f>
        <v>106126.998294214</v>
      </c>
      <c r="L431">
        <f>[2]sens_100_spec_10_PSA!L431</f>
        <v>1</v>
      </c>
      <c r="M431">
        <f>[2]sens_100_spec_10_PSA!M431</f>
        <v>0</v>
      </c>
    </row>
    <row r="432" spans="1:13" x14ac:dyDescent="0.25">
      <c r="A432">
        <f>[2]sens_100_spec_10_PSA!A432</f>
        <v>431</v>
      </c>
      <c r="B432">
        <f>[2]sens_100_spec_10_PSA!B432</f>
        <v>1</v>
      </c>
      <c r="C432" t="str">
        <f>[2]sens_100_spec_10_PSA!C432</f>
        <v>NA</v>
      </c>
      <c r="D432">
        <f>[2]sens_100_spec_10_PSA!D432</f>
        <v>1</v>
      </c>
      <c r="E432" s="1">
        <f>[2]sens_100_spec_10_PSA!E432</f>
        <v>0.1246</v>
      </c>
      <c r="F432" s="1">
        <f>[2]sens_100_spec_10_PSA!F432</f>
        <v>2.7199999999999998E-2</v>
      </c>
      <c r="G432" s="2">
        <f>[2]sens_100_spec_10_PSA!G432</f>
        <v>20.364279332264399</v>
      </c>
      <c r="H432" s="2">
        <f>[2]sens_100_spec_10_PSA!H432</f>
        <v>15.1119054927163</v>
      </c>
      <c r="I432" s="2">
        <f>[2]sens_100_spec_10_PSA!I432</f>
        <v>8.9513159307288799</v>
      </c>
      <c r="J432" s="3">
        <f>[2]sens_100_spec_10_PSA!J432</f>
        <v>273312.64481988002</v>
      </c>
      <c r="K432" s="3">
        <f>[2]sens_100_spec_10_PSA!K432</f>
        <v>157662.49920402799</v>
      </c>
      <c r="L432">
        <f>[2]sens_100_spec_10_PSA!L432</f>
        <v>1</v>
      </c>
      <c r="M432">
        <f>[2]sens_100_spec_10_PSA!M432</f>
        <v>0</v>
      </c>
    </row>
    <row r="433" spans="1:13" x14ac:dyDescent="0.25">
      <c r="A433">
        <f>[2]sens_100_spec_10_PSA!A433</f>
        <v>432</v>
      </c>
      <c r="B433">
        <f>[2]sens_100_spec_10_PSA!B433</f>
        <v>1</v>
      </c>
      <c r="C433" t="str">
        <f>[2]sens_100_spec_10_PSA!C433</f>
        <v>NA</v>
      </c>
      <c r="D433">
        <f>[2]sens_100_spec_10_PSA!D433</f>
        <v>1</v>
      </c>
      <c r="E433" s="1">
        <f>[2]sens_100_spec_10_PSA!E433</f>
        <v>0.1613</v>
      </c>
      <c r="F433" s="1">
        <f>[2]sens_100_spec_10_PSA!F433</f>
        <v>2.2800000000000001E-2</v>
      </c>
      <c r="G433" s="2">
        <f>[2]sens_100_spec_10_PSA!G433</f>
        <v>18.860750137412701</v>
      </c>
      <c r="H433" s="2">
        <f>[2]sens_100_spec_10_PSA!H433</f>
        <v>12.7890492441591</v>
      </c>
      <c r="I433" s="2">
        <f>[2]sens_100_spec_10_PSA!I433</f>
        <v>7.66438186227938</v>
      </c>
      <c r="J433" s="3">
        <f>[2]sens_100_spec_10_PSA!J433</f>
        <v>173341.835863744</v>
      </c>
      <c r="K433" s="3">
        <f>[2]sens_100_spec_10_PSA!K433</f>
        <v>104020.79594166399</v>
      </c>
      <c r="L433">
        <f>[2]sens_100_spec_10_PSA!L433</f>
        <v>1</v>
      </c>
      <c r="M433">
        <f>[2]sens_100_spec_10_PSA!M433</f>
        <v>0</v>
      </c>
    </row>
    <row r="434" spans="1:13" x14ac:dyDescent="0.25">
      <c r="A434">
        <f>[2]sens_100_spec_10_PSA!A434</f>
        <v>433</v>
      </c>
      <c r="B434">
        <f>[2]sens_100_spec_10_PSA!B434</f>
        <v>1</v>
      </c>
      <c r="C434" t="str">
        <f>[2]sens_100_spec_10_PSA!C434</f>
        <v>NA</v>
      </c>
      <c r="D434">
        <f>[2]sens_100_spec_10_PSA!D434</f>
        <v>1</v>
      </c>
      <c r="E434" s="1">
        <f>[2]sens_100_spec_10_PSA!E434</f>
        <v>0.14530000000000001</v>
      </c>
      <c r="F434" s="1">
        <f>[2]sens_100_spec_10_PSA!F434</f>
        <v>2.5700000000000001E-2</v>
      </c>
      <c r="G434" s="2">
        <f>[2]sens_100_spec_10_PSA!G434</f>
        <v>18.0164517168209</v>
      </c>
      <c r="H434" s="2">
        <f>[2]sens_100_spec_10_PSA!H434</f>
        <v>14.1287204044795</v>
      </c>
      <c r="I434" s="2">
        <f>[2]sens_100_spec_10_PSA!I434</f>
        <v>8.6322055184831594</v>
      </c>
      <c r="J434" s="3">
        <f>[2]sens_100_spec_10_PSA!J434</f>
        <v>172373.98076204801</v>
      </c>
      <c r="K434" s="3">
        <f>[2]sens_100_spec_10_PSA!K434</f>
        <v>105939.592150002</v>
      </c>
      <c r="L434">
        <f>[2]sens_100_spec_10_PSA!L434</f>
        <v>1</v>
      </c>
      <c r="M434">
        <f>[2]sens_100_spec_10_PSA!M434</f>
        <v>0</v>
      </c>
    </row>
    <row r="435" spans="1:13" x14ac:dyDescent="0.25">
      <c r="A435">
        <f>[2]sens_100_spec_10_PSA!A435</f>
        <v>434</v>
      </c>
      <c r="B435">
        <f>[2]sens_100_spec_10_PSA!B435</f>
        <v>1</v>
      </c>
      <c r="C435" t="str">
        <f>[2]sens_100_spec_10_PSA!C435</f>
        <v>NA</v>
      </c>
      <c r="D435">
        <f>[2]sens_100_spec_10_PSA!D435</f>
        <v>1</v>
      </c>
      <c r="E435" s="1">
        <f>[2]sens_100_spec_10_PSA!E435</f>
        <v>0.13650000000000001</v>
      </c>
      <c r="F435" s="1">
        <f>[2]sens_100_spec_10_PSA!F435</f>
        <v>2.5899999999999999E-2</v>
      </c>
      <c r="G435" s="2">
        <f>[2]sens_100_spec_10_PSA!G435</f>
        <v>18.312452659375801</v>
      </c>
      <c r="H435" s="2">
        <f>[2]sens_100_spec_10_PSA!H435</f>
        <v>11.9871246438698</v>
      </c>
      <c r="I435" s="2">
        <f>[2]sens_100_spec_10_PSA!I435</f>
        <v>7.2879822394654603</v>
      </c>
      <c r="J435" s="3">
        <f>[2]sens_100_spec_10_PSA!J435</f>
        <v>181540.28706873499</v>
      </c>
      <c r="K435" s="3">
        <f>[2]sens_100_spec_10_PSA!K435</f>
        <v>110348.62100607601</v>
      </c>
      <c r="L435">
        <f>[2]sens_100_spec_10_PSA!L435</f>
        <v>1</v>
      </c>
      <c r="M435">
        <f>[2]sens_100_spec_10_PSA!M435</f>
        <v>0</v>
      </c>
    </row>
    <row r="436" spans="1:13" x14ac:dyDescent="0.25">
      <c r="A436">
        <f>[2]sens_100_spec_10_PSA!A436</f>
        <v>435</v>
      </c>
      <c r="B436">
        <f>[2]sens_100_spec_10_PSA!B436</f>
        <v>1</v>
      </c>
      <c r="C436" t="str">
        <f>[2]sens_100_spec_10_PSA!C436</f>
        <v>NA</v>
      </c>
      <c r="D436">
        <f>[2]sens_100_spec_10_PSA!D436</f>
        <v>1</v>
      </c>
      <c r="E436" s="1">
        <f>[2]sens_100_spec_10_PSA!E436</f>
        <v>0.158</v>
      </c>
      <c r="F436" s="1">
        <f>[2]sens_100_spec_10_PSA!F436</f>
        <v>3.04E-2</v>
      </c>
      <c r="G436" s="2">
        <f>[2]sens_100_spec_10_PSA!G436</f>
        <v>20.2796727718497</v>
      </c>
      <c r="H436" s="2">
        <f>[2]sens_100_spec_10_PSA!H436</f>
        <v>14.144594776319</v>
      </c>
      <c r="I436" s="2">
        <f>[2]sens_100_spec_10_PSA!I436</f>
        <v>8.3194700733316207</v>
      </c>
      <c r="J436" s="3">
        <f>[2]sens_100_spec_10_PSA!J436</f>
        <v>187494.513494624</v>
      </c>
      <c r="K436" s="3">
        <f>[2]sens_100_spec_10_PSA!K436</f>
        <v>109389.03426266101</v>
      </c>
      <c r="L436">
        <f>[2]sens_100_spec_10_PSA!L436</f>
        <v>1</v>
      </c>
      <c r="M436">
        <f>[2]sens_100_spec_10_PSA!M436</f>
        <v>0</v>
      </c>
    </row>
    <row r="437" spans="1:13" x14ac:dyDescent="0.25">
      <c r="A437">
        <f>[2]sens_100_spec_10_PSA!A437</f>
        <v>436</v>
      </c>
      <c r="B437">
        <f>[2]sens_100_spec_10_PSA!B437</f>
        <v>1</v>
      </c>
      <c r="C437" t="str">
        <f>[2]sens_100_spec_10_PSA!C437</f>
        <v>NA</v>
      </c>
      <c r="D437">
        <f>[2]sens_100_spec_10_PSA!D437</f>
        <v>1</v>
      </c>
      <c r="E437" s="1">
        <f>[2]sens_100_spec_10_PSA!E437</f>
        <v>0.1226</v>
      </c>
      <c r="F437" s="1">
        <f>[2]sens_100_spec_10_PSA!F437</f>
        <v>3.0700000000000002E-2</v>
      </c>
      <c r="G437" s="2">
        <f>[2]sens_100_spec_10_PSA!G437</f>
        <v>19.401912209070598</v>
      </c>
      <c r="H437" s="2">
        <f>[2]sens_100_spec_10_PSA!H437</f>
        <v>14.694853188031701</v>
      </c>
      <c r="I437" s="2">
        <f>[2]sens_100_spec_10_PSA!I437</f>
        <v>8.8341878200773696</v>
      </c>
      <c r="J437" s="3">
        <f>[2]sens_100_spec_10_PSA!J437</f>
        <v>190757.48495004699</v>
      </c>
      <c r="K437" s="3">
        <f>[2]sens_100_spec_10_PSA!K437</f>
        <v>114359.86737130499</v>
      </c>
      <c r="L437">
        <f>[2]sens_100_spec_10_PSA!L437</f>
        <v>1</v>
      </c>
      <c r="M437">
        <f>[2]sens_100_spec_10_PSA!M437</f>
        <v>0</v>
      </c>
    </row>
    <row r="438" spans="1:13" x14ac:dyDescent="0.25">
      <c r="A438">
        <f>[2]sens_100_spec_10_PSA!A438</f>
        <v>437</v>
      </c>
      <c r="B438">
        <f>[2]sens_100_spec_10_PSA!B438</f>
        <v>1</v>
      </c>
      <c r="C438" t="str">
        <f>[2]sens_100_spec_10_PSA!C438</f>
        <v>NA</v>
      </c>
      <c r="D438">
        <f>[2]sens_100_spec_10_PSA!D438</f>
        <v>1</v>
      </c>
      <c r="E438" s="1">
        <f>[2]sens_100_spec_10_PSA!E438</f>
        <v>0.14729999999999999</v>
      </c>
      <c r="F438" s="1">
        <f>[2]sens_100_spec_10_PSA!F438</f>
        <v>2.2100000000000002E-2</v>
      </c>
      <c r="G438" s="2">
        <f>[2]sens_100_spec_10_PSA!G438</f>
        <v>18.124559616492501</v>
      </c>
      <c r="H438" s="2">
        <f>[2]sens_100_spec_10_PSA!H438</f>
        <v>11.945533116959499</v>
      </c>
      <c r="I438" s="2">
        <f>[2]sens_100_spec_10_PSA!I438</f>
        <v>7.2679571013011603</v>
      </c>
      <c r="J438" s="3">
        <f>[2]sens_100_spec_10_PSA!J438</f>
        <v>236644.719878615</v>
      </c>
      <c r="K438" s="3">
        <f>[2]sens_100_spec_10_PSA!K438</f>
        <v>142065.17503019201</v>
      </c>
      <c r="L438">
        <f>[2]sens_100_spec_10_PSA!L438</f>
        <v>1</v>
      </c>
      <c r="M438">
        <f>[2]sens_100_spec_10_PSA!M438</f>
        <v>0</v>
      </c>
    </row>
    <row r="439" spans="1:13" x14ac:dyDescent="0.25">
      <c r="A439">
        <f>[2]sens_100_spec_10_PSA!A439</f>
        <v>438</v>
      </c>
      <c r="B439">
        <f>[2]sens_100_spec_10_PSA!B439</f>
        <v>1</v>
      </c>
      <c r="C439" t="str">
        <f>[2]sens_100_spec_10_PSA!C439</f>
        <v>NA</v>
      </c>
      <c r="D439">
        <f>[2]sens_100_spec_10_PSA!D439</f>
        <v>1</v>
      </c>
      <c r="E439" s="1">
        <f>[2]sens_100_spec_10_PSA!E439</f>
        <v>0.1203</v>
      </c>
      <c r="F439" s="1">
        <f>[2]sens_100_spec_10_PSA!F439</f>
        <v>2.4799999999999999E-2</v>
      </c>
      <c r="G439" s="2">
        <f>[2]sens_100_spec_10_PSA!G439</f>
        <v>19.2963036889095</v>
      </c>
      <c r="H439" s="2">
        <f>[2]sens_100_spec_10_PSA!H439</f>
        <v>13.337080343336201</v>
      </c>
      <c r="I439" s="2">
        <f>[2]sens_100_spec_10_PSA!I439</f>
        <v>8.0369153753436802</v>
      </c>
      <c r="J439" s="3">
        <f>[2]sens_100_spec_10_PSA!J439</f>
        <v>215232.09305955499</v>
      </c>
      <c r="K439" s="3">
        <f>[2]sens_100_spec_10_PSA!K439</f>
        <v>128473.004646924</v>
      </c>
      <c r="L439">
        <f>[2]sens_100_spec_10_PSA!L439</f>
        <v>1</v>
      </c>
      <c r="M439">
        <f>[2]sens_100_spec_10_PSA!M439</f>
        <v>0</v>
      </c>
    </row>
    <row r="440" spans="1:13" x14ac:dyDescent="0.25">
      <c r="A440">
        <f>[2]sens_100_spec_10_PSA!A440</f>
        <v>439</v>
      </c>
      <c r="B440">
        <f>[2]sens_100_spec_10_PSA!B440</f>
        <v>1</v>
      </c>
      <c r="C440" t="str">
        <f>[2]sens_100_spec_10_PSA!C440</f>
        <v>NA</v>
      </c>
      <c r="D440">
        <f>[2]sens_100_spec_10_PSA!D440</f>
        <v>1</v>
      </c>
      <c r="E440" s="1">
        <f>[2]sens_100_spec_10_PSA!E440</f>
        <v>0.12670000000000001</v>
      </c>
      <c r="F440" s="1">
        <f>[2]sens_100_spec_10_PSA!F440</f>
        <v>2.6200000000000001E-2</v>
      </c>
      <c r="G440" s="2">
        <f>[2]sens_100_spec_10_PSA!G440</f>
        <v>18.019113015524901</v>
      </c>
      <c r="H440" s="2">
        <f>[2]sens_100_spec_10_PSA!H440</f>
        <v>14.1115412911509</v>
      </c>
      <c r="I440" s="2">
        <f>[2]sens_100_spec_10_PSA!I440</f>
        <v>8.6519547727925907</v>
      </c>
      <c r="J440" s="3">
        <f>[2]sens_100_spec_10_PSA!J440</f>
        <v>216358.71434462699</v>
      </c>
      <c r="K440" s="3">
        <f>[2]sens_100_spec_10_PSA!K440</f>
        <v>131498.91774693201</v>
      </c>
      <c r="L440">
        <f>[2]sens_100_spec_10_PSA!L440</f>
        <v>1</v>
      </c>
      <c r="M440">
        <f>[2]sens_100_spec_10_PSA!M440</f>
        <v>0</v>
      </c>
    </row>
    <row r="441" spans="1:13" x14ac:dyDescent="0.25">
      <c r="A441">
        <f>[2]sens_100_spec_10_PSA!A441</f>
        <v>440</v>
      </c>
      <c r="B441">
        <f>[2]sens_100_spec_10_PSA!B441</f>
        <v>1</v>
      </c>
      <c r="C441" t="str">
        <f>[2]sens_100_spec_10_PSA!C441</f>
        <v>NA</v>
      </c>
      <c r="D441">
        <f>[2]sens_100_spec_10_PSA!D441</f>
        <v>1</v>
      </c>
      <c r="E441" s="1">
        <f>[2]sens_100_spec_10_PSA!E441</f>
        <v>0.1143</v>
      </c>
      <c r="F441" s="1">
        <f>[2]sens_100_spec_10_PSA!F441</f>
        <v>2.6200000000000001E-2</v>
      </c>
      <c r="G441" s="2">
        <f>[2]sens_100_spec_10_PSA!G441</f>
        <v>20.478296564643099</v>
      </c>
      <c r="H441" s="2">
        <f>[2]sens_100_spec_10_PSA!H441</f>
        <v>13.4479743431899</v>
      </c>
      <c r="I441" s="2">
        <f>[2]sens_100_spec_10_PSA!I441</f>
        <v>7.9695672800638899</v>
      </c>
      <c r="J441" s="3">
        <f>[2]sens_100_spec_10_PSA!J441</f>
        <v>246393.38977340801</v>
      </c>
      <c r="K441" s="3">
        <f>[2]sens_100_spec_10_PSA!K441</f>
        <v>143241.515862731</v>
      </c>
      <c r="L441">
        <f>[2]sens_100_spec_10_PSA!L441</f>
        <v>1</v>
      </c>
      <c r="M441">
        <f>[2]sens_100_spec_10_PSA!M441</f>
        <v>0</v>
      </c>
    </row>
    <row r="442" spans="1:13" x14ac:dyDescent="0.25">
      <c r="A442">
        <f>[2]sens_100_spec_10_PSA!A442</f>
        <v>441</v>
      </c>
      <c r="B442">
        <f>[2]sens_100_spec_10_PSA!B442</f>
        <v>1</v>
      </c>
      <c r="C442" t="str">
        <f>[2]sens_100_spec_10_PSA!C442</f>
        <v>NA</v>
      </c>
      <c r="D442">
        <f>[2]sens_100_spec_10_PSA!D442</f>
        <v>1</v>
      </c>
      <c r="E442" s="1">
        <f>[2]sens_100_spec_10_PSA!E442</f>
        <v>0.15679999999999999</v>
      </c>
      <c r="F442" s="1">
        <f>[2]sens_100_spec_10_PSA!F442</f>
        <v>2.58E-2</v>
      </c>
      <c r="G442" s="2">
        <f>[2]sens_100_spec_10_PSA!G442</f>
        <v>18.2807932934743</v>
      </c>
      <c r="H442" s="2">
        <f>[2]sens_100_spec_10_PSA!H442</f>
        <v>12.637966973980699</v>
      </c>
      <c r="I442" s="2">
        <f>[2]sens_100_spec_10_PSA!I442</f>
        <v>7.6332997517757697</v>
      </c>
      <c r="J442" s="3">
        <f>[2]sens_100_spec_10_PSA!J442</f>
        <v>229891.871354362</v>
      </c>
      <c r="K442" s="3">
        <f>[2]sens_100_spec_10_PSA!K442</f>
        <v>136879.51218092101</v>
      </c>
      <c r="L442">
        <f>[2]sens_100_spec_10_PSA!L442</f>
        <v>1</v>
      </c>
      <c r="M442">
        <f>[2]sens_100_spec_10_PSA!M442</f>
        <v>0</v>
      </c>
    </row>
    <row r="443" spans="1:13" x14ac:dyDescent="0.25">
      <c r="A443">
        <f>[2]sens_100_spec_10_PSA!A443</f>
        <v>442</v>
      </c>
      <c r="B443">
        <f>[2]sens_100_spec_10_PSA!B443</f>
        <v>1</v>
      </c>
      <c r="C443" t="str">
        <f>[2]sens_100_spec_10_PSA!C443</f>
        <v>NA</v>
      </c>
      <c r="D443">
        <f>[2]sens_100_spec_10_PSA!D443</f>
        <v>1</v>
      </c>
      <c r="E443" s="1">
        <f>[2]sens_100_spec_10_PSA!E443</f>
        <v>0.15840000000000001</v>
      </c>
      <c r="F443" s="1">
        <f>[2]sens_100_spec_10_PSA!F443</f>
        <v>2.64E-2</v>
      </c>
      <c r="G443" s="2">
        <f>[2]sens_100_spec_10_PSA!G443</f>
        <v>18.8589076666645</v>
      </c>
      <c r="H443" s="2">
        <f>[2]sens_100_spec_10_PSA!H443</f>
        <v>13.611798944815201</v>
      </c>
      <c r="I443" s="2">
        <f>[2]sens_100_spec_10_PSA!I443</f>
        <v>8.1552811473937599</v>
      </c>
      <c r="J443" s="3">
        <f>[2]sens_100_spec_10_PSA!J443</f>
        <v>242989.46523137501</v>
      </c>
      <c r="K443" s="3">
        <f>[2]sens_100_spec_10_PSA!K443</f>
        <v>143094.51840669999</v>
      </c>
      <c r="L443">
        <f>[2]sens_100_spec_10_PSA!L443</f>
        <v>1</v>
      </c>
      <c r="M443">
        <f>[2]sens_100_spec_10_PSA!M443</f>
        <v>0</v>
      </c>
    </row>
    <row r="444" spans="1:13" x14ac:dyDescent="0.25">
      <c r="A444">
        <f>[2]sens_100_spec_10_PSA!A444</f>
        <v>443</v>
      </c>
      <c r="B444">
        <f>[2]sens_100_spec_10_PSA!B444</f>
        <v>1</v>
      </c>
      <c r="C444" t="str">
        <f>[2]sens_100_spec_10_PSA!C444</f>
        <v>NA</v>
      </c>
      <c r="D444">
        <f>[2]sens_100_spec_10_PSA!D444</f>
        <v>1</v>
      </c>
      <c r="E444" s="1">
        <f>[2]sens_100_spec_10_PSA!E444</f>
        <v>0.17230000000000001</v>
      </c>
      <c r="F444" s="1">
        <f>[2]sens_100_spec_10_PSA!F444</f>
        <v>2.3099999999999999E-2</v>
      </c>
      <c r="G444" s="2">
        <f>[2]sens_100_spec_10_PSA!G444</f>
        <v>17.289430905609201</v>
      </c>
      <c r="H444" s="2">
        <f>[2]sens_100_spec_10_PSA!H444</f>
        <v>12.8324708123146</v>
      </c>
      <c r="I444" s="2">
        <f>[2]sens_100_spec_10_PSA!I444</f>
        <v>7.8709825605030499</v>
      </c>
      <c r="J444" s="3">
        <f>[2]sens_100_spec_10_PSA!J444</f>
        <v>207525.2419465</v>
      </c>
      <c r="K444" s="3">
        <f>[2]sens_100_spec_10_PSA!K444</f>
        <v>126648.06493563599</v>
      </c>
      <c r="L444">
        <f>[2]sens_100_spec_10_PSA!L444</f>
        <v>1</v>
      </c>
      <c r="M444">
        <f>[2]sens_100_spec_10_PSA!M444</f>
        <v>0</v>
      </c>
    </row>
    <row r="445" spans="1:13" x14ac:dyDescent="0.25">
      <c r="A445">
        <f>[2]sens_100_spec_10_PSA!A445</f>
        <v>444</v>
      </c>
      <c r="B445">
        <f>[2]sens_100_spec_10_PSA!B445</f>
        <v>1</v>
      </c>
      <c r="C445" t="str">
        <f>[2]sens_100_spec_10_PSA!C445</f>
        <v>NA</v>
      </c>
      <c r="D445">
        <f>[2]sens_100_spec_10_PSA!D445</f>
        <v>1</v>
      </c>
      <c r="E445" s="1">
        <f>[2]sens_100_spec_10_PSA!E445</f>
        <v>0.1313</v>
      </c>
      <c r="F445" s="1">
        <f>[2]sens_100_spec_10_PSA!F445</f>
        <v>2.9100000000000001E-2</v>
      </c>
      <c r="G445" s="2">
        <f>[2]sens_100_spec_10_PSA!G445</f>
        <v>18.4724145791517</v>
      </c>
      <c r="H445" s="2">
        <f>[2]sens_100_spec_10_PSA!H445</f>
        <v>15.2549540003135</v>
      </c>
      <c r="I445" s="2">
        <f>[2]sens_100_spec_10_PSA!I445</f>
        <v>9.2478039006722295</v>
      </c>
      <c r="J445" s="3">
        <f>[2]sens_100_spec_10_PSA!J445</f>
        <v>211701.00059378799</v>
      </c>
      <c r="K445" s="3">
        <f>[2]sens_100_spec_10_PSA!K445</f>
        <v>127166.09613237801</v>
      </c>
      <c r="L445">
        <f>[2]sens_100_spec_10_PSA!L445</f>
        <v>1</v>
      </c>
      <c r="M445">
        <f>[2]sens_100_spec_10_PSA!M445</f>
        <v>0</v>
      </c>
    </row>
    <row r="446" spans="1:13" x14ac:dyDescent="0.25">
      <c r="A446">
        <f>[2]sens_100_spec_10_PSA!A446</f>
        <v>445</v>
      </c>
      <c r="B446">
        <f>[2]sens_100_spec_10_PSA!B446</f>
        <v>1</v>
      </c>
      <c r="C446" t="str">
        <f>[2]sens_100_spec_10_PSA!C446</f>
        <v>NA</v>
      </c>
      <c r="D446">
        <f>[2]sens_100_spec_10_PSA!D446</f>
        <v>1</v>
      </c>
      <c r="E446" s="1">
        <f>[2]sens_100_spec_10_PSA!E446</f>
        <v>8.4699999999999998E-2</v>
      </c>
      <c r="F446" s="1">
        <f>[2]sens_100_spec_10_PSA!F446</f>
        <v>3.1E-2</v>
      </c>
      <c r="G446" s="2">
        <f>[2]sens_100_spec_10_PSA!G446</f>
        <v>19.1609372635514</v>
      </c>
      <c r="H446" s="2">
        <f>[2]sens_100_spec_10_PSA!H446</f>
        <v>12.1356842395122</v>
      </c>
      <c r="I446" s="2">
        <f>[2]sens_100_spec_10_PSA!I446</f>
        <v>7.3819819059606102</v>
      </c>
      <c r="J446" s="3">
        <f>[2]sens_100_spec_10_PSA!J446</f>
        <v>193569.548785725</v>
      </c>
      <c r="K446" s="3">
        <f>[2]sens_100_spec_10_PSA!K446</f>
        <v>117273.333042325</v>
      </c>
      <c r="L446">
        <f>[2]sens_100_spec_10_PSA!L446</f>
        <v>1</v>
      </c>
      <c r="M446">
        <f>[2]sens_100_spec_10_PSA!M446</f>
        <v>0</v>
      </c>
    </row>
    <row r="447" spans="1:13" x14ac:dyDescent="0.25">
      <c r="A447">
        <f>[2]sens_100_spec_10_PSA!A447</f>
        <v>446</v>
      </c>
      <c r="B447">
        <f>[2]sens_100_spec_10_PSA!B447</f>
        <v>1</v>
      </c>
      <c r="C447" t="str">
        <f>[2]sens_100_spec_10_PSA!C447</f>
        <v>NA</v>
      </c>
      <c r="D447">
        <f>[2]sens_100_spec_10_PSA!D447</f>
        <v>1</v>
      </c>
      <c r="E447" s="1">
        <f>[2]sens_100_spec_10_PSA!E447</f>
        <v>0.21260000000000001</v>
      </c>
      <c r="F447" s="1">
        <f>[2]sens_100_spec_10_PSA!F447</f>
        <v>2.7099999999999999E-2</v>
      </c>
      <c r="G447" s="2">
        <f>[2]sens_100_spec_10_PSA!G447</f>
        <v>18.2297457090155</v>
      </c>
      <c r="H447" s="2">
        <f>[2]sens_100_spec_10_PSA!H447</f>
        <v>12.6454107459915</v>
      </c>
      <c r="I447" s="2">
        <f>[2]sens_100_spec_10_PSA!I447</f>
        <v>7.5147381948194401</v>
      </c>
      <c r="J447" s="3">
        <f>[2]sens_100_spec_10_PSA!J447</f>
        <v>210713.60253964301</v>
      </c>
      <c r="K447" s="3">
        <f>[2]sens_100_spec_10_PSA!K447</f>
        <v>123473.437780269</v>
      </c>
      <c r="L447">
        <f>[2]sens_100_spec_10_PSA!L447</f>
        <v>1</v>
      </c>
      <c r="M447">
        <f>[2]sens_100_spec_10_PSA!M447</f>
        <v>0</v>
      </c>
    </row>
    <row r="448" spans="1:13" x14ac:dyDescent="0.25">
      <c r="A448">
        <f>[2]sens_100_spec_10_PSA!A448</f>
        <v>447</v>
      </c>
      <c r="B448">
        <f>[2]sens_100_spec_10_PSA!B448</f>
        <v>1</v>
      </c>
      <c r="C448" t="str">
        <f>[2]sens_100_spec_10_PSA!C448</f>
        <v>NA</v>
      </c>
      <c r="D448">
        <f>[2]sens_100_spec_10_PSA!D448</f>
        <v>1</v>
      </c>
      <c r="E448" s="1">
        <f>[2]sens_100_spec_10_PSA!E448</f>
        <v>0.13869999999999999</v>
      </c>
      <c r="F448" s="1">
        <f>[2]sens_100_spec_10_PSA!F448</f>
        <v>2.7199999999999998E-2</v>
      </c>
      <c r="G448" s="2">
        <f>[2]sens_100_spec_10_PSA!G448</f>
        <v>19.142219138508999</v>
      </c>
      <c r="H448" s="2">
        <f>[2]sens_100_spec_10_PSA!H448</f>
        <v>13.594295861171799</v>
      </c>
      <c r="I448" s="2">
        <f>[2]sens_100_spec_10_PSA!I448</f>
        <v>8.1591617079462608</v>
      </c>
      <c r="J448" s="3">
        <f>[2]sens_100_spec_10_PSA!J448</f>
        <v>158119.56030812601</v>
      </c>
      <c r="K448" s="3">
        <f>[2]sens_100_spec_10_PSA!K448</f>
        <v>95898.732674171697</v>
      </c>
      <c r="L448">
        <f>[2]sens_100_spec_10_PSA!L448</f>
        <v>1</v>
      </c>
      <c r="M448">
        <f>[2]sens_100_spec_10_PSA!M448</f>
        <v>0</v>
      </c>
    </row>
    <row r="449" spans="1:13" x14ac:dyDescent="0.25">
      <c r="A449">
        <f>[2]sens_100_spec_10_PSA!A449</f>
        <v>448</v>
      </c>
      <c r="B449">
        <f>[2]sens_100_spec_10_PSA!B449</f>
        <v>1</v>
      </c>
      <c r="C449" t="str">
        <f>[2]sens_100_spec_10_PSA!C449</f>
        <v>NA</v>
      </c>
      <c r="D449">
        <f>[2]sens_100_spec_10_PSA!D449</f>
        <v>1</v>
      </c>
      <c r="E449" s="1">
        <f>[2]sens_100_spec_10_PSA!E449</f>
        <v>0.21310000000000001</v>
      </c>
      <c r="F449" s="1">
        <f>[2]sens_100_spec_10_PSA!F449</f>
        <v>2.5399999999999999E-2</v>
      </c>
      <c r="G449" s="2">
        <f>[2]sens_100_spec_10_PSA!G449</f>
        <v>17.9461072594071</v>
      </c>
      <c r="H449" s="2">
        <f>[2]sens_100_spec_10_PSA!H449</f>
        <v>13.416132765534799</v>
      </c>
      <c r="I449" s="2">
        <f>[2]sens_100_spec_10_PSA!I449</f>
        <v>8.0227518663671908</v>
      </c>
      <c r="J449" s="3">
        <f>[2]sens_100_spec_10_PSA!J449</f>
        <v>153041.08312317901</v>
      </c>
      <c r="K449" s="3">
        <f>[2]sens_100_spec_10_PSA!K449</f>
        <v>92105.915742962199</v>
      </c>
      <c r="L449">
        <f>[2]sens_100_spec_10_PSA!L449</f>
        <v>1</v>
      </c>
      <c r="M449">
        <f>[2]sens_100_spec_10_PSA!M449</f>
        <v>0</v>
      </c>
    </row>
    <row r="450" spans="1:13" x14ac:dyDescent="0.25">
      <c r="A450">
        <f>[2]sens_100_spec_10_PSA!A450</f>
        <v>449</v>
      </c>
      <c r="B450">
        <f>[2]sens_100_spec_10_PSA!B450</f>
        <v>1</v>
      </c>
      <c r="C450" t="str">
        <f>[2]sens_100_spec_10_PSA!C450</f>
        <v>NA</v>
      </c>
      <c r="D450">
        <f>[2]sens_100_spec_10_PSA!D450</f>
        <v>1</v>
      </c>
      <c r="E450" s="1">
        <f>[2]sens_100_spec_10_PSA!E450</f>
        <v>0.13320000000000001</v>
      </c>
      <c r="F450" s="1">
        <f>[2]sens_100_spec_10_PSA!F450</f>
        <v>2.7099999999999999E-2</v>
      </c>
      <c r="G450" s="2">
        <f>[2]sens_100_spec_10_PSA!G450</f>
        <v>20.392731914860502</v>
      </c>
      <c r="H450" s="2">
        <f>[2]sens_100_spec_10_PSA!H450</f>
        <v>14.8972903769323</v>
      </c>
      <c r="I450" s="2">
        <f>[2]sens_100_spec_10_PSA!I450</f>
        <v>8.7889572254343804</v>
      </c>
      <c r="J450" s="3">
        <f>[2]sens_100_spec_10_PSA!J450</f>
        <v>259338.17253988</v>
      </c>
      <c r="K450" s="3">
        <f>[2]sens_100_spec_10_PSA!K450</f>
        <v>148954.09615143799</v>
      </c>
      <c r="L450">
        <f>[2]sens_100_spec_10_PSA!L450</f>
        <v>1</v>
      </c>
      <c r="M450">
        <f>[2]sens_100_spec_10_PSA!M450</f>
        <v>0</v>
      </c>
    </row>
    <row r="451" spans="1:13" x14ac:dyDescent="0.25">
      <c r="A451">
        <f>[2]sens_100_spec_10_PSA!A451</f>
        <v>450</v>
      </c>
      <c r="B451">
        <f>[2]sens_100_spec_10_PSA!B451</f>
        <v>1</v>
      </c>
      <c r="C451" t="str">
        <f>[2]sens_100_spec_10_PSA!C451</f>
        <v>NA</v>
      </c>
      <c r="D451">
        <f>[2]sens_100_spec_10_PSA!D451</f>
        <v>1</v>
      </c>
      <c r="E451" s="1">
        <f>[2]sens_100_spec_10_PSA!E451</f>
        <v>0.2167</v>
      </c>
      <c r="F451" s="1">
        <f>[2]sens_100_spec_10_PSA!F451</f>
        <v>2.3800000000000002E-2</v>
      </c>
      <c r="G451" s="2">
        <f>[2]sens_100_spec_10_PSA!G451</f>
        <v>18.065561301255698</v>
      </c>
      <c r="H451" s="2">
        <f>[2]sens_100_spec_10_PSA!H451</f>
        <v>14.386125612922401</v>
      </c>
      <c r="I451" s="2">
        <f>[2]sens_100_spec_10_PSA!I451</f>
        <v>8.5749326102161803</v>
      </c>
      <c r="J451" s="3">
        <f>[2]sens_100_spec_10_PSA!J451</f>
        <v>242153.20896058</v>
      </c>
      <c r="K451" s="3">
        <f>[2]sens_100_spec_10_PSA!K451</f>
        <v>141200.404109144</v>
      </c>
      <c r="L451">
        <f>[2]sens_100_spec_10_PSA!L451</f>
        <v>1</v>
      </c>
      <c r="M451">
        <f>[2]sens_100_spec_10_PSA!M451</f>
        <v>0</v>
      </c>
    </row>
    <row r="452" spans="1:13" x14ac:dyDescent="0.25">
      <c r="A452">
        <f>[2]sens_100_spec_10_PSA!A452</f>
        <v>451</v>
      </c>
      <c r="B452">
        <f>[2]sens_100_spec_10_PSA!B452</f>
        <v>1</v>
      </c>
      <c r="C452" t="str">
        <f>[2]sens_100_spec_10_PSA!C452</f>
        <v>NA</v>
      </c>
      <c r="D452">
        <f>[2]sens_100_spec_10_PSA!D452</f>
        <v>1</v>
      </c>
      <c r="E452" s="1">
        <f>[2]sens_100_spec_10_PSA!E452</f>
        <v>0.1187</v>
      </c>
      <c r="F452" s="1">
        <f>[2]sens_100_spec_10_PSA!F452</f>
        <v>2.76E-2</v>
      </c>
      <c r="G452" s="2">
        <f>[2]sens_100_spec_10_PSA!G452</f>
        <v>18.980511123844199</v>
      </c>
      <c r="H452" s="2">
        <f>[2]sens_100_spec_10_PSA!H452</f>
        <v>14.745388425518801</v>
      </c>
      <c r="I452" s="2">
        <f>[2]sens_100_spec_10_PSA!I452</f>
        <v>8.9090990751567407</v>
      </c>
      <c r="J452" s="3">
        <f>[2]sens_100_spec_10_PSA!J452</f>
        <v>242956.82536158399</v>
      </c>
      <c r="K452" s="3">
        <f>[2]sens_100_spec_10_PSA!K452</f>
        <v>144317.31145789599</v>
      </c>
      <c r="L452">
        <f>[2]sens_100_spec_10_PSA!L452</f>
        <v>1</v>
      </c>
      <c r="M452">
        <f>[2]sens_100_spec_10_PSA!M452</f>
        <v>0</v>
      </c>
    </row>
    <row r="453" spans="1:13" x14ac:dyDescent="0.25">
      <c r="A453">
        <f>[2]sens_100_spec_10_PSA!A453</f>
        <v>452</v>
      </c>
      <c r="B453">
        <f>[2]sens_100_spec_10_PSA!B453</f>
        <v>1</v>
      </c>
      <c r="C453" t="str">
        <f>[2]sens_100_spec_10_PSA!C453</f>
        <v>NA</v>
      </c>
      <c r="D453">
        <f>[2]sens_100_spec_10_PSA!D453</f>
        <v>1</v>
      </c>
      <c r="E453" s="1">
        <f>[2]sens_100_spec_10_PSA!E453</f>
        <v>0.1409</v>
      </c>
      <c r="F453" s="1">
        <f>[2]sens_100_spec_10_PSA!F453</f>
        <v>2.5899999999999999E-2</v>
      </c>
      <c r="G453" s="2">
        <f>[2]sens_100_spec_10_PSA!G453</f>
        <v>21.538588723968001</v>
      </c>
      <c r="H453" s="2">
        <f>[2]sens_100_spec_10_PSA!H453</f>
        <v>15.548436456020999</v>
      </c>
      <c r="I453" s="2">
        <f>[2]sens_100_spec_10_PSA!I453</f>
        <v>8.9999957642640194</v>
      </c>
      <c r="J453" s="3">
        <f>[2]sens_100_spec_10_PSA!J453</f>
        <v>302383.53306306299</v>
      </c>
      <c r="K453" s="3">
        <f>[2]sens_100_spec_10_PSA!K453</f>
        <v>168500.57605084201</v>
      </c>
      <c r="L453">
        <f>[2]sens_100_spec_10_PSA!L453</f>
        <v>1</v>
      </c>
      <c r="M453">
        <f>[2]sens_100_spec_10_PSA!M453</f>
        <v>0</v>
      </c>
    </row>
    <row r="454" spans="1:13" x14ac:dyDescent="0.25">
      <c r="A454">
        <f>[2]sens_100_spec_10_PSA!A454</f>
        <v>453</v>
      </c>
      <c r="B454">
        <f>[2]sens_100_spec_10_PSA!B454</f>
        <v>1</v>
      </c>
      <c r="C454" t="str">
        <f>[2]sens_100_spec_10_PSA!C454</f>
        <v>NA</v>
      </c>
      <c r="D454">
        <f>[2]sens_100_spec_10_PSA!D454</f>
        <v>1</v>
      </c>
      <c r="E454" s="1">
        <f>[2]sens_100_spec_10_PSA!E454</f>
        <v>0.13539999999999999</v>
      </c>
      <c r="F454" s="1">
        <f>[2]sens_100_spec_10_PSA!F454</f>
        <v>2.4400000000000002E-2</v>
      </c>
      <c r="G454" s="2">
        <f>[2]sens_100_spec_10_PSA!G454</f>
        <v>17.891723374430502</v>
      </c>
      <c r="H454" s="2">
        <f>[2]sens_100_spec_10_PSA!H454</f>
        <v>13.393948523085299</v>
      </c>
      <c r="I454" s="2">
        <f>[2]sens_100_spec_10_PSA!I454</f>
        <v>8.1964941513629697</v>
      </c>
      <c r="J454" s="3">
        <f>[2]sens_100_spec_10_PSA!J454</f>
        <v>234200.473009643</v>
      </c>
      <c r="K454" s="3">
        <f>[2]sens_100_spec_10_PSA!K454</f>
        <v>141595.061666853</v>
      </c>
      <c r="L454">
        <f>[2]sens_100_spec_10_PSA!L454</f>
        <v>1</v>
      </c>
      <c r="M454">
        <f>[2]sens_100_spec_10_PSA!M454</f>
        <v>0</v>
      </c>
    </row>
    <row r="455" spans="1:13" x14ac:dyDescent="0.25">
      <c r="A455">
        <f>[2]sens_100_spec_10_PSA!A455</f>
        <v>454</v>
      </c>
      <c r="B455">
        <f>[2]sens_100_spec_10_PSA!B455</f>
        <v>1</v>
      </c>
      <c r="C455" t="str">
        <f>[2]sens_100_spec_10_PSA!C455</f>
        <v>NA</v>
      </c>
      <c r="D455">
        <f>[2]sens_100_spec_10_PSA!D455</f>
        <v>1</v>
      </c>
      <c r="E455" s="1">
        <f>[2]sens_100_spec_10_PSA!E455</f>
        <v>0.19589999999999999</v>
      </c>
      <c r="F455" s="1">
        <f>[2]sens_100_spec_10_PSA!F455</f>
        <v>2.2800000000000001E-2</v>
      </c>
      <c r="G455" s="2">
        <f>[2]sens_100_spec_10_PSA!G455</f>
        <v>18.765941140097699</v>
      </c>
      <c r="H455" s="2">
        <f>[2]sens_100_spec_10_PSA!H455</f>
        <v>14.3346522241595</v>
      </c>
      <c r="I455" s="2">
        <f>[2]sens_100_spec_10_PSA!I455</f>
        <v>8.5350414698911496</v>
      </c>
      <c r="J455" s="3">
        <f>[2]sens_100_spec_10_PSA!J455</f>
        <v>186049.001793142</v>
      </c>
      <c r="K455" s="3">
        <f>[2]sens_100_spec_10_PSA!K455</f>
        <v>110298.866461197</v>
      </c>
      <c r="L455">
        <f>[2]sens_100_spec_10_PSA!L455</f>
        <v>1</v>
      </c>
      <c r="M455">
        <f>[2]sens_100_spec_10_PSA!M455</f>
        <v>0</v>
      </c>
    </row>
    <row r="456" spans="1:13" x14ac:dyDescent="0.25">
      <c r="A456">
        <f>[2]sens_100_spec_10_PSA!A456</f>
        <v>455</v>
      </c>
      <c r="B456">
        <f>[2]sens_100_spec_10_PSA!B456</f>
        <v>1</v>
      </c>
      <c r="C456" t="str">
        <f>[2]sens_100_spec_10_PSA!C456</f>
        <v>NA</v>
      </c>
      <c r="D456">
        <f>[2]sens_100_spec_10_PSA!D456</f>
        <v>1</v>
      </c>
      <c r="E456" s="1">
        <f>[2]sens_100_spec_10_PSA!E456</f>
        <v>0.12520000000000001</v>
      </c>
      <c r="F456" s="1">
        <f>[2]sens_100_spec_10_PSA!F456</f>
        <v>2.5499999999999998E-2</v>
      </c>
      <c r="G456" s="2">
        <f>[2]sens_100_spec_10_PSA!G456</f>
        <v>20.434604105279501</v>
      </c>
      <c r="H456" s="2">
        <f>[2]sens_100_spec_10_PSA!H456</f>
        <v>15.215739340260299</v>
      </c>
      <c r="I456" s="2">
        <f>[2]sens_100_spec_10_PSA!I456</f>
        <v>9.0140044365301293</v>
      </c>
      <c r="J456" s="3">
        <f>[2]sens_100_spec_10_PSA!J456</f>
        <v>234924.49732543199</v>
      </c>
      <c r="K456" s="3">
        <f>[2]sens_100_spec_10_PSA!K456</f>
        <v>136745.21630744799</v>
      </c>
      <c r="L456">
        <f>[2]sens_100_spec_10_PSA!L456</f>
        <v>1</v>
      </c>
      <c r="M456">
        <f>[2]sens_100_spec_10_PSA!M456</f>
        <v>0</v>
      </c>
    </row>
    <row r="457" spans="1:13" x14ac:dyDescent="0.25">
      <c r="A457">
        <f>[2]sens_100_spec_10_PSA!A457</f>
        <v>456</v>
      </c>
      <c r="B457">
        <f>[2]sens_100_spec_10_PSA!B457</f>
        <v>1</v>
      </c>
      <c r="C457" t="str">
        <f>[2]sens_100_spec_10_PSA!C457</f>
        <v>NA</v>
      </c>
      <c r="D457">
        <f>[2]sens_100_spec_10_PSA!D457</f>
        <v>1</v>
      </c>
      <c r="E457" s="1">
        <f>[2]sens_100_spec_10_PSA!E457</f>
        <v>0.214</v>
      </c>
      <c r="F457" s="1">
        <f>[2]sens_100_spec_10_PSA!F457</f>
        <v>2.4299999999999999E-2</v>
      </c>
      <c r="G457" s="2">
        <f>[2]sens_100_spec_10_PSA!G457</f>
        <v>17.924653951907999</v>
      </c>
      <c r="H457" s="2">
        <f>[2]sens_100_spec_10_PSA!H457</f>
        <v>14.1394087419612</v>
      </c>
      <c r="I457" s="2">
        <f>[2]sens_100_spec_10_PSA!I457</f>
        <v>8.4501864176008308</v>
      </c>
      <c r="J457" s="3">
        <f>[2]sens_100_spec_10_PSA!J457</f>
        <v>176789.86438624901</v>
      </c>
      <c r="K457" s="3">
        <f>[2]sens_100_spec_10_PSA!K457</f>
        <v>105364.20522991099</v>
      </c>
      <c r="L457">
        <f>[2]sens_100_spec_10_PSA!L457</f>
        <v>1</v>
      </c>
      <c r="M457">
        <f>[2]sens_100_spec_10_PSA!M457</f>
        <v>0</v>
      </c>
    </row>
    <row r="458" spans="1:13" x14ac:dyDescent="0.25">
      <c r="A458">
        <f>[2]sens_100_spec_10_PSA!A458</f>
        <v>457</v>
      </c>
      <c r="B458">
        <f>[2]sens_100_spec_10_PSA!B458</f>
        <v>1</v>
      </c>
      <c r="C458" t="str">
        <f>[2]sens_100_spec_10_PSA!C458</f>
        <v>NA</v>
      </c>
      <c r="D458">
        <f>[2]sens_100_spec_10_PSA!D458</f>
        <v>1</v>
      </c>
      <c r="E458" s="1">
        <f>[2]sens_100_spec_10_PSA!E458</f>
        <v>0.12180000000000001</v>
      </c>
      <c r="F458" s="1">
        <f>[2]sens_100_spec_10_PSA!F458</f>
        <v>2.9899999999999999E-2</v>
      </c>
      <c r="G458" s="2">
        <f>[2]sens_100_spec_10_PSA!G458</f>
        <v>20.462465727279898</v>
      </c>
      <c r="H458" s="2">
        <f>[2]sens_100_spec_10_PSA!H458</f>
        <v>15.031017436710201</v>
      </c>
      <c r="I458" s="2">
        <f>[2]sens_100_spec_10_PSA!I458</f>
        <v>8.8973354951622792</v>
      </c>
      <c r="J458" s="3">
        <f>[2]sens_100_spec_10_PSA!J458</f>
        <v>264441.949513242</v>
      </c>
      <c r="K458" s="3">
        <f>[2]sens_100_spec_10_PSA!K458</f>
        <v>152834.347875448</v>
      </c>
      <c r="L458">
        <f>[2]sens_100_spec_10_PSA!L458</f>
        <v>1</v>
      </c>
      <c r="M458">
        <f>[2]sens_100_spec_10_PSA!M458</f>
        <v>0</v>
      </c>
    </row>
    <row r="459" spans="1:13" x14ac:dyDescent="0.25">
      <c r="A459">
        <f>[2]sens_100_spec_10_PSA!A459</f>
        <v>458</v>
      </c>
      <c r="B459">
        <f>[2]sens_100_spec_10_PSA!B459</f>
        <v>1</v>
      </c>
      <c r="C459" t="str">
        <f>[2]sens_100_spec_10_PSA!C459</f>
        <v>NA</v>
      </c>
      <c r="D459">
        <f>[2]sens_100_spec_10_PSA!D459</f>
        <v>1</v>
      </c>
      <c r="E459" s="1">
        <f>[2]sens_100_spec_10_PSA!E459</f>
        <v>0.12280000000000001</v>
      </c>
      <c r="F459" s="1">
        <f>[2]sens_100_spec_10_PSA!F459</f>
        <v>2.86E-2</v>
      </c>
      <c r="G459" s="2">
        <f>[2]sens_100_spec_10_PSA!G459</f>
        <v>21.568827188230301</v>
      </c>
      <c r="H459" s="2">
        <f>[2]sens_100_spec_10_PSA!H459</f>
        <v>13.822182647102901</v>
      </c>
      <c r="I459" s="2">
        <f>[2]sens_100_spec_10_PSA!I459</f>
        <v>8.0566550158223809</v>
      </c>
      <c r="J459" s="3">
        <f>[2]sens_100_spec_10_PSA!J459</f>
        <v>264759.70858748199</v>
      </c>
      <c r="K459" s="3">
        <f>[2]sens_100_spec_10_PSA!K459</f>
        <v>150095.56943609999</v>
      </c>
      <c r="L459">
        <f>[2]sens_100_spec_10_PSA!L459</f>
        <v>1</v>
      </c>
      <c r="M459">
        <f>[2]sens_100_spec_10_PSA!M459</f>
        <v>0</v>
      </c>
    </row>
    <row r="460" spans="1:13" x14ac:dyDescent="0.25">
      <c r="A460">
        <f>[2]sens_100_spec_10_PSA!A460</f>
        <v>459</v>
      </c>
      <c r="B460">
        <f>[2]sens_100_spec_10_PSA!B460</f>
        <v>1</v>
      </c>
      <c r="C460" t="str">
        <f>[2]sens_100_spec_10_PSA!C460</f>
        <v>NA</v>
      </c>
      <c r="D460">
        <f>[2]sens_100_spec_10_PSA!D460</f>
        <v>1</v>
      </c>
      <c r="E460" s="1">
        <f>[2]sens_100_spec_10_PSA!E460</f>
        <v>9.6100000000000005E-2</v>
      </c>
      <c r="F460" s="1">
        <f>[2]sens_100_spec_10_PSA!F460</f>
        <v>2.4199999999999999E-2</v>
      </c>
      <c r="G460" s="2">
        <f>[2]sens_100_spec_10_PSA!G460</f>
        <v>20.2971148885498</v>
      </c>
      <c r="H460" s="2">
        <f>[2]sens_100_spec_10_PSA!H460</f>
        <v>14.403306240096301</v>
      </c>
      <c r="I460" s="2">
        <f>[2]sens_100_spec_10_PSA!I460</f>
        <v>8.6200293847420308</v>
      </c>
      <c r="J460" s="3">
        <f>[2]sens_100_spec_10_PSA!J460</f>
        <v>291099.12838181201</v>
      </c>
      <c r="K460" s="3">
        <f>[2]sens_100_spec_10_PSA!K460</f>
        <v>169639.01818830901</v>
      </c>
      <c r="L460">
        <f>[2]sens_100_spec_10_PSA!L460</f>
        <v>1</v>
      </c>
      <c r="M460">
        <f>[2]sens_100_spec_10_PSA!M460</f>
        <v>0</v>
      </c>
    </row>
    <row r="461" spans="1:13" x14ac:dyDescent="0.25">
      <c r="A461">
        <f>[2]sens_100_spec_10_PSA!A461</f>
        <v>460</v>
      </c>
      <c r="B461">
        <f>[2]sens_100_spec_10_PSA!B461</f>
        <v>1</v>
      </c>
      <c r="C461" t="str">
        <f>[2]sens_100_spec_10_PSA!C461</f>
        <v>NA</v>
      </c>
      <c r="D461">
        <f>[2]sens_100_spec_10_PSA!D461</f>
        <v>1</v>
      </c>
      <c r="E461" s="1">
        <f>[2]sens_100_spec_10_PSA!E461</f>
        <v>0.1258</v>
      </c>
      <c r="F461" s="1">
        <f>[2]sens_100_spec_10_PSA!F461</f>
        <v>2.52E-2</v>
      </c>
      <c r="G461" s="2">
        <f>[2]sens_100_spec_10_PSA!G461</f>
        <v>19.279185974127198</v>
      </c>
      <c r="H461" s="2">
        <f>[2]sens_100_spec_10_PSA!H461</f>
        <v>14.218950538744499</v>
      </c>
      <c r="I461" s="2">
        <f>[2]sens_100_spec_10_PSA!I461</f>
        <v>8.5590360513579409</v>
      </c>
      <c r="J461" s="3">
        <f>[2]sens_100_spec_10_PSA!J461</f>
        <v>191769.732519918</v>
      </c>
      <c r="K461" s="3">
        <f>[2]sens_100_spec_10_PSA!K461</f>
        <v>115251.397910599</v>
      </c>
      <c r="L461">
        <f>[2]sens_100_spec_10_PSA!L461</f>
        <v>1</v>
      </c>
      <c r="M461">
        <f>[2]sens_100_spec_10_PSA!M461</f>
        <v>0</v>
      </c>
    </row>
    <row r="462" spans="1:13" x14ac:dyDescent="0.25">
      <c r="A462">
        <f>[2]sens_100_spec_10_PSA!A462</f>
        <v>461</v>
      </c>
      <c r="B462">
        <f>[2]sens_100_spec_10_PSA!B462</f>
        <v>1</v>
      </c>
      <c r="C462" t="str">
        <f>[2]sens_100_spec_10_PSA!C462</f>
        <v>NA</v>
      </c>
      <c r="D462">
        <f>[2]sens_100_spec_10_PSA!D462</f>
        <v>1</v>
      </c>
      <c r="E462" s="1">
        <f>[2]sens_100_spec_10_PSA!E462</f>
        <v>0.16470000000000001</v>
      </c>
      <c r="F462" s="1">
        <f>[2]sens_100_spec_10_PSA!F462</f>
        <v>2.1899999999999999E-2</v>
      </c>
      <c r="G462" s="2">
        <f>[2]sens_100_spec_10_PSA!G462</f>
        <v>17.262046263296099</v>
      </c>
      <c r="H462" s="2">
        <f>[2]sens_100_spec_10_PSA!H462</f>
        <v>11.537576007433101</v>
      </c>
      <c r="I462" s="2">
        <f>[2]sens_100_spec_10_PSA!I462</f>
        <v>7.0753391567426496</v>
      </c>
      <c r="J462" s="3">
        <f>[2]sens_100_spec_10_PSA!J462</f>
        <v>188719.662740623</v>
      </c>
      <c r="K462" s="3">
        <f>[2]sens_100_spec_10_PSA!K462</f>
        <v>115564.74166612601</v>
      </c>
      <c r="L462">
        <f>[2]sens_100_spec_10_PSA!L462</f>
        <v>1</v>
      </c>
      <c r="M462">
        <f>[2]sens_100_spec_10_PSA!M462</f>
        <v>0</v>
      </c>
    </row>
    <row r="463" spans="1:13" x14ac:dyDescent="0.25">
      <c r="A463">
        <f>[2]sens_100_spec_10_PSA!A463</f>
        <v>462</v>
      </c>
      <c r="B463">
        <f>[2]sens_100_spec_10_PSA!B463</f>
        <v>1</v>
      </c>
      <c r="C463" t="str">
        <f>[2]sens_100_spec_10_PSA!C463</f>
        <v>NA</v>
      </c>
      <c r="D463">
        <f>[2]sens_100_spec_10_PSA!D463</f>
        <v>1</v>
      </c>
      <c r="E463" s="1">
        <f>[2]sens_100_spec_10_PSA!E463</f>
        <v>0.17630000000000001</v>
      </c>
      <c r="F463" s="1">
        <f>[2]sens_100_spec_10_PSA!F463</f>
        <v>2.86E-2</v>
      </c>
      <c r="G463" s="2">
        <f>[2]sens_100_spec_10_PSA!G463</f>
        <v>18.1757998391789</v>
      </c>
      <c r="H463" s="2">
        <f>[2]sens_100_spec_10_PSA!H463</f>
        <v>13.4412934597649</v>
      </c>
      <c r="I463" s="2">
        <f>[2]sens_100_spec_10_PSA!I463</f>
        <v>8.1121326749224192</v>
      </c>
      <c r="J463" s="3">
        <f>[2]sens_100_spec_10_PSA!J463</f>
        <v>158495.008006986</v>
      </c>
      <c r="K463" s="3">
        <f>[2]sens_100_spec_10_PSA!K463</f>
        <v>96471.515069613801</v>
      </c>
      <c r="L463">
        <f>[2]sens_100_spec_10_PSA!L463</f>
        <v>1</v>
      </c>
      <c r="M463">
        <f>[2]sens_100_spec_10_PSA!M463</f>
        <v>0</v>
      </c>
    </row>
    <row r="464" spans="1:13" x14ac:dyDescent="0.25">
      <c r="A464">
        <f>[2]sens_100_spec_10_PSA!A464</f>
        <v>463</v>
      </c>
      <c r="B464">
        <f>[2]sens_100_spec_10_PSA!B464</f>
        <v>1</v>
      </c>
      <c r="C464" t="str">
        <f>[2]sens_100_spec_10_PSA!C464</f>
        <v>NA</v>
      </c>
      <c r="D464">
        <f>[2]sens_100_spec_10_PSA!D464</f>
        <v>1</v>
      </c>
      <c r="E464" s="1">
        <f>[2]sens_100_spec_10_PSA!E464</f>
        <v>7.1999999999999995E-2</v>
      </c>
      <c r="F464" s="1">
        <f>[2]sens_100_spec_10_PSA!F464</f>
        <v>2.7199999999999998E-2</v>
      </c>
      <c r="G464" s="2">
        <f>[2]sens_100_spec_10_PSA!G464</f>
        <v>21.1618644063138</v>
      </c>
      <c r="H464" s="2">
        <f>[2]sens_100_spec_10_PSA!H464</f>
        <v>16.706149342433601</v>
      </c>
      <c r="I464" s="2">
        <f>[2]sens_100_spec_10_PSA!I464</f>
        <v>9.9256937099106004</v>
      </c>
      <c r="J464" s="3">
        <f>[2]sens_100_spec_10_PSA!J464</f>
        <v>229051.84976213201</v>
      </c>
      <c r="K464" s="3">
        <f>[2]sens_100_spec_10_PSA!K464</f>
        <v>134206.34404366399</v>
      </c>
      <c r="L464">
        <f>[2]sens_100_spec_10_PSA!L464</f>
        <v>1</v>
      </c>
      <c r="M464">
        <f>[2]sens_100_spec_10_PSA!M464</f>
        <v>0</v>
      </c>
    </row>
    <row r="465" spans="1:13" x14ac:dyDescent="0.25">
      <c r="A465">
        <f>[2]sens_100_spec_10_PSA!A465</f>
        <v>464</v>
      </c>
      <c r="B465">
        <f>[2]sens_100_spec_10_PSA!B465</f>
        <v>1</v>
      </c>
      <c r="C465" t="str">
        <f>[2]sens_100_spec_10_PSA!C465</f>
        <v>NA</v>
      </c>
      <c r="D465">
        <f>[2]sens_100_spec_10_PSA!D465</f>
        <v>1</v>
      </c>
      <c r="E465" s="1">
        <f>[2]sens_100_spec_10_PSA!E465</f>
        <v>9.0399999999999994E-2</v>
      </c>
      <c r="F465" s="1">
        <f>[2]sens_100_spec_10_PSA!F465</f>
        <v>3.0200000000000001E-2</v>
      </c>
      <c r="G465" s="2">
        <f>[2]sens_100_spec_10_PSA!G465</f>
        <v>19.843066919518801</v>
      </c>
      <c r="H465" s="2">
        <f>[2]sens_100_spec_10_PSA!H465</f>
        <v>14.4335965247095</v>
      </c>
      <c r="I465" s="2">
        <f>[2]sens_100_spec_10_PSA!I465</f>
        <v>8.6687643852021008</v>
      </c>
      <c r="J465" s="3">
        <f>[2]sens_100_spec_10_PSA!J465</f>
        <v>256788.171178533</v>
      </c>
      <c r="K465" s="3">
        <f>[2]sens_100_spec_10_PSA!K465</f>
        <v>151239.87126571799</v>
      </c>
      <c r="L465">
        <f>[2]sens_100_spec_10_PSA!L465</f>
        <v>1</v>
      </c>
      <c r="M465">
        <f>[2]sens_100_spec_10_PSA!M465</f>
        <v>0</v>
      </c>
    </row>
    <row r="466" spans="1:13" x14ac:dyDescent="0.25">
      <c r="A466">
        <f>[2]sens_100_spec_10_PSA!A466</f>
        <v>465</v>
      </c>
      <c r="B466">
        <f>[2]sens_100_spec_10_PSA!B466</f>
        <v>1</v>
      </c>
      <c r="C466" t="str">
        <f>[2]sens_100_spec_10_PSA!C466</f>
        <v>NA</v>
      </c>
      <c r="D466">
        <f>[2]sens_100_spec_10_PSA!D466</f>
        <v>1</v>
      </c>
      <c r="E466" s="1">
        <f>[2]sens_100_spec_10_PSA!E466</f>
        <v>0.22550000000000001</v>
      </c>
      <c r="F466" s="1">
        <f>[2]sens_100_spec_10_PSA!F466</f>
        <v>2.1600000000000001E-2</v>
      </c>
      <c r="G466" s="2">
        <f>[2]sens_100_spec_10_PSA!G466</f>
        <v>17.853353995205499</v>
      </c>
      <c r="H466" s="2">
        <f>[2]sens_100_spec_10_PSA!H466</f>
        <v>14.009910870867399</v>
      </c>
      <c r="I466" s="2">
        <f>[2]sens_100_spec_10_PSA!I466</f>
        <v>8.3735662852903605</v>
      </c>
      <c r="J466" s="3">
        <f>[2]sens_100_spec_10_PSA!J466</f>
        <v>177683.453323558</v>
      </c>
      <c r="K466" s="3">
        <f>[2]sens_100_spec_10_PSA!K466</f>
        <v>105838.113523369</v>
      </c>
      <c r="L466">
        <f>[2]sens_100_spec_10_PSA!L466</f>
        <v>1</v>
      </c>
      <c r="M466">
        <f>[2]sens_100_spec_10_PSA!M466</f>
        <v>0</v>
      </c>
    </row>
    <row r="467" spans="1:13" x14ac:dyDescent="0.25">
      <c r="A467">
        <f>[2]sens_100_spec_10_PSA!A467</f>
        <v>466</v>
      </c>
      <c r="B467">
        <f>[2]sens_100_spec_10_PSA!B467</f>
        <v>1</v>
      </c>
      <c r="C467" t="str">
        <f>[2]sens_100_spec_10_PSA!C467</f>
        <v>NA</v>
      </c>
      <c r="D467">
        <f>[2]sens_100_spec_10_PSA!D467</f>
        <v>1</v>
      </c>
      <c r="E467" s="1">
        <f>[2]sens_100_spec_10_PSA!E467</f>
        <v>0.12039999999999999</v>
      </c>
      <c r="F467" s="1">
        <f>[2]sens_100_spec_10_PSA!F467</f>
        <v>2.3900000000000001E-2</v>
      </c>
      <c r="G467" s="2">
        <f>[2]sens_100_spec_10_PSA!G467</f>
        <v>18.937532295977199</v>
      </c>
      <c r="H467" s="2">
        <f>[2]sens_100_spec_10_PSA!H467</f>
        <v>15.191067439103801</v>
      </c>
      <c r="I467" s="2">
        <f>[2]sens_100_spec_10_PSA!I467</f>
        <v>9.2099658982373107</v>
      </c>
      <c r="J467" s="3">
        <f>[2]sens_100_spec_10_PSA!J467</f>
        <v>156192.93001018601</v>
      </c>
      <c r="K467" s="3">
        <f>[2]sens_100_spec_10_PSA!K467</f>
        <v>95867.201569907498</v>
      </c>
      <c r="L467">
        <f>[2]sens_100_spec_10_PSA!L467</f>
        <v>1</v>
      </c>
      <c r="M467">
        <f>[2]sens_100_spec_10_PSA!M467</f>
        <v>0</v>
      </c>
    </row>
    <row r="468" spans="1:13" x14ac:dyDescent="0.25">
      <c r="A468">
        <f>[2]sens_100_spec_10_PSA!A468</f>
        <v>467</v>
      </c>
      <c r="B468">
        <f>[2]sens_100_spec_10_PSA!B468</f>
        <v>1</v>
      </c>
      <c r="C468" t="str">
        <f>[2]sens_100_spec_10_PSA!C468</f>
        <v>NA</v>
      </c>
      <c r="D468">
        <f>[2]sens_100_spec_10_PSA!D468</f>
        <v>1</v>
      </c>
      <c r="E468" s="1">
        <f>[2]sens_100_spec_10_PSA!E468</f>
        <v>0.10639999999999999</v>
      </c>
      <c r="F468" s="1">
        <f>[2]sens_100_spec_10_PSA!F468</f>
        <v>2.8799999999999999E-2</v>
      </c>
      <c r="G468" s="2">
        <f>[2]sens_100_spec_10_PSA!G468</f>
        <v>18.724984084495102</v>
      </c>
      <c r="H468" s="2">
        <f>[2]sens_100_spec_10_PSA!H468</f>
        <v>14.2387519951033</v>
      </c>
      <c r="I468" s="2">
        <f>[2]sens_100_spec_10_PSA!I468</f>
        <v>8.6795170621220894</v>
      </c>
      <c r="J468" s="3">
        <f>[2]sens_100_spec_10_PSA!J468</f>
        <v>165039.03131273499</v>
      </c>
      <c r="K468" s="3">
        <f>[2]sens_100_spec_10_PSA!K468</f>
        <v>101439.19211937</v>
      </c>
      <c r="L468">
        <f>[2]sens_100_spec_10_PSA!L468</f>
        <v>1</v>
      </c>
      <c r="M468">
        <f>[2]sens_100_spec_10_PSA!M468</f>
        <v>0</v>
      </c>
    </row>
    <row r="469" spans="1:13" x14ac:dyDescent="0.25">
      <c r="A469">
        <f>[2]sens_100_spec_10_PSA!A469</f>
        <v>468</v>
      </c>
      <c r="B469">
        <f>[2]sens_100_spec_10_PSA!B469</f>
        <v>1</v>
      </c>
      <c r="C469" t="str">
        <f>[2]sens_100_spec_10_PSA!C469</f>
        <v>NA</v>
      </c>
      <c r="D469">
        <f>[2]sens_100_spec_10_PSA!D469</f>
        <v>1</v>
      </c>
      <c r="E469" s="1">
        <f>[2]sens_100_spec_10_PSA!E469</f>
        <v>0.17169999999999999</v>
      </c>
      <c r="F469" s="1">
        <f>[2]sens_100_spec_10_PSA!F469</f>
        <v>2.5999999999999999E-2</v>
      </c>
      <c r="G469" s="2">
        <f>[2]sens_100_spec_10_PSA!G469</f>
        <v>19.4509402432139</v>
      </c>
      <c r="H469" s="2">
        <f>[2]sens_100_spec_10_PSA!H469</f>
        <v>12.6520610804605</v>
      </c>
      <c r="I469" s="2">
        <f>[2]sens_100_spec_10_PSA!I469</f>
        <v>7.4887139082129401</v>
      </c>
      <c r="J469" s="3">
        <f>[2]sens_100_spec_10_PSA!J469</f>
        <v>261127.855847064</v>
      </c>
      <c r="K469" s="3">
        <f>[2]sens_100_spec_10_PSA!K469</f>
        <v>150650.68910248901</v>
      </c>
      <c r="L469">
        <f>[2]sens_100_spec_10_PSA!L469</f>
        <v>1</v>
      </c>
      <c r="M469">
        <f>[2]sens_100_spec_10_PSA!M469</f>
        <v>0</v>
      </c>
    </row>
    <row r="470" spans="1:13" x14ac:dyDescent="0.25">
      <c r="A470">
        <f>[2]sens_100_spec_10_PSA!A470</f>
        <v>469</v>
      </c>
      <c r="B470">
        <f>[2]sens_100_spec_10_PSA!B470</f>
        <v>1</v>
      </c>
      <c r="C470" t="str">
        <f>[2]sens_100_spec_10_PSA!C470</f>
        <v>NA</v>
      </c>
      <c r="D470">
        <f>[2]sens_100_spec_10_PSA!D470</f>
        <v>1</v>
      </c>
      <c r="E470" s="1">
        <f>[2]sens_100_spec_10_PSA!E470</f>
        <v>0.12</v>
      </c>
      <c r="F470" s="1">
        <f>[2]sens_100_spec_10_PSA!F470</f>
        <v>2.6800000000000001E-2</v>
      </c>
      <c r="G470" s="2">
        <f>[2]sens_100_spec_10_PSA!G470</f>
        <v>20.290012299760701</v>
      </c>
      <c r="H470" s="2">
        <f>[2]sens_100_spec_10_PSA!H470</f>
        <v>14.725133211862</v>
      </c>
      <c r="I470" s="2">
        <f>[2]sens_100_spec_10_PSA!I470</f>
        <v>8.7435191171818705</v>
      </c>
      <c r="J470" s="3">
        <f>[2]sens_100_spec_10_PSA!J470</f>
        <v>264809.30929027899</v>
      </c>
      <c r="K470" s="3">
        <f>[2]sens_100_spec_10_PSA!K470</f>
        <v>153425.24770247299</v>
      </c>
      <c r="L470">
        <f>[2]sens_100_spec_10_PSA!L470</f>
        <v>1</v>
      </c>
      <c r="M470">
        <f>[2]sens_100_spec_10_PSA!M470</f>
        <v>0</v>
      </c>
    </row>
    <row r="471" spans="1:13" x14ac:dyDescent="0.25">
      <c r="A471">
        <f>[2]sens_100_spec_10_PSA!A471</f>
        <v>470</v>
      </c>
      <c r="B471">
        <f>[2]sens_100_spec_10_PSA!B471</f>
        <v>1</v>
      </c>
      <c r="C471" t="str">
        <f>[2]sens_100_spec_10_PSA!C471</f>
        <v>NA</v>
      </c>
      <c r="D471">
        <f>[2]sens_100_spec_10_PSA!D471</f>
        <v>1</v>
      </c>
      <c r="E471" s="1">
        <f>[2]sens_100_spec_10_PSA!E471</f>
        <v>0.107</v>
      </c>
      <c r="F471" s="1">
        <f>[2]sens_100_spec_10_PSA!F471</f>
        <v>2.4799999999999999E-2</v>
      </c>
      <c r="G471" s="2">
        <f>[2]sens_100_spec_10_PSA!G471</f>
        <v>19.338389526142301</v>
      </c>
      <c r="H471" s="2">
        <f>[2]sens_100_spec_10_PSA!H471</f>
        <v>13.978015661978199</v>
      </c>
      <c r="I471" s="2">
        <f>[2]sens_100_spec_10_PSA!I471</f>
        <v>8.4457409473612408</v>
      </c>
      <c r="J471" s="3">
        <f>[2]sens_100_spec_10_PSA!J471</f>
        <v>174183.35440197101</v>
      </c>
      <c r="K471" s="3">
        <f>[2]sens_100_spec_10_PSA!K471</f>
        <v>105743.94560013</v>
      </c>
      <c r="L471">
        <f>[2]sens_100_spec_10_PSA!L471</f>
        <v>1</v>
      </c>
      <c r="M471">
        <f>[2]sens_100_spec_10_PSA!M471</f>
        <v>0</v>
      </c>
    </row>
    <row r="472" spans="1:13" x14ac:dyDescent="0.25">
      <c r="A472">
        <f>[2]sens_100_spec_10_PSA!A472</f>
        <v>471</v>
      </c>
      <c r="B472">
        <f>[2]sens_100_spec_10_PSA!B472</f>
        <v>1</v>
      </c>
      <c r="C472" t="str">
        <f>[2]sens_100_spec_10_PSA!C472</f>
        <v>NA</v>
      </c>
      <c r="D472">
        <f>[2]sens_100_spec_10_PSA!D472</f>
        <v>1</v>
      </c>
      <c r="E472" s="1">
        <f>[2]sens_100_spec_10_PSA!E472</f>
        <v>0.11459999999999999</v>
      </c>
      <c r="F472" s="1">
        <f>[2]sens_100_spec_10_PSA!F472</f>
        <v>2.8199999999999999E-2</v>
      </c>
      <c r="G472" s="2">
        <f>[2]sens_100_spec_10_PSA!G472</f>
        <v>19.747978552868901</v>
      </c>
      <c r="H472" s="2">
        <f>[2]sens_100_spec_10_PSA!H472</f>
        <v>14.2396473101412</v>
      </c>
      <c r="I472" s="2">
        <f>[2]sens_100_spec_10_PSA!I472</f>
        <v>8.5109695518238606</v>
      </c>
      <c r="J472" s="3">
        <f>[2]sens_100_spec_10_PSA!J472</f>
        <v>275974.67776657501</v>
      </c>
      <c r="K472" s="3">
        <f>[2]sens_100_spec_10_PSA!K472</f>
        <v>161004.939140225</v>
      </c>
      <c r="L472">
        <f>[2]sens_100_spec_10_PSA!L472</f>
        <v>1</v>
      </c>
      <c r="M472">
        <f>[2]sens_100_spec_10_PSA!M472</f>
        <v>0</v>
      </c>
    </row>
    <row r="473" spans="1:13" x14ac:dyDescent="0.25">
      <c r="A473">
        <f>[2]sens_100_spec_10_PSA!A473</f>
        <v>472</v>
      </c>
      <c r="B473">
        <f>[2]sens_100_spec_10_PSA!B473</f>
        <v>1</v>
      </c>
      <c r="C473" t="str">
        <f>[2]sens_100_spec_10_PSA!C473</f>
        <v>NA</v>
      </c>
      <c r="D473">
        <f>[2]sens_100_spec_10_PSA!D473</f>
        <v>1</v>
      </c>
      <c r="E473" s="1">
        <f>[2]sens_100_spec_10_PSA!E473</f>
        <v>0.11559999999999999</v>
      </c>
      <c r="F473" s="1">
        <f>[2]sens_100_spec_10_PSA!F473</f>
        <v>2.5000000000000001E-2</v>
      </c>
      <c r="G473" s="2">
        <f>[2]sens_100_spec_10_PSA!G473</f>
        <v>18.799161963049599</v>
      </c>
      <c r="H473" s="2">
        <f>[2]sens_100_spec_10_PSA!H473</f>
        <v>14.0617372924214</v>
      </c>
      <c r="I473" s="2">
        <f>[2]sens_100_spec_10_PSA!I473</f>
        <v>8.5421896061490603</v>
      </c>
      <c r="J473" s="3">
        <f>[2]sens_100_spec_10_PSA!J473</f>
        <v>192286.33362942599</v>
      </c>
      <c r="K473" s="3">
        <f>[2]sens_100_spec_10_PSA!K473</f>
        <v>116614.823097527</v>
      </c>
      <c r="L473">
        <f>[2]sens_100_spec_10_PSA!L473</f>
        <v>1</v>
      </c>
      <c r="M473">
        <f>[2]sens_100_spec_10_PSA!M473</f>
        <v>0</v>
      </c>
    </row>
    <row r="474" spans="1:13" x14ac:dyDescent="0.25">
      <c r="A474">
        <f>[2]sens_100_spec_10_PSA!A474</f>
        <v>473</v>
      </c>
      <c r="B474">
        <f>[2]sens_100_spec_10_PSA!B474</f>
        <v>1</v>
      </c>
      <c r="C474" t="str">
        <f>[2]sens_100_spec_10_PSA!C474</f>
        <v>NA</v>
      </c>
      <c r="D474">
        <f>[2]sens_100_spec_10_PSA!D474</f>
        <v>1</v>
      </c>
      <c r="E474" s="1">
        <f>[2]sens_100_spec_10_PSA!E474</f>
        <v>0.19900000000000001</v>
      </c>
      <c r="F474" s="1">
        <f>[2]sens_100_spec_10_PSA!F474</f>
        <v>2.8299999999999999E-2</v>
      </c>
      <c r="G474" s="2">
        <f>[2]sens_100_spec_10_PSA!G474</f>
        <v>18.481771131348602</v>
      </c>
      <c r="H474" s="2">
        <f>[2]sens_100_spec_10_PSA!H474</f>
        <v>12.666939673934399</v>
      </c>
      <c r="I474" s="2">
        <f>[2]sens_100_spec_10_PSA!I474</f>
        <v>7.5489450728865899</v>
      </c>
      <c r="J474" s="3">
        <f>[2]sens_100_spec_10_PSA!J474</f>
        <v>219299.61041557699</v>
      </c>
      <c r="K474" s="3">
        <f>[2]sens_100_spec_10_PSA!K474</f>
        <v>128787.295326725</v>
      </c>
      <c r="L474">
        <f>[2]sens_100_spec_10_PSA!L474</f>
        <v>1</v>
      </c>
      <c r="M474">
        <f>[2]sens_100_spec_10_PSA!M474</f>
        <v>0</v>
      </c>
    </row>
    <row r="475" spans="1:13" x14ac:dyDescent="0.25">
      <c r="A475">
        <f>[2]sens_100_spec_10_PSA!A475</f>
        <v>474</v>
      </c>
      <c r="B475">
        <f>[2]sens_100_spec_10_PSA!B475</f>
        <v>1</v>
      </c>
      <c r="C475" t="str">
        <f>[2]sens_100_spec_10_PSA!C475</f>
        <v>NA</v>
      </c>
      <c r="D475">
        <f>[2]sens_100_spec_10_PSA!D475</f>
        <v>1</v>
      </c>
      <c r="E475" s="1">
        <f>[2]sens_100_spec_10_PSA!E475</f>
        <v>0.1704</v>
      </c>
      <c r="F475" s="1">
        <f>[2]sens_100_spec_10_PSA!F475</f>
        <v>2.4199999999999999E-2</v>
      </c>
      <c r="G475" s="2">
        <f>[2]sens_100_spec_10_PSA!G475</f>
        <v>19.7058562074292</v>
      </c>
      <c r="H475" s="2">
        <f>[2]sens_100_spec_10_PSA!H475</f>
        <v>13.8563024262879</v>
      </c>
      <c r="I475" s="2">
        <f>[2]sens_100_spec_10_PSA!I475</f>
        <v>8.1882977552754301</v>
      </c>
      <c r="J475" s="3">
        <f>[2]sens_100_spec_10_PSA!J475</f>
        <v>237466.98878379</v>
      </c>
      <c r="K475" s="3">
        <f>[2]sens_100_spec_10_PSA!K475</f>
        <v>137438.50400746401</v>
      </c>
      <c r="L475">
        <f>[2]sens_100_spec_10_PSA!L475</f>
        <v>1</v>
      </c>
      <c r="M475">
        <f>[2]sens_100_spec_10_PSA!M475</f>
        <v>0</v>
      </c>
    </row>
    <row r="476" spans="1:13" x14ac:dyDescent="0.25">
      <c r="A476">
        <f>[2]sens_100_spec_10_PSA!A476</f>
        <v>475</v>
      </c>
      <c r="B476">
        <f>[2]sens_100_spec_10_PSA!B476</f>
        <v>1</v>
      </c>
      <c r="C476" t="str">
        <f>[2]sens_100_spec_10_PSA!C476</f>
        <v>NA</v>
      </c>
      <c r="D476">
        <f>[2]sens_100_spec_10_PSA!D476</f>
        <v>1</v>
      </c>
      <c r="E476" s="1">
        <f>[2]sens_100_spec_10_PSA!E476</f>
        <v>0.11990000000000001</v>
      </c>
      <c r="F476" s="1">
        <f>[2]sens_100_spec_10_PSA!F476</f>
        <v>2.9499999999999998E-2</v>
      </c>
      <c r="G476" s="2">
        <f>[2]sens_100_spec_10_PSA!G476</f>
        <v>19.933671749920201</v>
      </c>
      <c r="H476" s="2">
        <f>[2]sens_100_spec_10_PSA!H476</f>
        <v>13.543490682003</v>
      </c>
      <c r="I476" s="2">
        <f>[2]sens_100_spec_10_PSA!I476</f>
        <v>8.0591355600767702</v>
      </c>
      <c r="J476" s="3">
        <f>[2]sens_100_spec_10_PSA!J476</f>
        <v>179671.26341774501</v>
      </c>
      <c r="K476" s="3">
        <f>[2]sens_100_spec_10_PSA!K476</f>
        <v>106929.878383875</v>
      </c>
      <c r="L476">
        <f>[2]sens_100_spec_10_PSA!L476</f>
        <v>1</v>
      </c>
      <c r="M476">
        <f>[2]sens_100_spec_10_PSA!M476</f>
        <v>0</v>
      </c>
    </row>
    <row r="477" spans="1:13" x14ac:dyDescent="0.25">
      <c r="A477">
        <f>[2]sens_100_spec_10_PSA!A477</f>
        <v>476</v>
      </c>
      <c r="B477">
        <f>[2]sens_100_spec_10_PSA!B477</f>
        <v>1</v>
      </c>
      <c r="C477" t="str">
        <f>[2]sens_100_spec_10_PSA!C477</f>
        <v>NA</v>
      </c>
      <c r="D477">
        <f>[2]sens_100_spec_10_PSA!D477</f>
        <v>1</v>
      </c>
      <c r="E477" s="1">
        <f>[2]sens_100_spec_10_PSA!E477</f>
        <v>0.1535</v>
      </c>
      <c r="F477" s="1">
        <f>[2]sens_100_spec_10_PSA!F477</f>
        <v>2.3800000000000002E-2</v>
      </c>
      <c r="G477" s="2">
        <f>[2]sens_100_spec_10_PSA!G477</f>
        <v>18.1039906592063</v>
      </c>
      <c r="H477" s="2">
        <f>[2]sens_100_spec_10_PSA!H477</f>
        <v>14.528817174796901</v>
      </c>
      <c r="I477" s="2">
        <f>[2]sens_100_spec_10_PSA!I477</f>
        <v>8.8205204484745892</v>
      </c>
      <c r="J477" s="3">
        <f>[2]sens_100_spec_10_PSA!J477</f>
        <v>189217.50111609101</v>
      </c>
      <c r="K477" s="3">
        <f>[2]sens_100_spec_10_PSA!K477</f>
        <v>114739.508784042</v>
      </c>
      <c r="L477">
        <f>[2]sens_100_spec_10_PSA!L477</f>
        <v>1</v>
      </c>
      <c r="M477">
        <f>[2]sens_100_spec_10_PSA!M477</f>
        <v>0</v>
      </c>
    </row>
    <row r="478" spans="1:13" x14ac:dyDescent="0.25">
      <c r="A478">
        <f>[2]sens_100_spec_10_PSA!A478</f>
        <v>477</v>
      </c>
      <c r="B478">
        <f>[2]sens_100_spec_10_PSA!B478</f>
        <v>1</v>
      </c>
      <c r="C478" t="str">
        <f>[2]sens_100_spec_10_PSA!C478</f>
        <v>NA</v>
      </c>
      <c r="D478">
        <f>[2]sens_100_spec_10_PSA!D478</f>
        <v>1</v>
      </c>
      <c r="E478" s="1">
        <f>[2]sens_100_spec_10_PSA!E478</f>
        <v>0.1381</v>
      </c>
      <c r="F478" s="1">
        <f>[2]sens_100_spec_10_PSA!F478</f>
        <v>2.3199999999999998E-2</v>
      </c>
      <c r="G478" s="2">
        <f>[2]sens_100_spec_10_PSA!G478</f>
        <v>21.554124815052599</v>
      </c>
      <c r="H478" s="2">
        <f>[2]sens_100_spec_10_PSA!H478</f>
        <v>14.2939597871428</v>
      </c>
      <c r="I478" s="2">
        <f>[2]sens_100_spec_10_PSA!I478</f>
        <v>8.2949243678056295</v>
      </c>
      <c r="J478" s="3">
        <f>[2]sens_100_spec_10_PSA!J478</f>
        <v>244925.40516430399</v>
      </c>
      <c r="K478" s="3">
        <f>[2]sens_100_spec_10_PSA!K478</f>
        <v>138433.792287277</v>
      </c>
      <c r="L478">
        <f>[2]sens_100_spec_10_PSA!L478</f>
        <v>1</v>
      </c>
      <c r="M478">
        <f>[2]sens_100_spec_10_PSA!M478</f>
        <v>0</v>
      </c>
    </row>
    <row r="479" spans="1:13" x14ac:dyDescent="0.25">
      <c r="A479">
        <f>[2]sens_100_spec_10_PSA!A479</f>
        <v>478</v>
      </c>
      <c r="B479">
        <f>[2]sens_100_spec_10_PSA!B479</f>
        <v>1</v>
      </c>
      <c r="C479" t="str">
        <f>[2]sens_100_spec_10_PSA!C479</f>
        <v>NA</v>
      </c>
      <c r="D479">
        <f>[2]sens_100_spec_10_PSA!D479</f>
        <v>1</v>
      </c>
      <c r="E479" s="1">
        <f>[2]sens_100_spec_10_PSA!E479</f>
        <v>0.16389999999999999</v>
      </c>
      <c r="F479" s="1">
        <f>[2]sens_100_spec_10_PSA!F479</f>
        <v>2.53E-2</v>
      </c>
      <c r="G479" s="2">
        <f>[2]sens_100_spec_10_PSA!G479</f>
        <v>19.037911066978499</v>
      </c>
      <c r="H479" s="2">
        <f>[2]sens_100_spec_10_PSA!H479</f>
        <v>14.565040167733899</v>
      </c>
      <c r="I479" s="2">
        <f>[2]sens_100_spec_10_PSA!I479</f>
        <v>8.7189133013529698</v>
      </c>
      <c r="J479" s="3">
        <f>[2]sens_100_spec_10_PSA!J479</f>
        <v>255769.225227424</v>
      </c>
      <c r="K479" s="3">
        <f>[2]sens_100_spec_10_PSA!K479</f>
        <v>149680.168399983</v>
      </c>
      <c r="L479">
        <f>[2]sens_100_spec_10_PSA!L479</f>
        <v>1</v>
      </c>
      <c r="M479">
        <f>[2]sens_100_spec_10_PSA!M479</f>
        <v>0</v>
      </c>
    </row>
    <row r="480" spans="1:13" x14ac:dyDescent="0.25">
      <c r="A480">
        <f>[2]sens_100_spec_10_PSA!A480</f>
        <v>479</v>
      </c>
      <c r="B480">
        <f>[2]sens_100_spec_10_PSA!B480</f>
        <v>1</v>
      </c>
      <c r="C480" t="str">
        <f>[2]sens_100_spec_10_PSA!C480</f>
        <v>NA</v>
      </c>
      <c r="D480">
        <f>[2]sens_100_spec_10_PSA!D480</f>
        <v>1</v>
      </c>
      <c r="E480" s="1">
        <f>[2]sens_100_spec_10_PSA!E480</f>
        <v>0.19570000000000001</v>
      </c>
      <c r="F480" s="1">
        <f>[2]sens_100_spec_10_PSA!F480</f>
        <v>0.02</v>
      </c>
      <c r="G480" s="2">
        <f>[2]sens_100_spec_10_PSA!G480</f>
        <v>18.445905080576502</v>
      </c>
      <c r="H480" s="2">
        <f>[2]sens_100_spec_10_PSA!H480</f>
        <v>12.630439310503199</v>
      </c>
      <c r="I480" s="2">
        <f>[2]sens_100_spec_10_PSA!I480</f>
        <v>7.54659297129471</v>
      </c>
      <c r="J480" s="3">
        <f>[2]sens_100_spec_10_PSA!J480</f>
        <v>258354.862573247</v>
      </c>
      <c r="K480" s="3">
        <f>[2]sens_100_spec_10_PSA!K480</f>
        <v>150897.168566468</v>
      </c>
      <c r="L480">
        <f>[2]sens_100_spec_10_PSA!L480</f>
        <v>1</v>
      </c>
      <c r="M480">
        <f>[2]sens_100_spec_10_PSA!M480</f>
        <v>0</v>
      </c>
    </row>
    <row r="481" spans="1:13" x14ac:dyDescent="0.25">
      <c r="A481">
        <f>[2]sens_100_spec_10_PSA!A481</f>
        <v>480</v>
      </c>
      <c r="B481">
        <f>[2]sens_100_spec_10_PSA!B481</f>
        <v>1</v>
      </c>
      <c r="C481" t="str">
        <f>[2]sens_100_spec_10_PSA!C481</f>
        <v>NA</v>
      </c>
      <c r="D481">
        <f>[2]sens_100_spec_10_PSA!D481</f>
        <v>1</v>
      </c>
      <c r="E481" s="1">
        <f>[2]sens_100_spec_10_PSA!E481</f>
        <v>0.18140000000000001</v>
      </c>
      <c r="F481" s="1">
        <f>[2]sens_100_spec_10_PSA!F481</f>
        <v>2.3E-2</v>
      </c>
      <c r="G481" s="2">
        <f>[2]sens_100_spec_10_PSA!G481</f>
        <v>17.4819573109225</v>
      </c>
      <c r="H481" s="2">
        <f>[2]sens_100_spec_10_PSA!H481</f>
        <v>12.8026508421981</v>
      </c>
      <c r="I481" s="2">
        <f>[2]sens_100_spec_10_PSA!I481</f>
        <v>7.7962042325177201</v>
      </c>
      <c r="J481" s="3">
        <f>[2]sens_100_spec_10_PSA!J481</f>
        <v>202021.49906932001</v>
      </c>
      <c r="K481" s="3">
        <f>[2]sens_100_spec_10_PSA!K481</f>
        <v>122186.370124628</v>
      </c>
      <c r="L481">
        <f>[2]sens_100_spec_10_PSA!L481</f>
        <v>1</v>
      </c>
      <c r="M481">
        <f>[2]sens_100_spec_10_PSA!M481</f>
        <v>0</v>
      </c>
    </row>
    <row r="482" spans="1:13" x14ac:dyDescent="0.25">
      <c r="A482">
        <f>[2]sens_100_spec_10_PSA!A482</f>
        <v>481</v>
      </c>
      <c r="B482">
        <f>[2]sens_100_spec_10_PSA!B482</f>
        <v>1</v>
      </c>
      <c r="C482" t="str">
        <f>[2]sens_100_spec_10_PSA!C482</f>
        <v>NA</v>
      </c>
      <c r="D482">
        <f>[2]sens_100_spec_10_PSA!D482</f>
        <v>1</v>
      </c>
      <c r="E482" s="1">
        <f>[2]sens_100_spec_10_PSA!E482</f>
        <v>0.1321</v>
      </c>
      <c r="F482" s="1">
        <f>[2]sens_100_spec_10_PSA!F482</f>
        <v>2.7300000000000001E-2</v>
      </c>
      <c r="G482" s="2">
        <f>[2]sens_100_spec_10_PSA!G482</f>
        <v>19.7474537998201</v>
      </c>
      <c r="H482" s="2">
        <f>[2]sens_100_spec_10_PSA!H482</f>
        <v>12.8842291233934</v>
      </c>
      <c r="I482" s="2">
        <f>[2]sens_100_spec_10_PSA!I482</f>
        <v>7.6730136532609299</v>
      </c>
      <c r="J482" s="3">
        <f>[2]sens_100_spec_10_PSA!J482</f>
        <v>354088.32752770098</v>
      </c>
      <c r="K482" s="3">
        <f>[2]sens_100_spec_10_PSA!K482</f>
        <v>203213.040464622</v>
      </c>
      <c r="L482">
        <f>[2]sens_100_spec_10_PSA!L482</f>
        <v>1</v>
      </c>
      <c r="M482">
        <f>[2]sens_100_spec_10_PSA!M482</f>
        <v>0</v>
      </c>
    </row>
    <row r="483" spans="1:13" x14ac:dyDescent="0.25">
      <c r="A483">
        <f>[2]sens_100_spec_10_PSA!A483</f>
        <v>482</v>
      </c>
      <c r="B483">
        <f>[2]sens_100_spec_10_PSA!B483</f>
        <v>1</v>
      </c>
      <c r="C483" t="str">
        <f>[2]sens_100_spec_10_PSA!C483</f>
        <v>NA</v>
      </c>
      <c r="D483">
        <f>[2]sens_100_spec_10_PSA!D483</f>
        <v>1</v>
      </c>
      <c r="E483" s="1">
        <f>[2]sens_100_spec_10_PSA!E483</f>
        <v>0.1207</v>
      </c>
      <c r="F483" s="1">
        <f>[2]sens_100_spec_10_PSA!F483</f>
        <v>2.2700000000000001E-2</v>
      </c>
      <c r="G483" s="2">
        <f>[2]sens_100_spec_10_PSA!G483</f>
        <v>18.089468352191201</v>
      </c>
      <c r="H483" s="2">
        <f>[2]sens_100_spec_10_PSA!H483</f>
        <v>12.319589461967301</v>
      </c>
      <c r="I483" s="2">
        <f>[2]sens_100_spec_10_PSA!I483</f>
        <v>7.5533371627876402</v>
      </c>
      <c r="J483" s="3">
        <f>[2]sens_100_spec_10_PSA!J483</f>
        <v>180217.42770442201</v>
      </c>
      <c r="K483" s="3">
        <f>[2]sens_100_spec_10_PSA!K483</f>
        <v>111053.480785134</v>
      </c>
      <c r="L483">
        <f>[2]sens_100_spec_10_PSA!L483</f>
        <v>1</v>
      </c>
      <c r="M483">
        <f>[2]sens_100_spec_10_PSA!M483</f>
        <v>0</v>
      </c>
    </row>
    <row r="484" spans="1:13" x14ac:dyDescent="0.25">
      <c r="A484">
        <f>[2]sens_100_spec_10_PSA!A484</f>
        <v>483</v>
      </c>
      <c r="B484">
        <f>[2]sens_100_spec_10_PSA!B484</f>
        <v>1</v>
      </c>
      <c r="C484" t="str">
        <f>[2]sens_100_spec_10_PSA!C484</f>
        <v>NA</v>
      </c>
      <c r="D484">
        <f>[2]sens_100_spec_10_PSA!D484</f>
        <v>1</v>
      </c>
      <c r="E484" s="1">
        <f>[2]sens_100_spec_10_PSA!E484</f>
        <v>0.1694</v>
      </c>
      <c r="F484" s="1">
        <f>[2]sens_100_spec_10_PSA!F484</f>
        <v>2.3900000000000001E-2</v>
      </c>
      <c r="G484" s="2">
        <f>[2]sens_100_spec_10_PSA!G484</f>
        <v>18.3581479136467</v>
      </c>
      <c r="H484" s="2">
        <f>[2]sens_100_spec_10_PSA!H484</f>
        <v>12.7663608791642</v>
      </c>
      <c r="I484" s="2">
        <f>[2]sens_100_spec_10_PSA!I484</f>
        <v>7.7055703938213496</v>
      </c>
      <c r="J484" s="3">
        <f>[2]sens_100_spec_10_PSA!J484</f>
        <v>212194.06840098099</v>
      </c>
      <c r="K484" s="3">
        <f>[2]sens_100_spec_10_PSA!K484</f>
        <v>126628.572902527</v>
      </c>
      <c r="L484">
        <f>[2]sens_100_spec_10_PSA!L484</f>
        <v>1</v>
      </c>
      <c r="M484">
        <f>[2]sens_100_spec_10_PSA!M484</f>
        <v>0</v>
      </c>
    </row>
    <row r="485" spans="1:13" x14ac:dyDescent="0.25">
      <c r="A485">
        <f>[2]sens_100_spec_10_PSA!A485</f>
        <v>484</v>
      </c>
      <c r="B485">
        <f>[2]sens_100_spec_10_PSA!B485</f>
        <v>1</v>
      </c>
      <c r="C485" t="str">
        <f>[2]sens_100_spec_10_PSA!C485</f>
        <v>NA</v>
      </c>
      <c r="D485">
        <f>[2]sens_100_spec_10_PSA!D485</f>
        <v>1</v>
      </c>
      <c r="E485" s="1">
        <f>[2]sens_100_spec_10_PSA!E485</f>
        <v>0.16</v>
      </c>
      <c r="F485" s="1">
        <f>[2]sens_100_spec_10_PSA!F485</f>
        <v>2.5000000000000001E-2</v>
      </c>
      <c r="G485" s="2">
        <f>[2]sens_100_spec_10_PSA!G485</f>
        <v>17.9964013637676</v>
      </c>
      <c r="H485" s="2">
        <f>[2]sens_100_spec_10_PSA!H485</f>
        <v>13.2785380098699</v>
      </c>
      <c r="I485" s="2">
        <f>[2]sens_100_spec_10_PSA!I485</f>
        <v>8.0719344363319596</v>
      </c>
      <c r="J485" s="3">
        <f>[2]sens_100_spec_10_PSA!J485</f>
        <v>208033.58091529101</v>
      </c>
      <c r="K485" s="3">
        <f>[2]sens_100_spec_10_PSA!K485</f>
        <v>125513.992226716</v>
      </c>
      <c r="L485">
        <f>[2]sens_100_spec_10_PSA!L485</f>
        <v>1</v>
      </c>
      <c r="M485">
        <f>[2]sens_100_spec_10_PSA!M485</f>
        <v>0</v>
      </c>
    </row>
    <row r="486" spans="1:13" x14ac:dyDescent="0.25">
      <c r="A486">
        <f>[2]sens_100_spec_10_PSA!A486</f>
        <v>485</v>
      </c>
      <c r="B486">
        <f>[2]sens_100_spec_10_PSA!B486</f>
        <v>1</v>
      </c>
      <c r="C486" t="str">
        <f>[2]sens_100_spec_10_PSA!C486</f>
        <v>NA</v>
      </c>
      <c r="D486">
        <f>[2]sens_100_spec_10_PSA!D486</f>
        <v>1</v>
      </c>
      <c r="E486" s="1">
        <f>[2]sens_100_spec_10_PSA!E486</f>
        <v>0.2198</v>
      </c>
      <c r="F486" s="1">
        <f>[2]sens_100_spec_10_PSA!F486</f>
        <v>2.41E-2</v>
      </c>
      <c r="G486" s="2">
        <f>[2]sens_100_spec_10_PSA!G486</f>
        <v>16.155659176281599</v>
      </c>
      <c r="H486" s="2">
        <f>[2]sens_100_spec_10_PSA!H486</f>
        <v>11.4804886482824</v>
      </c>
      <c r="I486" s="2">
        <f>[2]sens_100_spec_10_PSA!I486</f>
        <v>7.0338203544714997</v>
      </c>
      <c r="J486" s="3">
        <f>[2]sens_100_spec_10_PSA!J486</f>
        <v>204393.53195216999</v>
      </c>
      <c r="K486" s="3">
        <f>[2]sens_100_spec_10_PSA!K486</f>
        <v>124073.944081767</v>
      </c>
      <c r="L486">
        <f>[2]sens_100_spec_10_PSA!L486</f>
        <v>1</v>
      </c>
      <c r="M486">
        <f>[2]sens_100_spec_10_PSA!M486</f>
        <v>0</v>
      </c>
    </row>
    <row r="487" spans="1:13" x14ac:dyDescent="0.25">
      <c r="A487">
        <f>[2]sens_100_spec_10_PSA!A487</f>
        <v>486</v>
      </c>
      <c r="B487">
        <f>[2]sens_100_spec_10_PSA!B487</f>
        <v>1</v>
      </c>
      <c r="C487" t="str">
        <f>[2]sens_100_spec_10_PSA!C487</f>
        <v>NA</v>
      </c>
      <c r="D487">
        <f>[2]sens_100_spec_10_PSA!D487</f>
        <v>1</v>
      </c>
      <c r="E487" s="1">
        <f>[2]sens_100_spec_10_PSA!E487</f>
        <v>0.1913</v>
      </c>
      <c r="F487" s="1">
        <f>[2]sens_100_spec_10_PSA!F487</f>
        <v>2.5700000000000001E-2</v>
      </c>
      <c r="G487" s="2">
        <f>[2]sens_100_spec_10_PSA!G487</f>
        <v>18.865852333889901</v>
      </c>
      <c r="H487" s="2">
        <f>[2]sens_100_spec_10_PSA!H487</f>
        <v>13.0463134123128</v>
      </c>
      <c r="I487" s="2">
        <f>[2]sens_100_spec_10_PSA!I487</f>
        <v>7.7321216812715496</v>
      </c>
      <c r="J487" s="3">
        <f>[2]sens_100_spec_10_PSA!J487</f>
        <v>145704.76072185099</v>
      </c>
      <c r="K487" s="3">
        <f>[2]sens_100_spec_10_PSA!K487</f>
        <v>87614.356077470904</v>
      </c>
      <c r="L487">
        <f>[2]sens_100_spec_10_PSA!L487</f>
        <v>1</v>
      </c>
      <c r="M487">
        <f>[2]sens_100_spec_10_PSA!M487</f>
        <v>0</v>
      </c>
    </row>
    <row r="488" spans="1:13" x14ac:dyDescent="0.25">
      <c r="A488">
        <f>[2]sens_100_spec_10_PSA!A488</f>
        <v>487</v>
      </c>
      <c r="B488">
        <f>[2]sens_100_spec_10_PSA!B488</f>
        <v>1</v>
      </c>
      <c r="C488" t="str">
        <f>[2]sens_100_spec_10_PSA!C488</f>
        <v>NA</v>
      </c>
      <c r="D488">
        <f>[2]sens_100_spec_10_PSA!D488</f>
        <v>1</v>
      </c>
      <c r="E488" s="1">
        <f>[2]sens_100_spec_10_PSA!E488</f>
        <v>0.1207</v>
      </c>
      <c r="F488" s="1">
        <f>[2]sens_100_spec_10_PSA!F488</f>
        <v>2.8799999999999999E-2</v>
      </c>
      <c r="G488" s="2">
        <f>[2]sens_100_spec_10_PSA!G488</f>
        <v>18.5994045302043</v>
      </c>
      <c r="H488" s="2">
        <f>[2]sens_100_spec_10_PSA!H488</f>
        <v>13.3169036356867</v>
      </c>
      <c r="I488" s="2">
        <f>[2]sens_100_spec_10_PSA!I488</f>
        <v>8.1097135937547993</v>
      </c>
      <c r="J488" s="3">
        <f>[2]sens_100_spec_10_PSA!J488</f>
        <v>183987.218423121</v>
      </c>
      <c r="K488" s="3">
        <f>[2]sens_100_spec_10_PSA!K488</f>
        <v>112252.95660247401</v>
      </c>
      <c r="L488">
        <f>[2]sens_100_spec_10_PSA!L488</f>
        <v>1</v>
      </c>
      <c r="M488">
        <f>[2]sens_100_spec_10_PSA!M488</f>
        <v>0</v>
      </c>
    </row>
    <row r="489" spans="1:13" x14ac:dyDescent="0.25">
      <c r="A489">
        <f>[2]sens_100_spec_10_PSA!A489</f>
        <v>488</v>
      </c>
      <c r="B489">
        <f>[2]sens_100_spec_10_PSA!B489</f>
        <v>1</v>
      </c>
      <c r="C489" t="str">
        <f>[2]sens_100_spec_10_PSA!C489</f>
        <v>NA</v>
      </c>
      <c r="D489">
        <f>[2]sens_100_spec_10_PSA!D489</f>
        <v>1</v>
      </c>
      <c r="E489" s="1">
        <f>[2]sens_100_spec_10_PSA!E489</f>
        <v>0.14000000000000001</v>
      </c>
      <c r="F489" s="1">
        <f>[2]sens_100_spec_10_PSA!F489</f>
        <v>2.7199999999999998E-2</v>
      </c>
      <c r="G489" s="2">
        <f>[2]sens_100_spec_10_PSA!G489</f>
        <v>18.715206819165299</v>
      </c>
      <c r="H489" s="2">
        <f>[2]sens_100_spec_10_PSA!H489</f>
        <v>13.5964344592364</v>
      </c>
      <c r="I489" s="2">
        <f>[2]sens_100_spec_10_PSA!I489</f>
        <v>8.2149058735639802</v>
      </c>
      <c r="J489" s="3">
        <f>[2]sens_100_spec_10_PSA!J489</f>
        <v>173817.631515977</v>
      </c>
      <c r="K489" s="3">
        <f>[2]sens_100_spec_10_PSA!K489</f>
        <v>105349.67933600899</v>
      </c>
      <c r="L489">
        <f>[2]sens_100_spec_10_PSA!L489</f>
        <v>1</v>
      </c>
      <c r="M489">
        <f>[2]sens_100_spec_10_PSA!M489</f>
        <v>0</v>
      </c>
    </row>
    <row r="490" spans="1:13" x14ac:dyDescent="0.25">
      <c r="A490">
        <f>[2]sens_100_spec_10_PSA!A490</f>
        <v>489</v>
      </c>
      <c r="B490">
        <f>[2]sens_100_spec_10_PSA!B490</f>
        <v>1</v>
      </c>
      <c r="C490" t="str">
        <f>[2]sens_100_spec_10_PSA!C490</f>
        <v>NA</v>
      </c>
      <c r="D490">
        <f>[2]sens_100_spec_10_PSA!D490</f>
        <v>1</v>
      </c>
      <c r="E490" s="1">
        <f>[2]sens_100_spec_10_PSA!E490</f>
        <v>0.15210000000000001</v>
      </c>
      <c r="F490" s="1">
        <f>[2]sens_100_spec_10_PSA!F490</f>
        <v>2.7199999999999998E-2</v>
      </c>
      <c r="G490" s="2">
        <f>[2]sens_100_spec_10_PSA!G490</f>
        <v>17.612229651157101</v>
      </c>
      <c r="H490" s="2">
        <f>[2]sens_100_spec_10_PSA!H490</f>
        <v>12.3803476698836</v>
      </c>
      <c r="I490" s="2">
        <f>[2]sens_100_spec_10_PSA!I490</f>
        <v>7.5883647160616698</v>
      </c>
      <c r="J490" s="3">
        <f>[2]sens_100_spec_10_PSA!J490</f>
        <v>154695.29950780299</v>
      </c>
      <c r="K490" s="3">
        <f>[2]sens_100_spec_10_PSA!K490</f>
        <v>95884.472033152604</v>
      </c>
      <c r="L490">
        <f>[2]sens_100_spec_10_PSA!L490</f>
        <v>1</v>
      </c>
      <c r="M490">
        <f>[2]sens_100_spec_10_PSA!M490</f>
        <v>0</v>
      </c>
    </row>
    <row r="491" spans="1:13" x14ac:dyDescent="0.25">
      <c r="A491">
        <f>[2]sens_100_spec_10_PSA!A491</f>
        <v>490</v>
      </c>
      <c r="B491">
        <f>[2]sens_100_spec_10_PSA!B491</f>
        <v>1</v>
      </c>
      <c r="C491" t="str">
        <f>[2]sens_100_spec_10_PSA!C491</f>
        <v>NA</v>
      </c>
      <c r="D491">
        <f>[2]sens_100_spec_10_PSA!D491</f>
        <v>1</v>
      </c>
      <c r="E491" s="1">
        <f>[2]sens_100_spec_10_PSA!E491</f>
        <v>0.1148</v>
      </c>
      <c r="F491" s="1">
        <f>[2]sens_100_spec_10_PSA!F491</f>
        <v>2.3099999999999999E-2</v>
      </c>
      <c r="G491" s="2">
        <f>[2]sens_100_spec_10_PSA!G491</f>
        <v>18.120962900731801</v>
      </c>
      <c r="H491" s="2">
        <f>[2]sens_100_spec_10_PSA!H491</f>
        <v>12.9400695430997</v>
      </c>
      <c r="I491" s="2">
        <f>[2]sens_100_spec_10_PSA!I491</f>
        <v>7.9344100265566597</v>
      </c>
      <c r="J491" s="3">
        <f>[2]sens_100_spec_10_PSA!J491</f>
        <v>155420.65687631501</v>
      </c>
      <c r="K491" s="3">
        <f>[2]sens_100_spec_10_PSA!K491</f>
        <v>96687.825129779594</v>
      </c>
      <c r="L491">
        <f>[2]sens_100_spec_10_PSA!L491</f>
        <v>1</v>
      </c>
      <c r="M491">
        <f>[2]sens_100_spec_10_PSA!M491</f>
        <v>0</v>
      </c>
    </row>
    <row r="492" spans="1:13" x14ac:dyDescent="0.25">
      <c r="A492">
        <f>[2]sens_100_spec_10_PSA!A492</f>
        <v>491</v>
      </c>
      <c r="B492">
        <f>[2]sens_100_spec_10_PSA!B492</f>
        <v>1</v>
      </c>
      <c r="C492" t="str">
        <f>[2]sens_100_spec_10_PSA!C492</f>
        <v>NA</v>
      </c>
      <c r="D492">
        <f>[2]sens_100_spec_10_PSA!D492</f>
        <v>1</v>
      </c>
      <c r="E492" s="1">
        <f>[2]sens_100_spec_10_PSA!E492</f>
        <v>0.25969999999999999</v>
      </c>
      <c r="F492" s="1">
        <f>[2]sens_100_spec_10_PSA!F492</f>
        <v>2.1999999999999999E-2</v>
      </c>
      <c r="G492" s="2">
        <f>[2]sens_100_spec_10_PSA!G492</f>
        <v>16.362337787474701</v>
      </c>
      <c r="H492" s="2">
        <f>[2]sens_100_spec_10_PSA!H492</f>
        <v>11.679189410826901</v>
      </c>
      <c r="I492" s="2">
        <f>[2]sens_100_spec_10_PSA!I492</f>
        <v>7.0379769224252096</v>
      </c>
      <c r="J492" s="3">
        <f>[2]sens_100_spec_10_PSA!J492</f>
        <v>214300.161599443</v>
      </c>
      <c r="K492" s="3">
        <f>[2]sens_100_spec_10_PSA!K492</f>
        <v>127359.373805062</v>
      </c>
      <c r="L492">
        <f>[2]sens_100_spec_10_PSA!L492</f>
        <v>1</v>
      </c>
      <c r="M492">
        <f>[2]sens_100_spec_10_PSA!M492</f>
        <v>0</v>
      </c>
    </row>
    <row r="493" spans="1:13" x14ac:dyDescent="0.25">
      <c r="A493">
        <f>[2]sens_100_spec_10_PSA!A493</f>
        <v>492</v>
      </c>
      <c r="B493">
        <f>[2]sens_100_spec_10_PSA!B493</f>
        <v>1</v>
      </c>
      <c r="C493" t="str">
        <f>[2]sens_100_spec_10_PSA!C493</f>
        <v>NA</v>
      </c>
      <c r="D493">
        <f>[2]sens_100_spec_10_PSA!D493</f>
        <v>1</v>
      </c>
      <c r="E493" s="1">
        <f>[2]sens_100_spec_10_PSA!E493</f>
        <v>0.1208</v>
      </c>
      <c r="F493" s="1">
        <f>[2]sens_100_spec_10_PSA!F493</f>
        <v>3.1800000000000002E-2</v>
      </c>
      <c r="G493" s="2">
        <f>[2]sens_100_spec_10_PSA!G493</f>
        <v>19.520031332378501</v>
      </c>
      <c r="H493" s="2">
        <f>[2]sens_100_spec_10_PSA!H493</f>
        <v>14.272393819069899</v>
      </c>
      <c r="I493" s="2">
        <f>[2]sens_100_spec_10_PSA!I493</f>
        <v>8.5443184699266297</v>
      </c>
      <c r="J493" s="3">
        <f>[2]sens_100_spec_10_PSA!J493</f>
        <v>280745.81884655298</v>
      </c>
      <c r="K493" s="3">
        <f>[2]sens_100_spec_10_PSA!K493</f>
        <v>163888.66783050599</v>
      </c>
      <c r="L493">
        <f>[2]sens_100_spec_10_PSA!L493</f>
        <v>1</v>
      </c>
      <c r="M493">
        <f>[2]sens_100_spec_10_PSA!M493</f>
        <v>0</v>
      </c>
    </row>
    <row r="494" spans="1:13" x14ac:dyDescent="0.25">
      <c r="A494">
        <f>[2]sens_100_spec_10_PSA!A494</f>
        <v>493</v>
      </c>
      <c r="B494">
        <f>[2]sens_100_spec_10_PSA!B494</f>
        <v>1</v>
      </c>
      <c r="C494" t="str">
        <f>[2]sens_100_spec_10_PSA!C494</f>
        <v>NA</v>
      </c>
      <c r="D494">
        <f>[2]sens_100_spec_10_PSA!D494</f>
        <v>1</v>
      </c>
      <c r="E494" s="1">
        <f>[2]sens_100_spec_10_PSA!E494</f>
        <v>0.15479999999999999</v>
      </c>
      <c r="F494" s="1">
        <f>[2]sens_100_spec_10_PSA!F494</f>
        <v>2.35E-2</v>
      </c>
      <c r="G494" s="2">
        <f>[2]sens_100_spec_10_PSA!G494</f>
        <v>18.021867633897301</v>
      </c>
      <c r="H494" s="2">
        <f>[2]sens_100_spec_10_PSA!H494</f>
        <v>11.4356836021406</v>
      </c>
      <c r="I494" s="2">
        <f>[2]sens_100_spec_10_PSA!I494</f>
        <v>6.9568771934374602</v>
      </c>
      <c r="J494" s="3">
        <f>[2]sens_100_spec_10_PSA!J494</f>
        <v>194956.959226423</v>
      </c>
      <c r="K494" s="3">
        <f>[2]sens_100_spec_10_PSA!K494</f>
        <v>118295.800637115</v>
      </c>
      <c r="L494">
        <f>[2]sens_100_spec_10_PSA!L494</f>
        <v>1</v>
      </c>
      <c r="M494">
        <f>[2]sens_100_spec_10_PSA!M494</f>
        <v>0</v>
      </c>
    </row>
    <row r="495" spans="1:13" x14ac:dyDescent="0.25">
      <c r="A495">
        <f>[2]sens_100_spec_10_PSA!A495</f>
        <v>494</v>
      </c>
      <c r="B495">
        <f>[2]sens_100_spec_10_PSA!B495</f>
        <v>1</v>
      </c>
      <c r="C495" t="str">
        <f>[2]sens_100_spec_10_PSA!C495</f>
        <v>NA</v>
      </c>
      <c r="D495">
        <f>[2]sens_100_spec_10_PSA!D495</f>
        <v>1</v>
      </c>
      <c r="E495" s="1">
        <f>[2]sens_100_spec_10_PSA!E495</f>
        <v>6.93E-2</v>
      </c>
      <c r="F495" s="1">
        <f>[2]sens_100_spec_10_PSA!F495</f>
        <v>2.6599999999999999E-2</v>
      </c>
      <c r="G495" s="2">
        <f>[2]sens_100_spec_10_PSA!G495</f>
        <v>20.616108003178301</v>
      </c>
      <c r="H495" s="2">
        <f>[2]sens_100_spec_10_PSA!H495</f>
        <v>13.3232510145079</v>
      </c>
      <c r="I495" s="2">
        <f>[2]sens_100_spec_10_PSA!I495</f>
        <v>7.9742501027539401</v>
      </c>
      <c r="J495" s="3">
        <f>[2]sens_100_spec_10_PSA!J495</f>
        <v>218085.82795893701</v>
      </c>
      <c r="K495" s="3">
        <f>[2]sens_100_spec_10_PSA!K495</f>
        <v>129130.627585446</v>
      </c>
      <c r="L495">
        <f>[2]sens_100_spec_10_PSA!L495</f>
        <v>1</v>
      </c>
      <c r="M495">
        <f>[2]sens_100_spec_10_PSA!M495</f>
        <v>0</v>
      </c>
    </row>
    <row r="496" spans="1:13" x14ac:dyDescent="0.25">
      <c r="A496">
        <f>[2]sens_100_spec_10_PSA!A496</f>
        <v>495</v>
      </c>
      <c r="B496">
        <f>[2]sens_100_spec_10_PSA!B496</f>
        <v>1</v>
      </c>
      <c r="C496" t="str">
        <f>[2]sens_100_spec_10_PSA!C496</f>
        <v>NA</v>
      </c>
      <c r="D496">
        <f>[2]sens_100_spec_10_PSA!D496</f>
        <v>1</v>
      </c>
      <c r="E496" s="1">
        <f>[2]sens_100_spec_10_PSA!E496</f>
        <v>0.14249999999999999</v>
      </c>
      <c r="F496" s="1">
        <f>[2]sens_100_spec_10_PSA!F496</f>
        <v>2.1399999999999999E-2</v>
      </c>
      <c r="G496" s="2">
        <f>[2]sens_100_spec_10_PSA!G496</f>
        <v>19.821543344235799</v>
      </c>
      <c r="H496" s="2">
        <f>[2]sens_100_spec_10_PSA!H496</f>
        <v>14.4963148886093</v>
      </c>
      <c r="I496" s="2">
        <f>[2]sens_100_spec_10_PSA!I496</f>
        <v>8.6474518536607601</v>
      </c>
      <c r="J496" s="3">
        <f>[2]sens_100_spec_10_PSA!J496</f>
        <v>232648.288663257</v>
      </c>
      <c r="K496" s="3">
        <f>[2]sens_100_spec_10_PSA!K496</f>
        <v>136428.86256261999</v>
      </c>
      <c r="L496">
        <f>[2]sens_100_spec_10_PSA!L496</f>
        <v>1</v>
      </c>
      <c r="M496">
        <f>[2]sens_100_spec_10_PSA!M496</f>
        <v>0</v>
      </c>
    </row>
    <row r="497" spans="1:13" x14ac:dyDescent="0.25">
      <c r="A497">
        <f>[2]sens_100_spec_10_PSA!A497</f>
        <v>496</v>
      </c>
      <c r="B497">
        <f>[2]sens_100_spec_10_PSA!B497</f>
        <v>1</v>
      </c>
      <c r="C497" t="str">
        <f>[2]sens_100_spec_10_PSA!C497</f>
        <v>NA</v>
      </c>
      <c r="D497">
        <f>[2]sens_100_spec_10_PSA!D497</f>
        <v>1</v>
      </c>
      <c r="E497" s="1">
        <f>[2]sens_100_spec_10_PSA!E497</f>
        <v>0.1053</v>
      </c>
      <c r="F497" s="1">
        <f>[2]sens_100_spec_10_PSA!F497</f>
        <v>2.75E-2</v>
      </c>
      <c r="G497" s="2">
        <f>[2]sens_100_spec_10_PSA!G497</f>
        <v>19.302593477586601</v>
      </c>
      <c r="H497" s="2">
        <f>[2]sens_100_spec_10_PSA!H497</f>
        <v>14.079144766504299</v>
      </c>
      <c r="I497" s="2">
        <f>[2]sens_100_spec_10_PSA!I497</f>
        <v>8.5068699964946095</v>
      </c>
      <c r="J497" s="3">
        <f>[2]sens_100_spec_10_PSA!J497</f>
        <v>280341.19393329299</v>
      </c>
      <c r="K497" s="3">
        <f>[2]sens_100_spec_10_PSA!K497</f>
        <v>165654.53484940299</v>
      </c>
      <c r="L497">
        <f>[2]sens_100_spec_10_PSA!L497</f>
        <v>1</v>
      </c>
      <c r="M497">
        <f>[2]sens_100_spec_10_PSA!M497</f>
        <v>0</v>
      </c>
    </row>
    <row r="498" spans="1:13" x14ac:dyDescent="0.25">
      <c r="A498">
        <f>[2]sens_100_spec_10_PSA!A498</f>
        <v>497</v>
      </c>
      <c r="B498">
        <f>[2]sens_100_spec_10_PSA!B498</f>
        <v>1</v>
      </c>
      <c r="C498" t="str">
        <f>[2]sens_100_spec_10_PSA!C498</f>
        <v>NA</v>
      </c>
      <c r="D498">
        <f>[2]sens_100_spec_10_PSA!D498</f>
        <v>1</v>
      </c>
      <c r="E498" s="1">
        <f>[2]sens_100_spec_10_PSA!E498</f>
        <v>0.17050000000000001</v>
      </c>
      <c r="F498" s="1">
        <f>[2]sens_100_spec_10_PSA!F498</f>
        <v>2.46E-2</v>
      </c>
      <c r="G498" s="2">
        <f>[2]sens_100_spec_10_PSA!G498</f>
        <v>16.605962670546798</v>
      </c>
      <c r="H498" s="2">
        <f>[2]sens_100_spec_10_PSA!H498</f>
        <v>11.6282271073361</v>
      </c>
      <c r="I498" s="2">
        <f>[2]sens_100_spec_10_PSA!I498</f>
        <v>7.1910339799813796</v>
      </c>
      <c r="J498" s="3">
        <f>[2]sens_100_spec_10_PSA!J498</f>
        <v>171316.94536539901</v>
      </c>
      <c r="K498" s="3">
        <f>[2]sens_100_spec_10_PSA!K498</f>
        <v>106677.638588703</v>
      </c>
      <c r="L498">
        <f>[2]sens_100_spec_10_PSA!L498</f>
        <v>1</v>
      </c>
      <c r="M498">
        <f>[2]sens_100_spec_10_PSA!M498</f>
        <v>0</v>
      </c>
    </row>
    <row r="499" spans="1:13" x14ac:dyDescent="0.25">
      <c r="A499">
        <f>[2]sens_100_spec_10_PSA!A499</f>
        <v>498</v>
      </c>
      <c r="B499">
        <f>[2]sens_100_spec_10_PSA!B499</f>
        <v>1</v>
      </c>
      <c r="C499" t="str">
        <f>[2]sens_100_spec_10_PSA!C499</f>
        <v>NA</v>
      </c>
      <c r="D499">
        <f>[2]sens_100_spec_10_PSA!D499</f>
        <v>1</v>
      </c>
      <c r="E499" s="1">
        <f>[2]sens_100_spec_10_PSA!E499</f>
        <v>0.15390000000000001</v>
      </c>
      <c r="F499" s="1">
        <f>[2]sens_100_spec_10_PSA!F499</f>
        <v>2.29E-2</v>
      </c>
      <c r="G499" s="2">
        <f>[2]sens_100_spec_10_PSA!G499</f>
        <v>18.136059337400901</v>
      </c>
      <c r="H499" s="2">
        <f>[2]sens_100_spec_10_PSA!H499</f>
        <v>11.704891434996799</v>
      </c>
      <c r="I499" s="2">
        <f>[2]sens_100_spec_10_PSA!I499</f>
        <v>7.12751009953503</v>
      </c>
      <c r="J499" s="3">
        <f>[2]sens_100_spec_10_PSA!J499</f>
        <v>260675.86596436999</v>
      </c>
      <c r="K499" s="3">
        <f>[2]sens_100_spec_10_PSA!K499</f>
        <v>155596.664283199</v>
      </c>
      <c r="L499">
        <f>[2]sens_100_spec_10_PSA!L499</f>
        <v>1</v>
      </c>
      <c r="M499">
        <f>[2]sens_100_spec_10_PSA!M499</f>
        <v>0</v>
      </c>
    </row>
    <row r="500" spans="1:13" x14ac:dyDescent="0.25">
      <c r="A500">
        <f>[2]sens_100_spec_10_PSA!A500</f>
        <v>499</v>
      </c>
      <c r="B500">
        <f>[2]sens_100_spec_10_PSA!B500</f>
        <v>1</v>
      </c>
      <c r="C500" t="str">
        <f>[2]sens_100_spec_10_PSA!C500</f>
        <v>NA</v>
      </c>
      <c r="D500">
        <f>[2]sens_100_spec_10_PSA!D500</f>
        <v>1</v>
      </c>
      <c r="E500" s="1">
        <f>[2]sens_100_spec_10_PSA!E500</f>
        <v>0.23430000000000001</v>
      </c>
      <c r="F500" s="1">
        <f>[2]sens_100_spec_10_PSA!F500</f>
        <v>2.5899999999999999E-2</v>
      </c>
      <c r="G500" s="2">
        <f>[2]sens_100_spec_10_PSA!G500</f>
        <v>16.989496117536</v>
      </c>
      <c r="H500" s="2">
        <f>[2]sens_100_spec_10_PSA!H500</f>
        <v>13.2978486735768</v>
      </c>
      <c r="I500" s="2">
        <f>[2]sens_100_spec_10_PSA!I500</f>
        <v>8.0592833836862798</v>
      </c>
      <c r="J500" s="3">
        <f>[2]sens_100_spec_10_PSA!J500</f>
        <v>245525.882082839</v>
      </c>
      <c r="K500" s="3">
        <f>[2]sens_100_spec_10_PSA!K500</f>
        <v>145860.654732041</v>
      </c>
      <c r="L500">
        <f>[2]sens_100_spec_10_PSA!L500</f>
        <v>1</v>
      </c>
      <c r="M500">
        <f>[2]sens_100_spec_10_PSA!M500</f>
        <v>0</v>
      </c>
    </row>
    <row r="501" spans="1:13" x14ac:dyDescent="0.25">
      <c r="A501">
        <f>[2]sens_100_spec_10_PSA!A501</f>
        <v>500</v>
      </c>
      <c r="B501">
        <f>[2]sens_100_spec_10_PSA!B501</f>
        <v>1</v>
      </c>
      <c r="C501" t="str">
        <f>[2]sens_100_spec_10_PSA!C501</f>
        <v>NA</v>
      </c>
      <c r="D501">
        <f>[2]sens_100_spec_10_PSA!D501</f>
        <v>1</v>
      </c>
      <c r="E501" s="1">
        <f>[2]sens_100_spec_10_PSA!E501</f>
        <v>0.15090000000000001</v>
      </c>
      <c r="F501" s="1">
        <f>[2]sens_100_spec_10_PSA!F501</f>
        <v>2.41E-2</v>
      </c>
      <c r="G501" s="2">
        <f>[2]sens_100_spec_10_PSA!G501</f>
        <v>19.743022304148301</v>
      </c>
      <c r="H501" s="2">
        <f>[2]sens_100_spec_10_PSA!H501</f>
        <v>13.442271801035099</v>
      </c>
      <c r="I501" s="2">
        <f>[2]sens_100_spec_10_PSA!I501</f>
        <v>7.9988286261052597</v>
      </c>
      <c r="J501" s="3">
        <f>[2]sens_100_spec_10_PSA!J501</f>
        <v>270139.72887383797</v>
      </c>
      <c r="K501" s="3">
        <f>[2]sens_100_spec_10_PSA!K501</f>
        <v>156804.444953147</v>
      </c>
      <c r="L501">
        <f>[2]sens_100_spec_10_PSA!L501</f>
        <v>1</v>
      </c>
      <c r="M501">
        <f>[2]sens_100_spec_10_PSA!M501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F2BFD-27D3-443A-A1FD-7C6D58B1A68E}">
  <sheetPr codeName="Sheet3"/>
  <dimension ref="A1:M501"/>
  <sheetViews>
    <sheetView workbookViewId="0">
      <selection activeCell="F15" sqref="F15"/>
    </sheetView>
  </sheetViews>
  <sheetFormatPr defaultRowHeight="15" x14ac:dyDescent="0.25"/>
  <cols>
    <col min="1" max="1" width="15" bestFit="1" customWidth="1"/>
    <col min="3" max="3" width="8.5703125" bestFit="1" customWidth="1"/>
    <col min="4" max="4" width="27.5703125" bestFit="1" customWidth="1"/>
    <col min="5" max="5" width="32.7109375" bestFit="1" customWidth="1"/>
    <col min="6" max="6" width="46.42578125" bestFit="1" customWidth="1"/>
    <col min="10" max="11" width="11.140625" bestFit="1" customWidth="1"/>
  </cols>
  <sheetData>
    <row r="1" spans="1:13" x14ac:dyDescent="0.25">
      <c r="A1" t="s">
        <v>0</v>
      </c>
      <c r="B1" t="str">
        <f>[1]sens_0_spec_90_PSA!B1</f>
        <v>Sens_DR</v>
      </c>
      <c r="C1" t="str">
        <f>[1]sens_0_spec_90_PSA!C1</f>
        <v>Spec_DR</v>
      </c>
      <c r="D1" t="str">
        <f>[1]sens_0_spec_90_PSA!D1</f>
        <v>Number_recieving_MTC_care</v>
      </c>
      <c r="E1" t="str">
        <f>[1]sens_0_spec_90_PSA!E1</f>
        <v>proportion_died_before_discharge</v>
      </c>
      <c r="F1" t="str">
        <f>[1]sens_0_spec_90_PSA!F1</f>
        <v>proportion_died_between_discharge_and_1_year</v>
      </c>
      <c r="G1" t="str">
        <f>[1]sens_0_spec_90_PSA!G1</f>
        <v>Years_lived</v>
      </c>
      <c r="H1" t="str">
        <f>[1]sens_0_spec_90_PSA!H1</f>
        <v>undiscounted_QALYs</v>
      </c>
      <c r="I1" t="str">
        <f>[1]sens_0_spec_90_PSA!I1</f>
        <v>discounted_QALYs</v>
      </c>
      <c r="J1" t="str">
        <f>[1]sens_0_spec_90_PSA!J1</f>
        <v>undiscounted_Costs</v>
      </c>
      <c r="K1" t="str">
        <f>[1]sens_0_spec_90_PSA!K1</f>
        <v>discounted_Costs</v>
      </c>
      <c r="L1" t="str">
        <f>[1]sens_0_spec_90_PSA!L1</f>
        <v>proportion_ISS_over_16</v>
      </c>
      <c r="M1" t="str">
        <f>[1]sens_0_spec_90_PSA!M1</f>
        <v>proportion_ISS_over_8_under_16</v>
      </c>
    </row>
    <row r="2" spans="1:13" x14ac:dyDescent="0.25">
      <c r="A2">
        <v>1</v>
      </c>
      <c r="B2">
        <f>[1]sens_0_spec_90_PSA!B2</f>
        <v>0</v>
      </c>
      <c r="C2" t="str">
        <f>[1]sens_0_spec_90_PSA!C2</f>
        <v>NA</v>
      </c>
      <c r="D2">
        <f>[1]sens_0_spec_90_PSA!D2</f>
        <v>0</v>
      </c>
      <c r="E2" s="1">
        <f>[1]sens_0_spec_90_PSA!E2</f>
        <v>0.21190000000000001</v>
      </c>
      <c r="F2" s="1">
        <f>[1]sens_0_spec_90_PSA!F2</f>
        <v>4.99E-2</v>
      </c>
      <c r="G2" s="2">
        <f>[1]sens_0_spec_90_PSA!G2</f>
        <v>17.631805903270202</v>
      </c>
      <c r="H2" s="2">
        <f>[1]sens_0_spec_90_PSA!H2</f>
        <v>12.580097745072001</v>
      </c>
      <c r="I2" s="2">
        <f>[1]sens_0_spec_90_PSA!I2</f>
        <v>7.5077767282872703</v>
      </c>
      <c r="J2" s="3">
        <f>[1]sens_0_spec_90_PSA!J2</f>
        <v>182555.52945799599</v>
      </c>
      <c r="K2" s="3">
        <f>[1]sens_0_spec_90_PSA!K2</f>
        <v>108144.657838156</v>
      </c>
      <c r="L2">
        <f>[1]sens_0_spec_90_PSA!L2</f>
        <v>1</v>
      </c>
      <c r="M2">
        <f>[1]sens_0_spec_90_PSA!M2</f>
        <v>0</v>
      </c>
    </row>
    <row r="3" spans="1:13" x14ac:dyDescent="0.25">
      <c r="A3">
        <v>2</v>
      </c>
      <c r="B3">
        <f>[1]sens_0_spec_90_PSA!B3</f>
        <v>0</v>
      </c>
      <c r="C3" t="str">
        <f>[1]sens_0_spec_90_PSA!C3</f>
        <v>NA</v>
      </c>
      <c r="D3">
        <f>[1]sens_0_spec_90_PSA!D3</f>
        <v>0</v>
      </c>
      <c r="E3" s="1">
        <f>[1]sens_0_spec_90_PSA!E3</f>
        <v>0.2263</v>
      </c>
      <c r="F3" s="1">
        <f>[1]sens_0_spec_90_PSA!F3</f>
        <v>4.8800000000000003E-2</v>
      </c>
      <c r="G3" s="2">
        <f>[1]sens_0_spec_90_PSA!G3</f>
        <v>16.109416605283599</v>
      </c>
      <c r="H3" s="2">
        <f>[1]sens_0_spec_90_PSA!H3</f>
        <v>12.6962031092055</v>
      </c>
      <c r="I3" s="2">
        <f>[1]sens_0_spec_90_PSA!I3</f>
        <v>7.7317906267995804</v>
      </c>
      <c r="J3" s="3">
        <f>[1]sens_0_spec_90_PSA!J3</f>
        <v>156742.61829400799</v>
      </c>
      <c r="K3" s="3">
        <f>[1]sens_0_spec_90_PSA!K3</f>
        <v>96513.837566222894</v>
      </c>
      <c r="L3">
        <f>[1]sens_0_spec_90_PSA!L3</f>
        <v>1</v>
      </c>
      <c r="M3">
        <f>[1]sens_0_spec_90_PSA!M3</f>
        <v>0</v>
      </c>
    </row>
    <row r="4" spans="1:13" x14ac:dyDescent="0.25">
      <c r="A4">
        <v>3</v>
      </c>
      <c r="B4">
        <f>[1]sens_0_spec_90_PSA!B4</f>
        <v>0</v>
      </c>
      <c r="C4" t="str">
        <f>[1]sens_0_spec_90_PSA!C4</f>
        <v>NA</v>
      </c>
      <c r="D4">
        <f>[1]sens_0_spec_90_PSA!D4</f>
        <v>0</v>
      </c>
      <c r="E4" s="1">
        <f>[1]sens_0_spec_90_PSA!E4</f>
        <v>0.1799</v>
      </c>
      <c r="F4" s="1">
        <f>[1]sens_0_spec_90_PSA!F4</f>
        <v>4.3299999999999998E-2</v>
      </c>
      <c r="G4" s="2">
        <f>[1]sens_0_spec_90_PSA!G4</f>
        <v>16.703700616986701</v>
      </c>
      <c r="H4" s="2">
        <f>[1]sens_0_spec_90_PSA!H4</f>
        <v>12.093400895103001</v>
      </c>
      <c r="I4" s="2">
        <f>[1]sens_0_spec_90_PSA!I4</f>
        <v>7.45120445151555</v>
      </c>
      <c r="J4" s="3">
        <f>[1]sens_0_spec_90_PSA!J4</f>
        <v>179345.22341482699</v>
      </c>
      <c r="K4" s="3">
        <f>[1]sens_0_spec_90_PSA!K4</f>
        <v>110756.03978756801</v>
      </c>
      <c r="L4">
        <f>[1]sens_0_spec_90_PSA!L4</f>
        <v>1</v>
      </c>
      <c r="M4">
        <f>[1]sens_0_spec_90_PSA!M4</f>
        <v>0</v>
      </c>
    </row>
    <row r="5" spans="1:13" x14ac:dyDescent="0.25">
      <c r="A5">
        <v>4</v>
      </c>
      <c r="B5">
        <f>[1]sens_0_spec_90_PSA!B5</f>
        <v>0</v>
      </c>
      <c r="C5" t="str">
        <f>[1]sens_0_spec_90_PSA!C5</f>
        <v>NA</v>
      </c>
      <c r="D5">
        <f>[1]sens_0_spec_90_PSA!D5</f>
        <v>0</v>
      </c>
      <c r="E5" s="1">
        <f>[1]sens_0_spec_90_PSA!E5</f>
        <v>0.15820000000000001</v>
      </c>
      <c r="F5" s="1">
        <f>[1]sens_0_spec_90_PSA!F5</f>
        <v>4.3900000000000002E-2</v>
      </c>
      <c r="G5" s="2">
        <f>[1]sens_0_spec_90_PSA!G5</f>
        <v>18.621213079716</v>
      </c>
      <c r="H5" s="2">
        <f>[1]sens_0_spec_90_PSA!H5</f>
        <v>13.6536379601985</v>
      </c>
      <c r="I5" s="2">
        <f>[1]sens_0_spec_90_PSA!I5</f>
        <v>8.1788172351023007</v>
      </c>
      <c r="J5" s="3">
        <f>[1]sens_0_spec_90_PSA!J5</f>
        <v>280247.65123043302</v>
      </c>
      <c r="K5" s="3">
        <f>[1]sens_0_spec_90_PSA!K5</f>
        <v>163202.913266346</v>
      </c>
      <c r="L5">
        <f>[1]sens_0_spec_90_PSA!L5</f>
        <v>1</v>
      </c>
      <c r="M5">
        <f>[1]sens_0_spec_90_PSA!M5</f>
        <v>0</v>
      </c>
    </row>
    <row r="6" spans="1:13" x14ac:dyDescent="0.25">
      <c r="A6">
        <v>5</v>
      </c>
      <c r="B6">
        <f>[1]sens_0_spec_90_PSA!B6</f>
        <v>0</v>
      </c>
      <c r="C6" t="str">
        <f>[1]sens_0_spec_90_PSA!C6</f>
        <v>NA</v>
      </c>
      <c r="D6">
        <f>[1]sens_0_spec_90_PSA!D6</f>
        <v>0</v>
      </c>
      <c r="E6" s="1">
        <f>[1]sens_0_spec_90_PSA!E6</f>
        <v>0.16339999999999999</v>
      </c>
      <c r="F6" s="1">
        <f>[1]sens_0_spec_90_PSA!F6</f>
        <v>2.87E-2</v>
      </c>
      <c r="G6" s="2">
        <f>[1]sens_0_spec_90_PSA!G6</f>
        <v>18.968566380673099</v>
      </c>
      <c r="H6" s="2">
        <f>[1]sens_0_spec_90_PSA!H6</f>
        <v>14.290644748812401</v>
      </c>
      <c r="I6" s="2">
        <f>[1]sens_0_spec_90_PSA!I6</f>
        <v>8.5462484127584304</v>
      </c>
      <c r="J6" s="3">
        <f>[1]sens_0_spec_90_PSA!J6</f>
        <v>258201.550408512</v>
      </c>
      <c r="K6" s="3">
        <f>[1]sens_0_spec_90_PSA!K6</f>
        <v>150677.06134947401</v>
      </c>
      <c r="L6">
        <f>[1]sens_0_spec_90_PSA!L6</f>
        <v>1</v>
      </c>
      <c r="M6">
        <f>[1]sens_0_spec_90_PSA!M6</f>
        <v>0</v>
      </c>
    </row>
    <row r="7" spans="1:13" x14ac:dyDescent="0.25">
      <c r="A7">
        <v>6</v>
      </c>
      <c r="B7">
        <f>[1]sens_0_spec_90_PSA!B7</f>
        <v>0</v>
      </c>
      <c r="C7" t="str">
        <f>[1]sens_0_spec_90_PSA!C7</f>
        <v>NA</v>
      </c>
      <c r="D7">
        <f>[1]sens_0_spec_90_PSA!D7</f>
        <v>0</v>
      </c>
      <c r="E7" s="1">
        <f>[1]sens_0_spec_90_PSA!E7</f>
        <v>0.21379999999999999</v>
      </c>
      <c r="F7" s="1">
        <f>[1]sens_0_spec_90_PSA!F7</f>
        <v>4.6199999999999998E-2</v>
      </c>
      <c r="G7" s="2">
        <f>[1]sens_0_spec_90_PSA!G7</f>
        <v>17.333676761959801</v>
      </c>
      <c r="H7" s="2">
        <f>[1]sens_0_spec_90_PSA!H7</f>
        <v>13.669809012553699</v>
      </c>
      <c r="I7" s="2">
        <f>[1]sens_0_spec_90_PSA!I7</f>
        <v>8.2265943752777897</v>
      </c>
      <c r="J7" s="3">
        <f>[1]sens_0_spec_90_PSA!J7</f>
        <v>173062.570854308</v>
      </c>
      <c r="K7" s="3">
        <f>[1]sens_0_spec_90_PSA!K7</f>
        <v>104008.303315157</v>
      </c>
      <c r="L7">
        <f>[1]sens_0_spec_90_PSA!L7</f>
        <v>1</v>
      </c>
      <c r="M7">
        <f>[1]sens_0_spec_90_PSA!M7</f>
        <v>0</v>
      </c>
    </row>
    <row r="8" spans="1:13" x14ac:dyDescent="0.25">
      <c r="A8">
        <v>7</v>
      </c>
      <c r="B8">
        <f>[1]sens_0_spec_90_PSA!B8</f>
        <v>0</v>
      </c>
      <c r="C8" t="str">
        <f>[1]sens_0_spec_90_PSA!C8</f>
        <v>NA</v>
      </c>
      <c r="D8">
        <f>[1]sens_0_spec_90_PSA!D8</f>
        <v>0</v>
      </c>
      <c r="E8" s="1">
        <f>[1]sens_0_spec_90_PSA!E8</f>
        <v>0.15740000000000001</v>
      </c>
      <c r="F8" s="1">
        <f>[1]sens_0_spec_90_PSA!F8</f>
        <v>6.3799999999999996E-2</v>
      </c>
      <c r="G8" s="2">
        <f>[1]sens_0_spec_90_PSA!G8</f>
        <v>18.171702104675699</v>
      </c>
      <c r="H8" s="2">
        <f>[1]sens_0_spec_90_PSA!H8</f>
        <v>13.544915627546899</v>
      </c>
      <c r="I8" s="2">
        <f>[1]sens_0_spec_90_PSA!I8</f>
        <v>8.1326048456268101</v>
      </c>
      <c r="J8" s="3">
        <f>[1]sens_0_spec_90_PSA!J8</f>
        <v>180966.51246048301</v>
      </c>
      <c r="K8" s="3">
        <f>[1]sens_0_spec_90_PSA!K8</f>
        <v>108423.24705716599</v>
      </c>
      <c r="L8">
        <f>[1]sens_0_spec_90_PSA!L8</f>
        <v>1</v>
      </c>
      <c r="M8">
        <f>[1]sens_0_spec_90_PSA!M8</f>
        <v>0</v>
      </c>
    </row>
    <row r="9" spans="1:13" x14ac:dyDescent="0.25">
      <c r="A9">
        <v>8</v>
      </c>
      <c r="B9">
        <f>[1]sens_0_spec_90_PSA!B9</f>
        <v>0</v>
      </c>
      <c r="C9" t="str">
        <f>[1]sens_0_spec_90_PSA!C9</f>
        <v>NA</v>
      </c>
      <c r="D9">
        <f>[1]sens_0_spec_90_PSA!D9</f>
        <v>0</v>
      </c>
      <c r="E9" s="1">
        <f>[1]sens_0_spec_90_PSA!E9</f>
        <v>0.26860000000000001</v>
      </c>
      <c r="F9" s="1">
        <f>[1]sens_0_spec_90_PSA!F9</f>
        <v>3.4200000000000001E-2</v>
      </c>
      <c r="G9" s="2">
        <f>[1]sens_0_spec_90_PSA!G9</f>
        <v>16.591360156837101</v>
      </c>
      <c r="H9" s="2">
        <f>[1]sens_0_spec_90_PSA!H9</f>
        <v>11.3645095024253</v>
      </c>
      <c r="I9" s="2">
        <f>[1]sens_0_spec_90_PSA!I9</f>
        <v>6.8100274836357304</v>
      </c>
      <c r="J9" s="3">
        <f>[1]sens_0_spec_90_PSA!J9</f>
        <v>172398.53334121499</v>
      </c>
      <c r="K9" s="3">
        <f>[1]sens_0_spec_90_PSA!K9</f>
        <v>103295.68149041</v>
      </c>
      <c r="L9">
        <f>[1]sens_0_spec_90_PSA!L9</f>
        <v>1</v>
      </c>
      <c r="M9">
        <f>[1]sens_0_spec_90_PSA!M9</f>
        <v>0</v>
      </c>
    </row>
    <row r="10" spans="1:13" x14ac:dyDescent="0.25">
      <c r="A10">
        <v>9</v>
      </c>
      <c r="B10">
        <f>[1]sens_0_spec_90_PSA!B10</f>
        <v>0</v>
      </c>
      <c r="C10" t="str">
        <f>[1]sens_0_spec_90_PSA!C10</f>
        <v>NA</v>
      </c>
      <c r="D10">
        <f>[1]sens_0_spec_90_PSA!D10</f>
        <v>0</v>
      </c>
      <c r="E10" s="1">
        <f>[1]sens_0_spec_90_PSA!E10</f>
        <v>0.12039999999999999</v>
      </c>
      <c r="F10" s="1">
        <f>[1]sens_0_spec_90_PSA!F10</f>
        <v>4.6399999999999997E-2</v>
      </c>
      <c r="G10" s="2">
        <f>[1]sens_0_spec_90_PSA!G10</f>
        <v>20.327276256720999</v>
      </c>
      <c r="H10" s="2">
        <f>[1]sens_0_spec_90_PSA!H10</f>
        <v>14.3981691896633</v>
      </c>
      <c r="I10" s="2">
        <f>[1]sens_0_spec_90_PSA!I10</f>
        <v>8.5052634844433008</v>
      </c>
      <c r="J10" s="3">
        <f>[1]sens_0_spec_90_PSA!J10</f>
        <v>241594.73381838601</v>
      </c>
      <c r="K10" s="3">
        <f>[1]sens_0_spec_90_PSA!K10</f>
        <v>139402.238861708</v>
      </c>
      <c r="L10">
        <f>[1]sens_0_spec_90_PSA!L10</f>
        <v>1</v>
      </c>
      <c r="M10">
        <f>[1]sens_0_spec_90_PSA!M10</f>
        <v>0</v>
      </c>
    </row>
    <row r="11" spans="1:13" x14ac:dyDescent="0.25">
      <c r="A11">
        <v>10</v>
      </c>
      <c r="B11">
        <f>[1]sens_0_spec_90_PSA!B11</f>
        <v>0</v>
      </c>
      <c r="C11" t="str">
        <f>[1]sens_0_spec_90_PSA!C11</f>
        <v>NA</v>
      </c>
      <c r="D11">
        <f>[1]sens_0_spec_90_PSA!D11</f>
        <v>0</v>
      </c>
      <c r="E11" s="1">
        <f>[1]sens_0_spec_90_PSA!E11</f>
        <v>0.23899999999999999</v>
      </c>
      <c r="F11" s="1">
        <f>[1]sens_0_spec_90_PSA!F11</f>
        <v>4.3299999999999998E-2</v>
      </c>
      <c r="G11" s="2">
        <f>[1]sens_0_spec_90_PSA!G11</f>
        <v>16.933389738112801</v>
      </c>
      <c r="H11" s="2">
        <f>[1]sens_0_spec_90_PSA!H11</f>
        <v>11.32958206684</v>
      </c>
      <c r="I11" s="2">
        <f>[1]sens_0_spec_90_PSA!I11</f>
        <v>6.80221217608503</v>
      </c>
      <c r="J11" s="3">
        <f>[1]sens_0_spec_90_PSA!J11</f>
        <v>160948.01052280501</v>
      </c>
      <c r="K11" s="3">
        <f>[1]sens_0_spec_90_PSA!K11</f>
        <v>97237.516426479604</v>
      </c>
      <c r="L11">
        <f>[1]sens_0_spec_90_PSA!L11</f>
        <v>1</v>
      </c>
      <c r="M11">
        <f>[1]sens_0_spec_90_PSA!M11</f>
        <v>0</v>
      </c>
    </row>
    <row r="12" spans="1:13" x14ac:dyDescent="0.25">
      <c r="A12">
        <v>11</v>
      </c>
      <c r="B12">
        <f>[1]sens_0_spec_90_PSA!B12</f>
        <v>0</v>
      </c>
      <c r="C12" t="str">
        <f>[1]sens_0_spec_90_PSA!C12</f>
        <v>NA</v>
      </c>
      <c r="D12">
        <f>[1]sens_0_spec_90_PSA!D12</f>
        <v>0</v>
      </c>
      <c r="E12" s="1">
        <f>[1]sens_0_spec_90_PSA!E12</f>
        <v>0.129</v>
      </c>
      <c r="F12" s="1">
        <f>[1]sens_0_spec_90_PSA!F12</f>
        <v>5.5800000000000002E-2</v>
      </c>
      <c r="G12" s="2">
        <f>[1]sens_0_spec_90_PSA!G12</f>
        <v>18.780416826454701</v>
      </c>
      <c r="H12" s="2">
        <f>[1]sens_0_spec_90_PSA!H12</f>
        <v>14.0679158737441</v>
      </c>
      <c r="I12" s="2">
        <f>[1]sens_0_spec_90_PSA!I12</f>
        <v>8.4318269093934095</v>
      </c>
      <c r="J12" s="3">
        <f>[1]sens_0_spec_90_PSA!J12</f>
        <v>216240.81446597801</v>
      </c>
      <c r="K12" s="3">
        <f>[1]sens_0_spec_90_PSA!K12</f>
        <v>127991.368796011</v>
      </c>
      <c r="L12">
        <f>[1]sens_0_spec_90_PSA!L12</f>
        <v>1</v>
      </c>
      <c r="M12">
        <f>[1]sens_0_spec_90_PSA!M12</f>
        <v>0</v>
      </c>
    </row>
    <row r="13" spans="1:13" x14ac:dyDescent="0.25">
      <c r="A13">
        <v>12</v>
      </c>
      <c r="B13">
        <f>[1]sens_0_spec_90_PSA!B13</f>
        <v>0</v>
      </c>
      <c r="C13" t="str">
        <f>[1]sens_0_spec_90_PSA!C13</f>
        <v>NA</v>
      </c>
      <c r="D13">
        <f>[1]sens_0_spec_90_PSA!D13</f>
        <v>0</v>
      </c>
      <c r="E13" s="1">
        <f>[1]sens_0_spec_90_PSA!E13</f>
        <v>0.21510000000000001</v>
      </c>
      <c r="F13" s="1">
        <f>[1]sens_0_spec_90_PSA!F13</f>
        <v>4.4699999999999997E-2</v>
      </c>
      <c r="G13" s="2">
        <f>[1]sens_0_spec_90_PSA!G13</f>
        <v>16.673093720368598</v>
      </c>
      <c r="H13" s="2">
        <f>[1]sens_0_spec_90_PSA!H13</f>
        <v>10.4551898173442</v>
      </c>
      <c r="I13" s="2">
        <f>[1]sens_0_spec_90_PSA!I13</f>
        <v>6.3436778444747297</v>
      </c>
      <c r="J13" s="3">
        <f>[1]sens_0_spec_90_PSA!J13</f>
        <v>184880.62178068201</v>
      </c>
      <c r="K13" s="3">
        <f>[1]sens_0_spec_90_PSA!K13</f>
        <v>111904.382445264</v>
      </c>
      <c r="L13">
        <f>[1]sens_0_spec_90_PSA!L13</f>
        <v>1</v>
      </c>
      <c r="M13">
        <f>[1]sens_0_spec_90_PSA!M13</f>
        <v>0</v>
      </c>
    </row>
    <row r="14" spans="1:13" x14ac:dyDescent="0.25">
      <c r="A14">
        <v>13</v>
      </c>
      <c r="B14">
        <f>[1]sens_0_spec_90_PSA!B14</f>
        <v>0</v>
      </c>
      <c r="C14" t="str">
        <f>[1]sens_0_spec_90_PSA!C14</f>
        <v>NA</v>
      </c>
      <c r="D14">
        <f>[1]sens_0_spec_90_PSA!D14</f>
        <v>0</v>
      </c>
      <c r="E14" s="1">
        <f>[1]sens_0_spec_90_PSA!E14</f>
        <v>0.1497</v>
      </c>
      <c r="F14" s="1">
        <f>[1]sens_0_spec_90_PSA!F14</f>
        <v>5.0900000000000001E-2</v>
      </c>
      <c r="G14" s="2">
        <f>[1]sens_0_spec_90_PSA!G14</f>
        <v>19.8060409002568</v>
      </c>
      <c r="H14" s="2">
        <f>[1]sens_0_spec_90_PSA!H14</f>
        <v>14.1766407717733</v>
      </c>
      <c r="I14" s="2">
        <f>[1]sens_0_spec_90_PSA!I14</f>
        <v>8.3520949820968404</v>
      </c>
      <c r="J14" s="3">
        <f>[1]sens_0_spec_90_PSA!J14</f>
        <v>208686.80109864101</v>
      </c>
      <c r="K14" s="3">
        <f>[1]sens_0_spec_90_PSA!K14</f>
        <v>120963.271966963</v>
      </c>
      <c r="L14">
        <f>[1]sens_0_spec_90_PSA!L14</f>
        <v>1</v>
      </c>
      <c r="M14">
        <f>[1]sens_0_spec_90_PSA!M14</f>
        <v>0</v>
      </c>
    </row>
    <row r="15" spans="1:13" x14ac:dyDescent="0.25">
      <c r="A15">
        <v>14</v>
      </c>
      <c r="B15">
        <f>[1]sens_0_spec_90_PSA!B15</f>
        <v>0</v>
      </c>
      <c r="C15" t="str">
        <f>[1]sens_0_spec_90_PSA!C15</f>
        <v>NA</v>
      </c>
      <c r="D15">
        <f>[1]sens_0_spec_90_PSA!D15</f>
        <v>0</v>
      </c>
      <c r="E15" s="1">
        <f>[1]sens_0_spec_90_PSA!E15</f>
        <v>0.25019999999999998</v>
      </c>
      <c r="F15" s="1">
        <f>[1]sens_0_spec_90_PSA!F15</f>
        <v>4.36E-2</v>
      </c>
      <c r="G15" s="2">
        <f>[1]sens_0_spec_90_PSA!G15</f>
        <v>15.241199643089001</v>
      </c>
      <c r="H15" s="2">
        <f>[1]sens_0_spec_90_PSA!H15</f>
        <v>10.7983181828752</v>
      </c>
      <c r="I15" s="2">
        <f>[1]sens_0_spec_90_PSA!I15</f>
        <v>6.6703172371726902</v>
      </c>
      <c r="J15" s="3">
        <f>[1]sens_0_spec_90_PSA!J15</f>
        <v>138061.297834475</v>
      </c>
      <c r="K15" s="3">
        <f>[1]sens_0_spec_90_PSA!K15</f>
        <v>86908.440147728499</v>
      </c>
      <c r="L15">
        <f>[1]sens_0_spec_90_PSA!L15</f>
        <v>1</v>
      </c>
      <c r="M15">
        <f>[1]sens_0_spec_90_PSA!M15</f>
        <v>0</v>
      </c>
    </row>
    <row r="16" spans="1:13" x14ac:dyDescent="0.25">
      <c r="A16">
        <v>15</v>
      </c>
      <c r="B16">
        <f>[1]sens_0_spec_90_PSA!B16</f>
        <v>0</v>
      </c>
      <c r="C16" t="str">
        <f>[1]sens_0_spec_90_PSA!C16</f>
        <v>NA</v>
      </c>
      <c r="D16">
        <f>[1]sens_0_spec_90_PSA!D16</f>
        <v>0</v>
      </c>
      <c r="E16" s="1">
        <f>[1]sens_0_spec_90_PSA!E16</f>
        <v>0.1447</v>
      </c>
      <c r="F16" s="1">
        <f>[1]sens_0_spec_90_PSA!F16</f>
        <v>4.3799999999999999E-2</v>
      </c>
      <c r="G16" s="2">
        <f>[1]sens_0_spec_90_PSA!G16</f>
        <v>18.2511185190946</v>
      </c>
      <c r="H16" s="2">
        <f>[1]sens_0_spec_90_PSA!H16</f>
        <v>12.3634175036463</v>
      </c>
      <c r="I16" s="2">
        <f>[1]sens_0_spec_90_PSA!I16</f>
        <v>7.4803501622454602</v>
      </c>
      <c r="J16" s="3">
        <f>[1]sens_0_spec_90_PSA!J16</f>
        <v>192327.08722038299</v>
      </c>
      <c r="K16" s="3">
        <f>[1]sens_0_spec_90_PSA!K16</f>
        <v>115959.043140536</v>
      </c>
      <c r="L16">
        <f>[1]sens_0_spec_90_PSA!L16</f>
        <v>1</v>
      </c>
      <c r="M16">
        <f>[1]sens_0_spec_90_PSA!M16</f>
        <v>0</v>
      </c>
    </row>
    <row r="17" spans="1:13" x14ac:dyDescent="0.25">
      <c r="A17">
        <v>16</v>
      </c>
      <c r="B17">
        <f>[1]sens_0_spec_90_PSA!B17</f>
        <v>0</v>
      </c>
      <c r="C17" t="str">
        <f>[1]sens_0_spec_90_PSA!C17</f>
        <v>NA</v>
      </c>
      <c r="D17">
        <f>[1]sens_0_spec_90_PSA!D17</f>
        <v>0</v>
      </c>
      <c r="E17" s="1">
        <f>[1]sens_0_spec_90_PSA!E17</f>
        <v>0.16139999999999999</v>
      </c>
      <c r="F17" s="1">
        <f>[1]sens_0_spec_90_PSA!F17</f>
        <v>5.3100000000000001E-2</v>
      </c>
      <c r="G17" s="2">
        <f>[1]sens_0_spec_90_PSA!G17</f>
        <v>18.385061907908</v>
      </c>
      <c r="H17" s="2">
        <f>[1]sens_0_spec_90_PSA!H17</f>
        <v>13.634236180181</v>
      </c>
      <c r="I17" s="2">
        <f>[1]sens_0_spec_90_PSA!I17</f>
        <v>8.1828242872223793</v>
      </c>
      <c r="J17" s="3">
        <f>[1]sens_0_spec_90_PSA!J17</f>
        <v>180508.61201641001</v>
      </c>
      <c r="K17" s="3">
        <f>[1]sens_0_spec_90_PSA!K17</f>
        <v>108162.662765815</v>
      </c>
      <c r="L17">
        <f>[1]sens_0_spec_90_PSA!L17</f>
        <v>1</v>
      </c>
      <c r="M17">
        <f>[1]sens_0_spec_90_PSA!M17</f>
        <v>0</v>
      </c>
    </row>
    <row r="18" spans="1:13" x14ac:dyDescent="0.25">
      <c r="A18">
        <v>17</v>
      </c>
      <c r="B18">
        <f>[1]sens_0_spec_90_PSA!B18</f>
        <v>0</v>
      </c>
      <c r="C18" t="str">
        <f>[1]sens_0_spec_90_PSA!C18</f>
        <v>NA</v>
      </c>
      <c r="D18">
        <f>[1]sens_0_spec_90_PSA!D18</f>
        <v>0</v>
      </c>
      <c r="E18" s="1">
        <f>[1]sens_0_spec_90_PSA!E18</f>
        <v>0.23799999999999999</v>
      </c>
      <c r="F18" s="1">
        <f>[1]sens_0_spec_90_PSA!F18</f>
        <v>4.1599999999999998E-2</v>
      </c>
      <c r="G18" s="2">
        <f>[1]sens_0_spec_90_PSA!G18</f>
        <v>17.8708904850421</v>
      </c>
      <c r="H18" s="2">
        <f>[1]sens_0_spec_90_PSA!H18</f>
        <v>11.768058888929099</v>
      </c>
      <c r="I18" s="2">
        <f>[1]sens_0_spec_90_PSA!I18</f>
        <v>6.9467453032751498</v>
      </c>
      <c r="J18" s="3">
        <f>[1]sens_0_spec_90_PSA!J18</f>
        <v>172458.13401165401</v>
      </c>
      <c r="K18" s="3">
        <f>[1]sens_0_spec_90_PSA!K18</f>
        <v>101623.84357715301</v>
      </c>
      <c r="L18">
        <f>[1]sens_0_spec_90_PSA!L18</f>
        <v>1</v>
      </c>
      <c r="M18">
        <f>[1]sens_0_spec_90_PSA!M18</f>
        <v>0</v>
      </c>
    </row>
    <row r="19" spans="1:13" x14ac:dyDescent="0.25">
      <c r="A19">
        <v>18</v>
      </c>
      <c r="B19">
        <f>[1]sens_0_spec_90_PSA!B19</f>
        <v>0</v>
      </c>
      <c r="C19" t="str">
        <f>[1]sens_0_spec_90_PSA!C19</f>
        <v>NA</v>
      </c>
      <c r="D19">
        <f>[1]sens_0_spec_90_PSA!D19</f>
        <v>0</v>
      </c>
      <c r="E19" s="1">
        <f>[1]sens_0_spec_90_PSA!E19</f>
        <v>0.21990000000000001</v>
      </c>
      <c r="F19" s="1">
        <f>[1]sens_0_spec_90_PSA!F19</f>
        <v>4.5499999999999999E-2</v>
      </c>
      <c r="G19" s="2">
        <f>[1]sens_0_spec_90_PSA!G19</f>
        <v>16.854287247451602</v>
      </c>
      <c r="H19" s="2">
        <f>[1]sens_0_spec_90_PSA!H19</f>
        <v>12.421201980893599</v>
      </c>
      <c r="I19" s="2">
        <f>[1]sens_0_spec_90_PSA!I19</f>
        <v>7.4900299559168202</v>
      </c>
      <c r="J19" s="3">
        <f>[1]sens_0_spec_90_PSA!J19</f>
        <v>166804.44392073801</v>
      </c>
      <c r="K19" s="3">
        <f>[1]sens_0_spec_90_PSA!K19</f>
        <v>101110.02539649799</v>
      </c>
      <c r="L19">
        <f>[1]sens_0_spec_90_PSA!L19</f>
        <v>1</v>
      </c>
      <c r="M19">
        <f>[1]sens_0_spec_90_PSA!M19</f>
        <v>0</v>
      </c>
    </row>
    <row r="20" spans="1:13" x14ac:dyDescent="0.25">
      <c r="A20">
        <v>19</v>
      </c>
      <c r="B20">
        <f>[1]sens_0_spec_90_PSA!B20</f>
        <v>0</v>
      </c>
      <c r="C20" t="str">
        <f>[1]sens_0_spec_90_PSA!C20</f>
        <v>NA</v>
      </c>
      <c r="D20">
        <f>[1]sens_0_spec_90_PSA!D20</f>
        <v>0</v>
      </c>
      <c r="E20" s="1">
        <f>[1]sens_0_spec_90_PSA!E20</f>
        <v>0.17519999999999999</v>
      </c>
      <c r="F20" s="1">
        <f>[1]sens_0_spec_90_PSA!F20</f>
        <v>3.6600000000000001E-2</v>
      </c>
      <c r="G20" s="2">
        <f>[1]sens_0_spec_90_PSA!G20</f>
        <v>18.396148467521201</v>
      </c>
      <c r="H20" s="2">
        <f>[1]sens_0_spec_90_PSA!H20</f>
        <v>14.118922309380199</v>
      </c>
      <c r="I20" s="2">
        <f>[1]sens_0_spec_90_PSA!I20</f>
        <v>8.4597830977045607</v>
      </c>
      <c r="J20" s="3">
        <f>[1]sens_0_spec_90_PSA!J20</f>
        <v>189318.61435811699</v>
      </c>
      <c r="K20" s="3">
        <f>[1]sens_0_spec_90_PSA!K20</f>
        <v>113143.45153207501</v>
      </c>
      <c r="L20">
        <f>[1]sens_0_spec_90_PSA!L20</f>
        <v>1</v>
      </c>
      <c r="M20">
        <f>[1]sens_0_spec_90_PSA!M20</f>
        <v>0</v>
      </c>
    </row>
    <row r="21" spans="1:13" x14ac:dyDescent="0.25">
      <c r="A21">
        <v>20</v>
      </c>
      <c r="B21">
        <f>[1]sens_0_spec_90_PSA!B21</f>
        <v>0</v>
      </c>
      <c r="C21" t="str">
        <f>[1]sens_0_spec_90_PSA!C21</f>
        <v>NA</v>
      </c>
      <c r="D21">
        <f>[1]sens_0_spec_90_PSA!D21</f>
        <v>0</v>
      </c>
      <c r="E21" s="1">
        <f>[1]sens_0_spec_90_PSA!E21</f>
        <v>0.2515</v>
      </c>
      <c r="F21" s="1">
        <f>[1]sens_0_spec_90_PSA!F21</f>
        <v>4.1700000000000001E-2</v>
      </c>
      <c r="G21" s="2">
        <f>[1]sens_0_spec_90_PSA!G21</f>
        <v>17.059877560757201</v>
      </c>
      <c r="H21" s="2">
        <f>[1]sens_0_spec_90_PSA!H21</f>
        <v>11.440007958844999</v>
      </c>
      <c r="I21" s="2">
        <f>[1]sens_0_spec_90_PSA!I21</f>
        <v>6.8522651001841401</v>
      </c>
      <c r="J21" s="3">
        <f>[1]sens_0_spec_90_PSA!J21</f>
        <v>161566.492048318</v>
      </c>
      <c r="K21" s="3">
        <f>[1]sens_0_spec_90_PSA!K21</f>
        <v>97154.4139620731</v>
      </c>
      <c r="L21">
        <f>[1]sens_0_spec_90_PSA!L21</f>
        <v>1</v>
      </c>
      <c r="M21">
        <f>[1]sens_0_spec_90_PSA!M21</f>
        <v>0</v>
      </c>
    </row>
    <row r="22" spans="1:13" x14ac:dyDescent="0.25">
      <c r="A22">
        <v>21</v>
      </c>
      <c r="B22">
        <f>[1]sens_0_spec_90_PSA!B22</f>
        <v>0</v>
      </c>
      <c r="C22" t="str">
        <f>[1]sens_0_spec_90_PSA!C22</f>
        <v>NA</v>
      </c>
      <c r="D22">
        <f>[1]sens_0_spec_90_PSA!D22</f>
        <v>0</v>
      </c>
      <c r="E22" s="1">
        <f>[1]sens_0_spec_90_PSA!E22</f>
        <v>0.28739999999999999</v>
      </c>
      <c r="F22" s="1">
        <f>[1]sens_0_spec_90_PSA!F22</f>
        <v>4.7500000000000001E-2</v>
      </c>
      <c r="G22" s="2">
        <f>[1]sens_0_spec_90_PSA!G22</f>
        <v>15.3666877882879</v>
      </c>
      <c r="H22" s="2">
        <f>[1]sens_0_spec_90_PSA!H22</f>
        <v>11.2149220681718</v>
      </c>
      <c r="I22" s="2">
        <f>[1]sens_0_spec_90_PSA!I22</f>
        <v>6.7699934046668799</v>
      </c>
      <c r="J22" s="3">
        <f>[1]sens_0_spec_90_PSA!J22</f>
        <v>181269.25321644699</v>
      </c>
      <c r="K22" s="3">
        <f>[1]sens_0_spec_90_PSA!K22</f>
        <v>108799.645164313</v>
      </c>
      <c r="L22">
        <f>[1]sens_0_spec_90_PSA!L22</f>
        <v>1</v>
      </c>
      <c r="M22">
        <f>[1]sens_0_spec_90_PSA!M22</f>
        <v>0</v>
      </c>
    </row>
    <row r="23" spans="1:13" x14ac:dyDescent="0.25">
      <c r="A23">
        <v>22</v>
      </c>
      <c r="B23">
        <f>[1]sens_0_spec_90_PSA!B23</f>
        <v>0</v>
      </c>
      <c r="C23" t="str">
        <f>[1]sens_0_spec_90_PSA!C23</f>
        <v>NA</v>
      </c>
      <c r="D23">
        <f>[1]sens_0_spec_90_PSA!D23</f>
        <v>0</v>
      </c>
      <c r="E23" s="1">
        <f>[1]sens_0_spec_90_PSA!E23</f>
        <v>0.2661</v>
      </c>
      <c r="F23" s="1">
        <f>[1]sens_0_spec_90_PSA!F23</f>
        <v>4.1099999999999998E-2</v>
      </c>
      <c r="G23" s="2">
        <f>[1]sens_0_spec_90_PSA!G23</f>
        <v>15.768709376688101</v>
      </c>
      <c r="H23" s="2">
        <f>[1]sens_0_spec_90_PSA!H23</f>
        <v>12.165958940760101</v>
      </c>
      <c r="I23" s="2">
        <f>[1]sens_0_spec_90_PSA!I23</f>
        <v>7.3693562118017999</v>
      </c>
      <c r="J23" s="3">
        <f>[1]sens_0_spec_90_PSA!J23</f>
        <v>201435.59236761401</v>
      </c>
      <c r="K23" s="3">
        <f>[1]sens_0_spec_90_PSA!K23</f>
        <v>121034.408200971</v>
      </c>
      <c r="L23">
        <f>[1]sens_0_spec_90_PSA!L23</f>
        <v>1</v>
      </c>
      <c r="M23">
        <f>[1]sens_0_spec_90_PSA!M23</f>
        <v>0</v>
      </c>
    </row>
    <row r="24" spans="1:13" x14ac:dyDescent="0.25">
      <c r="A24">
        <v>23</v>
      </c>
      <c r="B24">
        <f>[1]sens_0_spec_90_PSA!B24</f>
        <v>0</v>
      </c>
      <c r="C24" t="str">
        <f>[1]sens_0_spec_90_PSA!C24</f>
        <v>NA</v>
      </c>
      <c r="D24">
        <f>[1]sens_0_spec_90_PSA!D24</f>
        <v>0</v>
      </c>
      <c r="E24" s="1">
        <f>[1]sens_0_spec_90_PSA!E24</f>
        <v>0.26419999999999999</v>
      </c>
      <c r="F24" s="1">
        <f>[1]sens_0_spec_90_PSA!F24</f>
        <v>2.9499999999999998E-2</v>
      </c>
      <c r="G24" s="2">
        <f>[1]sens_0_spec_90_PSA!G24</f>
        <v>16.235215537517099</v>
      </c>
      <c r="H24" s="2">
        <f>[1]sens_0_spec_90_PSA!H24</f>
        <v>11.534048684980799</v>
      </c>
      <c r="I24" s="2">
        <f>[1]sens_0_spec_90_PSA!I24</f>
        <v>6.9526146439150702</v>
      </c>
      <c r="J24" s="3">
        <f>[1]sens_0_spec_90_PSA!J24</f>
        <v>178275.42751673999</v>
      </c>
      <c r="K24" s="3">
        <f>[1]sens_0_spec_90_PSA!K24</f>
        <v>107116.50914492299</v>
      </c>
      <c r="L24">
        <f>[1]sens_0_spec_90_PSA!L24</f>
        <v>1</v>
      </c>
      <c r="M24">
        <f>[1]sens_0_spec_90_PSA!M24</f>
        <v>0</v>
      </c>
    </row>
    <row r="25" spans="1:13" x14ac:dyDescent="0.25">
      <c r="A25">
        <v>24</v>
      </c>
      <c r="B25">
        <f>[1]sens_0_spec_90_PSA!B25</f>
        <v>0</v>
      </c>
      <c r="C25" t="str">
        <f>[1]sens_0_spec_90_PSA!C25</f>
        <v>NA</v>
      </c>
      <c r="D25">
        <f>[1]sens_0_spec_90_PSA!D25</f>
        <v>0</v>
      </c>
      <c r="E25" s="1">
        <f>[1]sens_0_spec_90_PSA!E25</f>
        <v>0.21260000000000001</v>
      </c>
      <c r="F25" s="1">
        <f>[1]sens_0_spec_90_PSA!F25</f>
        <v>3.4099999999999998E-2</v>
      </c>
      <c r="G25" s="2">
        <f>[1]sens_0_spec_90_PSA!G25</f>
        <v>17.172672735548201</v>
      </c>
      <c r="H25" s="2">
        <f>[1]sens_0_spec_90_PSA!H25</f>
        <v>11.610789097067</v>
      </c>
      <c r="I25" s="2">
        <f>[1]sens_0_spec_90_PSA!I25</f>
        <v>7.0287448154200201</v>
      </c>
      <c r="J25" s="3">
        <f>[1]sens_0_spec_90_PSA!J25</f>
        <v>242953.79650102201</v>
      </c>
      <c r="K25" s="3">
        <f>[1]sens_0_spec_90_PSA!K25</f>
        <v>144286.31108066399</v>
      </c>
      <c r="L25">
        <f>[1]sens_0_spec_90_PSA!L25</f>
        <v>1</v>
      </c>
      <c r="M25">
        <f>[1]sens_0_spec_90_PSA!M25</f>
        <v>0</v>
      </c>
    </row>
    <row r="26" spans="1:13" x14ac:dyDescent="0.25">
      <c r="A26">
        <v>25</v>
      </c>
      <c r="B26">
        <f>[1]sens_0_spec_90_PSA!B26</f>
        <v>0</v>
      </c>
      <c r="C26" t="str">
        <f>[1]sens_0_spec_90_PSA!C26</f>
        <v>NA</v>
      </c>
      <c r="D26">
        <f>[1]sens_0_spec_90_PSA!D26</f>
        <v>0</v>
      </c>
      <c r="E26" s="1">
        <f>[1]sens_0_spec_90_PSA!E26</f>
        <v>0.16589999999999999</v>
      </c>
      <c r="F26" s="1">
        <f>[1]sens_0_spec_90_PSA!F26</f>
        <v>4.8300000000000003E-2</v>
      </c>
      <c r="G26" s="2">
        <f>[1]sens_0_spec_90_PSA!G26</f>
        <v>18.666151000675001</v>
      </c>
      <c r="H26" s="2">
        <f>[1]sens_0_spec_90_PSA!H26</f>
        <v>14.9640862791559</v>
      </c>
      <c r="I26" s="2">
        <f>[1]sens_0_spec_90_PSA!I26</f>
        <v>8.9468643858571699</v>
      </c>
      <c r="J26" s="3">
        <f>[1]sens_0_spec_90_PSA!J26</f>
        <v>222953.78533144001</v>
      </c>
      <c r="K26" s="3">
        <f>[1]sens_0_spec_90_PSA!K26</f>
        <v>131403.97359176999</v>
      </c>
      <c r="L26">
        <f>[1]sens_0_spec_90_PSA!L26</f>
        <v>1</v>
      </c>
      <c r="M26">
        <f>[1]sens_0_spec_90_PSA!M26</f>
        <v>0</v>
      </c>
    </row>
    <row r="27" spans="1:13" x14ac:dyDescent="0.25">
      <c r="A27">
        <v>26</v>
      </c>
      <c r="B27">
        <f>[1]sens_0_spec_90_PSA!B27</f>
        <v>0</v>
      </c>
      <c r="C27" t="str">
        <f>[1]sens_0_spec_90_PSA!C27</f>
        <v>NA</v>
      </c>
      <c r="D27">
        <f>[1]sens_0_spec_90_PSA!D27</f>
        <v>0</v>
      </c>
      <c r="E27" s="1">
        <f>[1]sens_0_spec_90_PSA!E27</f>
        <v>0.1222</v>
      </c>
      <c r="F27" s="1">
        <f>[1]sens_0_spec_90_PSA!F27</f>
        <v>5.4399999999999997E-2</v>
      </c>
      <c r="G27" s="2">
        <f>[1]sens_0_spec_90_PSA!G27</f>
        <v>19.290015204175099</v>
      </c>
      <c r="H27" s="2">
        <f>[1]sens_0_spec_90_PSA!H27</f>
        <v>13.877868487815</v>
      </c>
      <c r="I27" s="2">
        <f>[1]sens_0_spec_90_PSA!I27</f>
        <v>8.2885112601675797</v>
      </c>
      <c r="J27" s="3">
        <f>[1]sens_0_spec_90_PSA!J27</f>
        <v>244141.42944247901</v>
      </c>
      <c r="K27" s="3">
        <f>[1]sens_0_spec_90_PSA!K27</f>
        <v>142718.28437343301</v>
      </c>
      <c r="L27">
        <f>[1]sens_0_spec_90_PSA!L27</f>
        <v>1</v>
      </c>
      <c r="M27">
        <f>[1]sens_0_spec_90_PSA!M27</f>
        <v>0</v>
      </c>
    </row>
    <row r="28" spans="1:13" x14ac:dyDescent="0.25">
      <c r="A28">
        <v>27</v>
      </c>
      <c r="B28">
        <f>[1]sens_0_spec_90_PSA!B28</f>
        <v>0</v>
      </c>
      <c r="C28" t="str">
        <f>[1]sens_0_spec_90_PSA!C28</f>
        <v>NA</v>
      </c>
      <c r="D28">
        <f>[1]sens_0_spec_90_PSA!D28</f>
        <v>0</v>
      </c>
      <c r="E28" s="1">
        <f>[1]sens_0_spec_90_PSA!E28</f>
        <v>0.17849999999999999</v>
      </c>
      <c r="F28" s="1">
        <f>[1]sens_0_spec_90_PSA!F28</f>
        <v>3.8199999999999998E-2</v>
      </c>
      <c r="G28" s="2">
        <f>[1]sens_0_spec_90_PSA!G28</f>
        <v>17.8627438571665</v>
      </c>
      <c r="H28" s="2">
        <f>[1]sens_0_spec_90_PSA!H28</f>
        <v>14.113917028267799</v>
      </c>
      <c r="I28" s="2">
        <f>[1]sens_0_spec_90_PSA!I28</f>
        <v>8.5391348842286394</v>
      </c>
      <c r="J28" s="3">
        <f>[1]sens_0_spec_90_PSA!J28</f>
        <v>134944.67323142299</v>
      </c>
      <c r="K28" s="3">
        <f>[1]sens_0_spec_90_PSA!K28</f>
        <v>83327.433858743301</v>
      </c>
      <c r="L28">
        <f>[1]sens_0_spec_90_PSA!L28</f>
        <v>1</v>
      </c>
      <c r="M28">
        <f>[1]sens_0_spec_90_PSA!M28</f>
        <v>0</v>
      </c>
    </row>
    <row r="29" spans="1:13" x14ac:dyDescent="0.25">
      <c r="A29">
        <v>28</v>
      </c>
      <c r="B29">
        <f>[1]sens_0_spec_90_PSA!B29</f>
        <v>0</v>
      </c>
      <c r="C29" t="str">
        <f>[1]sens_0_spec_90_PSA!C29</f>
        <v>NA</v>
      </c>
      <c r="D29">
        <f>[1]sens_0_spec_90_PSA!D29</f>
        <v>0</v>
      </c>
      <c r="E29" s="1">
        <f>[1]sens_0_spec_90_PSA!E29</f>
        <v>0.1462</v>
      </c>
      <c r="F29" s="1">
        <f>[1]sens_0_spec_90_PSA!F29</f>
        <v>3.2000000000000001E-2</v>
      </c>
      <c r="G29" s="2">
        <f>[1]sens_0_spec_90_PSA!G29</f>
        <v>19.048076387763999</v>
      </c>
      <c r="H29" s="2">
        <f>[1]sens_0_spec_90_PSA!H29</f>
        <v>13.225221615766801</v>
      </c>
      <c r="I29" s="2">
        <f>[1]sens_0_spec_90_PSA!I29</f>
        <v>7.9258730118534597</v>
      </c>
      <c r="J29" s="3">
        <f>[1]sens_0_spec_90_PSA!J29</f>
        <v>194133.26951238501</v>
      </c>
      <c r="K29" s="3">
        <f>[1]sens_0_spec_90_PSA!K29</f>
        <v>115688.758905514</v>
      </c>
      <c r="L29">
        <f>[1]sens_0_spec_90_PSA!L29</f>
        <v>1</v>
      </c>
      <c r="M29">
        <f>[1]sens_0_spec_90_PSA!M29</f>
        <v>0</v>
      </c>
    </row>
    <row r="30" spans="1:13" x14ac:dyDescent="0.25">
      <c r="A30">
        <v>29</v>
      </c>
      <c r="B30">
        <f>[1]sens_0_spec_90_PSA!B30</f>
        <v>0</v>
      </c>
      <c r="C30" t="str">
        <f>[1]sens_0_spec_90_PSA!C30</f>
        <v>NA</v>
      </c>
      <c r="D30">
        <f>[1]sens_0_spec_90_PSA!D30</f>
        <v>0</v>
      </c>
      <c r="E30" s="1">
        <f>[1]sens_0_spec_90_PSA!E30</f>
        <v>0.22520000000000001</v>
      </c>
      <c r="F30" s="1">
        <f>[1]sens_0_spec_90_PSA!F30</f>
        <v>3.8300000000000001E-2</v>
      </c>
      <c r="G30" s="2">
        <f>[1]sens_0_spec_90_PSA!G30</f>
        <v>17.850348632632802</v>
      </c>
      <c r="H30" s="2">
        <f>[1]sens_0_spec_90_PSA!H30</f>
        <v>10.5390919966427</v>
      </c>
      <c r="I30" s="2">
        <f>[1]sens_0_spec_90_PSA!I30</f>
        <v>6.2600021134513799</v>
      </c>
      <c r="J30" s="3">
        <f>[1]sens_0_spec_90_PSA!J30</f>
        <v>166012.89851754799</v>
      </c>
      <c r="K30" s="3">
        <f>[1]sens_0_spec_90_PSA!K30</f>
        <v>98690.947340457395</v>
      </c>
      <c r="L30">
        <f>[1]sens_0_spec_90_PSA!L30</f>
        <v>1</v>
      </c>
      <c r="M30">
        <f>[1]sens_0_spec_90_PSA!M30</f>
        <v>0</v>
      </c>
    </row>
    <row r="31" spans="1:13" x14ac:dyDescent="0.25">
      <c r="A31">
        <v>30</v>
      </c>
      <c r="B31">
        <f>[1]sens_0_spec_90_PSA!B31</f>
        <v>0</v>
      </c>
      <c r="C31" t="str">
        <f>[1]sens_0_spec_90_PSA!C31</f>
        <v>NA</v>
      </c>
      <c r="D31">
        <f>[1]sens_0_spec_90_PSA!D31</f>
        <v>0</v>
      </c>
      <c r="E31" s="1">
        <f>[1]sens_0_spec_90_PSA!E31</f>
        <v>0.17849999999999999</v>
      </c>
      <c r="F31" s="1">
        <f>[1]sens_0_spec_90_PSA!F31</f>
        <v>3.6999999999999998E-2</v>
      </c>
      <c r="G31" s="2">
        <f>[1]sens_0_spec_90_PSA!G31</f>
        <v>17.7931763722097</v>
      </c>
      <c r="H31" s="2">
        <f>[1]sens_0_spec_90_PSA!H31</f>
        <v>12.903215293148699</v>
      </c>
      <c r="I31" s="2">
        <f>[1]sens_0_spec_90_PSA!I31</f>
        <v>7.7883006076900303</v>
      </c>
      <c r="J31" s="3">
        <f>[1]sens_0_spec_90_PSA!J31</f>
        <v>181117.83596602801</v>
      </c>
      <c r="K31" s="3">
        <f>[1]sens_0_spec_90_PSA!K31</f>
        <v>109314.959009807</v>
      </c>
      <c r="L31">
        <f>[1]sens_0_spec_90_PSA!L31</f>
        <v>1</v>
      </c>
      <c r="M31">
        <f>[1]sens_0_spec_90_PSA!M31</f>
        <v>0</v>
      </c>
    </row>
    <row r="32" spans="1:13" x14ac:dyDescent="0.25">
      <c r="A32">
        <v>31</v>
      </c>
      <c r="B32">
        <f>[1]sens_0_spec_90_PSA!B32</f>
        <v>0</v>
      </c>
      <c r="C32" t="str">
        <f>[1]sens_0_spec_90_PSA!C32</f>
        <v>NA</v>
      </c>
      <c r="D32">
        <f>[1]sens_0_spec_90_PSA!D32</f>
        <v>0</v>
      </c>
      <c r="E32" s="1">
        <f>[1]sens_0_spec_90_PSA!E32</f>
        <v>0.16120000000000001</v>
      </c>
      <c r="F32" s="1">
        <f>[1]sens_0_spec_90_PSA!F32</f>
        <v>3.3399999999999999E-2</v>
      </c>
      <c r="G32" s="2">
        <f>[1]sens_0_spec_90_PSA!G32</f>
        <v>18.2956663573577</v>
      </c>
      <c r="H32" s="2">
        <f>[1]sens_0_spec_90_PSA!H32</f>
        <v>14.085943520027699</v>
      </c>
      <c r="I32" s="2">
        <f>[1]sens_0_spec_90_PSA!I32</f>
        <v>8.5093135286556194</v>
      </c>
      <c r="J32" s="3">
        <f>[1]sens_0_spec_90_PSA!J32</f>
        <v>226297.29702165001</v>
      </c>
      <c r="K32" s="3">
        <f>[1]sens_0_spec_90_PSA!K32</f>
        <v>134796.86901801301</v>
      </c>
      <c r="L32">
        <f>[1]sens_0_spec_90_PSA!L32</f>
        <v>1</v>
      </c>
      <c r="M32">
        <f>[1]sens_0_spec_90_PSA!M32</f>
        <v>0</v>
      </c>
    </row>
    <row r="33" spans="1:13" x14ac:dyDescent="0.25">
      <c r="A33">
        <v>32</v>
      </c>
      <c r="B33">
        <f>[1]sens_0_spec_90_PSA!B33</f>
        <v>0</v>
      </c>
      <c r="C33" t="str">
        <f>[1]sens_0_spec_90_PSA!C33</f>
        <v>NA</v>
      </c>
      <c r="D33">
        <f>[1]sens_0_spec_90_PSA!D33</f>
        <v>0</v>
      </c>
      <c r="E33" s="1">
        <f>[1]sens_0_spec_90_PSA!E33</f>
        <v>0.22950000000000001</v>
      </c>
      <c r="F33" s="1">
        <f>[1]sens_0_spec_90_PSA!F33</f>
        <v>3.6200000000000003E-2</v>
      </c>
      <c r="G33" s="2">
        <f>[1]sens_0_spec_90_PSA!G33</f>
        <v>18.332041377066499</v>
      </c>
      <c r="H33" s="2">
        <f>[1]sens_0_spec_90_PSA!H33</f>
        <v>11.082974006656199</v>
      </c>
      <c r="I33" s="2">
        <f>[1]sens_0_spec_90_PSA!I33</f>
        <v>6.5402613176126003</v>
      </c>
      <c r="J33" s="3">
        <f>[1]sens_0_spec_90_PSA!J33</f>
        <v>173934.01379252801</v>
      </c>
      <c r="K33" s="3">
        <f>[1]sens_0_spec_90_PSA!K33</f>
        <v>102360.697812183</v>
      </c>
      <c r="L33">
        <f>[1]sens_0_spec_90_PSA!L33</f>
        <v>1</v>
      </c>
      <c r="M33">
        <f>[1]sens_0_spec_90_PSA!M33</f>
        <v>0</v>
      </c>
    </row>
    <row r="34" spans="1:13" x14ac:dyDescent="0.25">
      <c r="A34">
        <v>33</v>
      </c>
      <c r="B34">
        <f>[1]sens_0_spec_90_PSA!B34</f>
        <v>0</v>
      </c>
      <c r="C34" t="str">
        <f>[1]sens_0_spec_90_PSA!C34</f>
        <v>NA</v>
      </c>
      <c r="D34">
        <f>[1]sens_0_spec_90_PSA!D34</f>
        <v>0</v>
      </c>
      <c r="E34" s="1">
        <f>[1]sens_0_spec_90_PSA!E34</f>
        <v>0.21859999999999999</v>
      </c>
      <c r="F34" s="1">
        <f>[1]sens_0_spec_90_PSA!F34</f>
        <v>3.9699999999999999E-2</v>
      </c>
      <c r="G34" s="2">
        <f>[1]sens_0_spec_90_PSA!G34</f>
        <v>19.277372661457701</v>
      </c>
      <c r="H34" s="2">
        <f>[1]sens_0_spec_90_PSA!H34</f>
        <v>14.2933414173889</v>
      </c>
      <c r="I34" s="2">
        <f>[1]sens_0_spec_90_PSA!I34</f>
        <v>8.3390028905276292</v>
      </c>
      <c r="J34" s="3">
        <f>[1]sens_0_spec_90_PSA!J34</f>
        <v>174700.58327908101</v>
      </c>
      <c r="K34" s="3">
        <f>[1]sens_0_spec_90_PSA!K34</f>
        <v>101455.311670005</v>
      </c>
      <c r="L34">
        <f>[1]sens_0_spec_90_PSA!L34</f>
        <v>1</v>
      </c>
      <c r="M34">
        <f>[1]sens_0_spec_90_PSA!M34</f>
        <v>0</v>
      </c>
    </row>
    <row r="35" spans="1:13" x14ac:dyDescent="0.25">
      <c r="A35">
        <v>34</v>
      </c>
      <c r="B35">
        <f>[1]sens_0_spec_90_PSA!B35</f>
        <v>0</v>
      </c>
      <c r="C35" t="str">
        <f>[1]sens_0_spec_90_PSA!C35</f>
        <v>NA</v>
      </c>
      <c r="D35">
        <f>[1]sens_0_spec_90_PSA!D35</f>
        <v>0</v>
      </c>
      <c r="E35" s="1">
        <f>[1]sens_0_spec_90_PSA!E35</f>
        <v>0.1522</v>
      </c>
      <c r="F35" s="1">
        <f>[1]sens_0_spec_90_PSA!F35</f>
        <v>3.95E-2</v>
      </c>
      <c r="G35" s="2">
        <f>[1]sens_0_spec_90_PSA!G35</f>
        <v>18.982514626753598</v>
      </c>
      <c r="H35" s="2">
        <f>[1]sens_0_spec_90_PSA!H35</f>
        <v>14.6712968197342</v>
      </c>
      <c r="I35" s="2">
        <f>[1]sens_0_spec_90_PSA!I35</f>
        <v>8.7820015148803101</v>
      </c>
      <c r="J35" s="3">
        <f>[1]sens_0_spec_90_PSA!J35</f>
        <v>261415.87788560701</v>
      </c>
      <c r="K35" s="3">
        <f>[1]sens_0_spec_90_PSA!K35</f>
        <v>153038.50026862201</v>
      </c>
      <c r="L35">
        <f>[1]sens_0_spec_90_PSA!L35</f>
        <v>1</v>
      </c>
      <c r="M35">
        <f>[1]sens_0_spec_90_PSA!M35</f>
        <v>0</v>
      </c>
    </row>
    <row r="36" spans="1:13" x14ac:dyDescent="0.25">
      <c r="A36">
        <v>35</v>
      </c>
      <c r="B36">
        <f>[1]sens_0_spec_90_PSA!B36</f>
        <v>0</v>
      </c>
      <c r="C36" t="str">
        <f>[1]sens_0_spec_90_PSA!C36</f>
        <v>NA</v>
      </c>
      <c r="D36">
        <f>[1]sens_0_spec_90_PSA!D36</f>
        <v>0</v>
      </c>
      <c r="E36" s="1">
        <f>[1]sens_0_spec_90_PSA!E36</f>
        <v>0.2172</v>
      </c>
      <c r="F36" s="1">
        <f>[1]sens_0_spec_90_PSA!F36</f>
        <v>3.5499999999999997E-2</v>
      </c>
      <c r="G36" s="2">
        <f>[1]sens_0_spec_90_PSA!G36</f>
        <v>19.642383595415101</v>
      </c>
      <c r="H36" s="2">
        <f>[1]sens_0_spec_90_PSA!H36</f>
        <v>14.8108077519058</v>
      </c>
      <c r="I36" s="2">
        <f>[1]sens_0_spec_90_PSA!I36</f>
        <v>8.6018122212132297</v>
      </c>
      <c r="J36" s="3">
        <f>[1]sens_0_spec_90_PSA!J36</f>
        <v>168965.27440372499</v>
      </c>
      <c r="K36" s="3">
        <f>[1]sens_0_spec_90_PSA!K36</f>
        <v>97628.794437955905</v>
      </c>
      <c r="L36">
        <f>[1]sens_0_spec_90_PSA!L36</f>
        <v>1</v>
      </c>
      <c r="M36">
        <f>[1]sens_0_spec_90_PSA!M36</f>
        <v>0</v>
      </c>
    </row>
    <row r="37" spans="1:13" x14ac:dyDescent="0.25">
      <c r="A37">
        <v>36</v>
      </c>
      <c r="B37">
        <f>[1]sens_0_spec_90_PSA!B37</f>
        <v>0</v>
      </c>
      <c r="C37" t="str">
        <f>[1]sens_0_spec_90_PSA!C37</f>
        <v>NA</v>
      </c>
      <c r="D37">
        <f>[1]sens_0_spec_90_PSA!D37</f>
        <v>0</v>
      </c>
      <c r="E37" s="1">
        <f>[1]sens_0_spec_90_PSA!E37</f>
        <v>0.16370000000000001</v>
      </c>
      <c r="F37" s="1">
        <f>[1]sens_0_spec_90_PSA!F37</f>
        <v>3.8600000000000002E-2</v>
      </c>
      <c r="G37" s="2">
        <f>[1]sens_0_spec_90_PSA!G37</f>
        <v>19.641126460825699</v>
      </c>
      <c r="H37" s="2">
        <f>[1]sens_0_spec_90_PSA!H37</f>
        <v>14.129723332724</v>
      </c>
      <c r="I37" s="2">
        <f>[1]sens_0_spec_90_PSA!I37</f>
        <v>8.3505698362098997</v>
      </c>
      <c r="J37" s="3">
        <f>[1]sens_0_spec_90_PSA!J37</f>
        <v>225886.00093623501</v>
      </c>
      <c r="K37" s="3">
        <f>[1]sens_0_spec_90_PSA!K37</f>
        <v>131114.46867427201</v>
      </c>
      <c r="L37">
        <f>[1]sens_0_spec_90_PSA!L37</f>
        <v>1</v>
      </c>
      <c r="M37">
        <f>[1]sens_0_spec_90_PSA!M37</f>
        <v>0</v>
      </c>
    </row>
    <row r="38" spans="1:13" x14ac:dyDescent="0.25">
      <c r="A38">
        <v>37</v>
      </c>
      <c r="B38">
        <f>[1]sens_0_spec_90_PSA!B38</f>
        <v>0</v>
      </c>
      <c r="C38" t="str">
        <f>[1]sens_0_spec_90_PSA!C38</f>
        <v>NA</v>
      </c>
      <c r="D38">
        <f>[1]sens_0_spec_90_PSA!D38</f>
        <v>0</v>
      </c>
      <c r="E38" s="1">
        <f>[1]sens_0_spec_90_PSA!E38</f>
        <v>0.16489999999999999</v>
      </c>
      <c r="F38" s="1">
        <f>[1]sens_0_spec_90_PSA!F38</f>
        <v>4.7300000000000002E-2</v>
      </c>
      <c r="G38" s="2">
        <f>[1]sens_0_spec_90_PSA!G38</f>
        <v>20.147477623806601</v>
      </c>
      <c r="H38" s="2">
        <f>[1]sens_0_spec_90_PSA!H38</f>
        <v>15.654316352245701</v>
      </c>
      <c r="I38" s="2">
        <f>[1]sens_0_spec_90_PSA!I38</f>
        <v>9.1417923809147599</v>
      </c>
      <c r="J38" s="3">
        <f>[1]sens_0_spec_90_PSA!J38</f>
        <v>224314.64292095299</v>
      </c>
      <c r="K38" s="3">
        <f>[1]sens_0_spec_90_PSA!K38</f>
        <v>128182.963294473</v>
      </c>
      <c r="L38">
        <f>[1]sens_0_spec_90_PSA!L38</f>
        <v>1</v>
      </c>
      <c r="M38">
        <f>[1]sens_0_spec_90_PSA!M38</f>
        <v>0</v>
      </c>
    </row>
    <row r="39" spans="1:13" x14ac:dyDescent="0.25">
      <c r="A39">
        <v>38</v>
      </c>
      <c r="B39">
        <f>[1]sens_0_spec_90_PSA!B39</f>
        <v>0</v>
      </c>
      <c r="C39" t="str">
        <f>[1]sens_0_spec_90_PSA!C39</f>
        <v>NA</v>
      </c>
      <c r="D39">
        <f>[1]sens_0_spec_90_PSA!D39</f>
        <v>0</v>
      </c>
      <c r="E39" s="1">
        <f>[1]sens_0_spec_90_PSA!E39</f>
        <v>0.14960000000000001</v>
      </c>
      <c r="F39" s="1">
        <f>[1]sens_0_spec_90_PSA!F39</f>
        <v>4.7600000000000003E-2</v>
      </c>
      <c r="G39" s="2">
        <f>[1]sens_0_spec_90_PSA!G39</f>
        <v>18.486436263226999</v>
      </c>
      <c r="H39" s="2">
        <f>[1]sens_0_spec_90_PSA!H39</f>
        <v>13.1855897670956</v>
      </c>
      <c r="I39" s="2">
        <f>[1]sens_0_spec_90_PSA!I39</f>
        <v>7.9305275656690704</v>
      </c>
      <c r="J39" s="3">
        <f>[1]sens_0_spec_90_PSA!J39</f>
        <v>227741.99367225499</v>
      </c>
      <c r="K39" s="3">
        <f>[1]sens_0_spec_90_PSA!K39</f>
        <v>134865.02467325301</v>
      </c>
      <c r="L39">
        <f>[1]sens_0_spec_90_PSA!L39</f>
        <v>1</v>
      </c>
      <c r="M39">
        <f>[1]sens_0_spec_90_PSA!M39</f>
        <v>0</v>
      </c>
    </row>
    <row r="40" spans="1:13" x14ac:dyDescent="0.25">
      <c r="A40">
        <v>39</v>
      </c>
      <c r="B40">
        <f>[1]sens_0_spec_90_PSA!B40</f>
        <v>0</v>
      </c>
      <c r="C40" t="str">
        <f>[1]sens_0_spec_90_PSA!C40</f>
        <v>NA</v>
      </c>
      <c r="D40">
        <f>[1]sens_0_spec_90_PSA!D40</f>
        <v>0</v>
      </c>
      <c r="E40" s="1">
        <f>[1]sens_0_spec_90_PSA!E40</f>
        <v>0.1401</v>
      </c>
      <c r="F40" s="1">
        <f>[1]sens_0_spec_90_PSA!F40</f>
        <v>3.8100000000000002E-2</v>
      </c>
      <c r="G40" s="2">
        <f>[1]sens_0_spec_90_PSA!G40</f>
        <v>17.562527281341101</v>
      </c>
      <c r="H40" s="2">
        <f>[1]sens_0_spec_90_PSA!H40</f>
        <v>10.987381859021999</v>
      </c>
      <c r="I40" s="2">
        <f>[1]sens_0_spec_90_PSA!I40</f>
        <v>6.7334919657015702</v>
      </c>
      <c r="J40" s="3">
        <f>[1]sens_0_spec_90_PSA!J40</f>
        <v>168369.86503471099</v>
      </c>
      <c r="K40" s="3">
        <f>[1]sens_0_spec_90_PSA!K40</f>
        <v>104087.183111066</v>
      </c>
      <c r="L40">
        <f>[1]sens_0_spec_90_PSA!L40</f>
        <v>1</v>
      </c>
      <c r="M40">
        <f>[1]sens_0_spec_90_PSA!M40</f>
        <v>0</v>
      </c>
    </row>
    <row r="41" spans="1:13" x14ac:dyDescent="0.25">
      <c r="A41">
        <v>40</v>
      </c>
      <c r="B41">
        <f>[1]sens_0_spec_90_PSA!B41</f>
        <v>0</v>
      </c>
      <c r="C41" t="str">
        <f>[1]sens_0_spec_90_PSA!C41</f>
        <v>NA</v>
      </c>
      <c r="D41">
        <f>[1]sens_0_spec_90_PSA!D41</f>
        <v>0</v>
      </c>
      <c r="E41" s="1">
        <f>[1]sens_0_spec_90_PSA!E41</f>
        <v>0.17610000000000001</v>
      </c>
      <c r="F41" s="1">
        <f>[1]sens_0_spec_90_PSA!F41</f>
        <v>3.7100000000000001E-2</v>
      </c>
      <c r="G41" s="2">
        <f>[1]sens_0_spec_90_PSA!G41</f>
        <v>19.101152213970199</v>
      </c>
      <c r="H41" s="2">
        <f>[1]sens_0_spec_90_PSA!H41</f>
        <v>14.083591646359601</v>
      </c>
      <c r="I41" s="2">
        <f>[1]sens_0_spec_90_PSA!I41</f>
        <v>8.3337005047628807</v>
      </c>
      <c r="J41" s="3">
        <f>[1]sens_0_spec_90_PSA!J41</f>
        <v>316029.079161192</v>
      </c>
      <c r="K41" s="3">
        <f>[1]sens_0_spec_90_PSA!K41</f>
        <v>180813.664679487</v>
      </c>
      <c r="L41">
        <f>[1]sens_0_spec_90_PSA!L41</f>
        <v>1</v>
      </c>
      <c r="M41">
        <f>[1]sens_0_spec_90_PSA!M41</f>
        <v>0</v>
      </c>
    </row>
    <row r="42" spans="1:13" x14ac:dyDescent="0.25">
      <c r="A42">
        <v>41</v>
      </c>
      <c r="B42">
        <f>[1]sens_0_spec_90_PSA!B42</f>
        <v>0</v>
      </c>
      <c r="C42" t="str">
        <f>[1]sens_0_spec_90_PSA!C42</f>
        <v>NA</v>
      </c>
      <c r="D42">
        <f>[1]sens_0_spec_90_PSA!D42</f>
        <v>0</v>
      </c>
      <c r="E42" s="1">
        <f>[1]sens_0_spec_90_PSA!E42</f>
        <v>0.13089999999999999</v>
      </c>
      <c r="F42" s="1">
        <f>[1]sens_0_spec_90_PSA!F42</f>
        <v>5.9200000000000003E-2</v>
      </c>
      <c r="G42" s="2">
        <f>[1]sens_0_spec_90_PSA!G42</f>
        <v>19.025499748972599</v>
      </c>
      <c r="H42" s="2">
        <f>[1]sens_0_spec_90_PSA!H42</f>
        <v>12.6770048994648</v>
      </c>
      <c r="I42" s="2">
        <f>[1]sens_0_spec_90_PSA!I42</f>
        <v>7.5837255749771</v>
      </c>
      <c r="J42" s="3">
        <f>[1]sens_0_spec_90_PSA!J42</f>
        <v>149851.35568115301</v>
      </c>
      <c r="K42" s="3">
        <f>[1]sens_0_spec_90_PSA!K42</f>
        <v>90938.829085085206</v>
      </c>
      <c r="L42">
        <f>[1]sens_0_spec_90_PSA!L42</f>
        <v>1</v>
      </c>
      <c r="M42">
        <f>[1]sens_0_spec_90_PSA!M42</f>
        <v>0</v>
      </c>
    </row>
    <row r="43" spans="1:13" x14ac:dyDescent="0.25">
      <c r="A43">
        <v>42</v>
      </c>
      <c r="B43">
        <f>[1]sens_0_spec_90_PSA!B43</f>
        <v>0</v>
      </c>
      <c r="C43" t="str">
        <f>[1]sens_0_spec_90_PSA!C43</f>
        <v>NA</v>
      </c>
      <c r="D43">
        <f>[1]sens_0_spec_90_PSA!D43</f>
        <v>0</v>
      </c>
      <c r="E43" s="1">
        <f>[1]sens_0_spec_90_PSA!E43</f>
        <v>0.21579999999999999</v>
      </c>
      <c r="F43" s="1">
        <f>[1]sens_0_spec_90_PSA!F43</f>
        <v>4.2900000000000001E-2</v>
      </c>
      <c r="G43" s="2">
        <f>[1]sens_0_spec_90_PSA!G43</f>
        <v>17.819643977687502</v>
      </c>
      <c r="H43" s="2">
        <f>[1]sens_0_spec_90_PSA!H43</f>
        <v>12.677836504497799</v>
      </c>
      <c r="I43" s="2">
        <f>[1]sens_0_spec_90_PSA!I43</f>
        <v>7.5598270811628803</v>
      </c>
      <c r="J43" s="3">
        <f>[1]sens_0_spec_90_PSA!J43</f>
        <v>152223.89863741599</v>
      </c>
      <c r="K43" s="3">
        <f>[1]sens_0_spec_90_PSA!K43</f>
        <v>91308.141207028704</v>
      </c>
      <c r="L43">
        <f>[1]sens_0_spec_90_PSA!L43</f>
        <v>1</v>
      </c>
      <c r="M43">
        <f>[1]sens_0_spec_90_PSA!M43</f>
        <v>0</v>
      </c>
    </row>
    <row r="44" spans="1:13" x14ac:dyDescent="0.25">
      <c r="A44">
        <v>43</v>
      </c>
      <c r="B44">
        <f>[1]sens_0_spec_90_PSA!B44</f>
        <v>0</v>
      </c>
      <c r="C44" t="str">
        <f>[1]sens_0_spec_90_PSA!C44</f>
        <v>NA</v>
      </c>
      <c r="D44">
        <f>[1]sens_0_spec_90_PSA!D44</f>
        <v>0</v>
      </c>
      <c r="E44" s="1">
        <f>[1]sens_0_spec_90_PSA!E44</f>
        <v>0.15110000000000001</v>
      </c>
      <c r="F44" s="1">
        <f>[1]sens_0_spec_90_PSA!F44</f>
        <v>4.65E-2</v>
      </c>
      <c r="G44" s="2">
        <f>[1]sens_0_spec_90_PSA!G44</f>
        <v>19.195211826623499</v>
      </c>
      <c r="H44" s="2">
        <f>[1]sens_0_spec_90_PSA!H44</f>
        <v>13.3124130581896</v>
      </c>
      <c r="I44" s="2">
        <f>[1]sens_0_spec_90_PSA!I44</f>
        <v>7.9126231572484196</v>
      </c>
      <c r="J44" s="3">
        <f>[1]sens_0_spec_90_PSA!J44</f>
        <v>247395.28650257501</v>
      </c>
      <c r="K44" s="3">
        <f>[1]sens_0_spec_90_PSA!K44</f>
        <v>143879.89647369299</v>
      </c>
      <c r="L44">
        <f>[1]sens_0_spec_90_PSA!L44</f>
        <v>1</v>
      </c>
      <c r="M44">
        <f>[1]sens_0_spec_90_PSA!M44</f>
        <v>0</v>
      </c>
    </row>
    <row r="45" spans="1:13" x14ac:dyDescent="0.25">
      <c r="A45">
        <v>44</v>
      </c>
      <c r="B45">
        <f>[1]sens_0_spec_90_PSA!B45</f>
        <v>0</v>
      </c>
      <c r="C45" t="str">
        <f>[1]sens_0_spec_90_PSA!C45</f>
        <v>NA</v>
      </c>
      <c r="D45">
        <f>[1]sens_0_spec_90_PSA!D45</f>
        <v>0</v>
      </c>
      <c r="E45" s="1">
        <f>[1]sens_0_spec_90_PSA!E45</f>
        <v>0.2258</v>
      </c>
      <c r="F45" s="1">
        <f>[1]sens_0_spec_90_PSA!F45</f>
        <v>3.78E-2</v>
      </c>
      <c r="G45" s="2">
        <f>[1]sens_0_spec_90_PSA!G45</f>
        <v>17.879088181824901</v>
      </c>
      <c r="H45" s="2">
        <f>[1]sens_0_spec_90_PSA!H45</f>
        <v>12.9994521914915</v>
      </c>
      <c r="I45" s="2">
        <f>[1]sens_0_spec_90_PSA!I45</f>
        <v>7.7422517467352696</v>
      </c>
      <c r="J45" s="3">
        <f>[1]sens_0_spec_90_PSA!J45</f>
        <v>152257.98763858801</v>
      </c>
      <c r="K45" s="3">
        <f>[1]sens_0_spec_90_PSA!K45</f>
        <v>91288.769533044193</v>
      </c>
      <c r="L45">
        <f>[1]sens_0_spec_90_PSA!L45</f>
        <v>1</v>
      </c>
      <c r="M45">
        <f>[1]sens_0_spec_90_PSA!M45</f>
        <v>0</v>
      </c>
    </row>
    <row r="46" spans="1:13" x14ac:dyDescent="0.25">
      <c r="A46">
        <v>45</v>
      </c>
      <c r="B46">
        <f>[1]sens_0_spec_90_PSA!B46</f>
        <v>0</v>
      </c>
      <c r="C46" t="str">
        <f>[1]sens_0_spec_90_PSA!C46</f>
        <v>NA</v>
      </c>
      <c r="D46">
        <f>[1]sens_0_spec_90_PSA!D46</f>
        <v>0</v>
      </c>
      <c r="E46" s="1">
        <f>[1]sens_0_spec_90_PSA!E46</f>
        <v>0.15359999999999999</v>
      </c>
      <c r="F46" s="1">
        <f>[1]sens_0_spec_90_PSA!F46</f>
        <v>3.8199999999999998E-2</v>
      </c>
      <c r="G46" s="2">
        <f>[1]sens_0_spec_90_PSA!G46</f>
        <v>18.882989613789999</v>
      </c>
      <c r="H46" s="2">
        <f>[1]sens_0_spec_90_PSA!H46</f>
        <v>13.3639614958247</v>
      </c>
      <c r="I46" s="2">
        <f>[1]sens_0_spec_90_PSA!I46</f>
        <v>8.0026213260115604</v>
      </c>
      <c r="J46" s="3">
        <f>[1]sens_0_spec_90_PSA!J46</f>
        <v>187101.74295918699</v>
      </c>
      <c r="K46" s="3">
        <f>[1]sens_0_spec_90_PSA!K46</f>
        <v>111773.449635824</v>
      </c>
      <c r="L46">
        <f>[1]sens_0_spec_90_PSA!L46</f>
        <v>1</v>
      </c>
      <c r="M46">
        <f>[1]sens_0_spec_90_PSA!M46</f>
        <v>0</v>
      </c>
    </row>
    <row r="47" spans="1:13" x14ac:dyDescent="0.25">
      <c r="A47">
        <v>46</v>
      </c>
      <c r="B47">
        <f>[1]sens_0_spec_90_PSA!B47</f>
        <v>0</v>
      </c>
      <c r="C47" t="str">
        <f>[1]sens_0_spec_90_PSA!C47</f>
        <v>NA</v>
      </c>
      <c r="D47">
        <f>[1]sens_0_spec_90_PSA!D47</f>
        <v>0</v>
      </c>
      <c r="E47" s="1">
        <f>[1]sens_0_spec_90_PSA!E47</f>
        <v>0.16039999999999999</v>
      </c>
      <c r="F47" s="1">
        <f>[1]sens_0_spec_90_PSA!F47</f>
        <v>3.9600000000000003E-2</v>
      </c>
      <c r="G47" s="2">
        <f>[1]sens_0_spec_90_PSA!G47</f>
        <v>17.1076711748102</v>
      </c>
      <c r="H47" s="2">
        <f>[1]sens_0_spec_90_PSA!H47</f>
        <v>13.406277436699799</v>
      </c>
      <c r="I47" s="2">
        <f>[1]sens_0_spec_90_PSA!I47</f>
        <v>8.2087456123328799</v>
      </c>
      <c r="J47" s="3">
        <f>[1]sens_0_spec_90_PSA!J47</f>
        <v>179491.77612758</v>
      </c>
      <c r="K47" s="3">
        <f>[1]sens_0_spec_90_PSA!K47</f>
        <v>110162.82745461899</v>
      </c>
      <c r="L47">
        <f>[1]sens_0_spec_90_PSA!L47</f>
        <v>1</v>
      </c>
      <c r="M47">
        <f>[1]sens_0_spec_90_PSA!M47</f>
        <v>0</v>
      </c>
    </row>
    <row r="48" spans="1:13" x14ac:dyDescent="0.25">
      <c r="A48">
        <v>47</v>
      </c>
      <c r="B48">
        <f>[1]sens_0_spec_90_PSA!B48</f>
        <v>0</v>
      </c>
      <c r="C48" t="str">
        <f>[1]sens_0_spec_90_PSA!C48</f>
        <v>NA</v>
      </c>
      <c r="D48">
        <f>[1]sens_0_spec_90_PSA!D48</f>
        <v>0</v>
      </c>
      <c r="E48" s="1">
        <f>[1]sens_0_spec_90_PSA!E48</f>
        <v>0.16950000000000001</v>
      </c>
      <c r="F48" s="1">
        <f>[1]sens_0_spec_90_PSA!F48</f>
        <v>4.6899999999999997E-2</v>
      </c>
      <c r="G48" s="2">
        <f>[1]sens_0_spec_90_PSA!G48</f>
        <v>18.587365738631298</v>
      </c>
      <c r="H48" s="2">
        <f>[1]sens_0_spec_90_PSA!H48</f>
        <v>14.152784035147</v>
      </c>
      <c r="I48" s="2">
        <f>[1]sens_0_spec_90_PSA!I48</f>
        <v>8.4375131857521808</v>
      </c>
      <c r="J48" s="3">
        <f>[1]sens_0_spec_90_PSA!J48</f>
        <v>219705.352232907</v>
      </c>
      <c r="K48" s="3">
        <f>[1]sens_0_spec_90_PSA!K48</f>
        <v>128988.318830737</v>
      </c>
      <c r="L48">
        <f>[1]sens_0_spec_90_PSA!L48</f>
        <v>1</v>
      </c>
      <c r="M48">
        <f>[1]sens_0_spec_90_PSA!M48</f>
        <v>0</v>
      </c>
    </row>
    <row r="49" spans="1:13" x14ac:dyDescent="0.25">
      <c r="A49">
        <v>48</v>
      </c>
      <c r="B49">
        <f>[1]sens_0_spec_90_PSA!B49</f>
        <v>0</v>
      </c>
      <c r="C49" t="str">
        <f>[1]sens_0_spec_90_PSA!C49</f>
        <v>NA</v>
      </c>
      <c r="D49">
        <f>[1]sens_0_spec_90_PSA!D49</f>
        <v>0</v>
      </c>
      <c r="E49" s="1">
        <f>[1]sens_0_spec_90_PSA!E49</f>
        <v>0.14169999999999999</v>
      </c>
      <c r="F49" s="1">
        <f>[1]sens_0_spec_90_PSA!F49</f>
        <v>5.6399999999999999E-2</v>
      </c>
      <c r="G49" s="2">
        <f>[1]sens_0_spec_90_PSA!G49</f>
        <v>18.920094354886199</v>
      </c>
      <c r="H49" s="2">
        <f>[1]sens_0_spec_90_PSA!H49</f>
        <v>15.6472097223094</v>
      </c>
      <c r="I49" s="2">
        <f>[1]sens_0_spec_90_PSA!I49</f>
        <v>9.3273708502810795</v>
      </c>
      <c r="J49" s="3">
        <f>[1]sens_0_spec_90_PSA!J49</f>
        <v>206742.90232025899</v>
      </c>
      <c r="K49" s="3">
        <f>[1]sens_0_spec_90_PSA!K49</f>
        <v>122163.926756056</v>
      </c>
      <c r="L49">
        <f>[1]sens_0_spec_90_PSA!L49</f>
        <v>1</v>
      </c>
      <c r="M49">
        <f>[1]sens_0_spec_90_PSA!M49</f>
        <v>0</v>
      </c>
    </row>
    <row r="50" spans="1:13" x14ac:dyDescent="0.25">
      <c r="A50">
        <v>49</v>
      </c>
      <c r="B50">
        <f>[1]sens_0_spec_90_PSA!B50</f>
        <v>0</v>
      </c>
      <c r="C50" t="str">
        <f>[1]sens_0_spec_90_PSA!C50</f>
        <v>NA</v>
      </c>
      <c r="D50">
        <f>[1]sens_0_spec_90_PSA!D50</f>
        <v>0</v>
      </c>
      <c r="E50" s="1">
        <f>[1]sens_0_spec_90_PSA!E50</f>
        <v>0.21260000000000001</v>
      </c>
      <c r="F50" s="1">
        <f>[1]sens_0_spec_90_PSA!F50</f>
        <v>4.6300000000000001E-2</v>
      </c>
      <c r="G50" s="2">
        <f>[1]sens_0_spec_90_PSA!G50</f>
        <v>16.410296003410899</v>
      </c>
      <c r="H50" s="2">
        <f>[1]sens_0_spec_90_PSA!H50</f>
        <v>11.9423188362227</v>
      </c>
      <c r="I50" s="2">
        <f>[1]sens_0_spec_90_PSA!I50</f>
        <v>7.28241753957942</v>
      </c>
      <c r="J50" s="3">
        <f>[1]sens_0_spec_90_PSA!J50</f>
        <v>137773.495835051</v>
      </c>
      <c r="K50" s="3">
        <f>[1]sens_0_spec_90_PSA!K50</f>
        <v>85700.7664756343</v>
      </c>
      <c r="L50">
        <f>[1]sens_0_spec_90_PSA!L50</f>
        <v>1</v>
      </c>
      <c r="M50">
        <f>[1]sens_0_spec_90_PSA!M50</f>
        <v>0</v>
      </c>
    </row>
    <row r="51" spans="1:13" x14ac:dyDescent="0.25">
      <c r="A51">
        <v>50</v>
      </c>
      <c r="B51">
        <f>[1]sens_0_spec_90_PSA!B51</f>
        <v>0</v>
      </c>
      <c r="C51" t="str">
        <f>[1]sens_0_spec_90_PSA!C51</f>
        <v>NA</v>
      </c>
      <c r="D51">
        <f>[1]sens_0_spec_90_PSA!D51</f>
        <v>0</v>
      </c>
      <c r="E51" s="1">
        <f>[1]sens_0_spec_90_PSA!E51</f>
        <v>0.1216</v>
      </c>
      <c r="F51" s="1">
        <f>[1]sens_0_spec_90_PSA!F51</f>
        <v>4.48E-2</v>
      </c>
      <c r="G51" s="2">
        <f>[1]sens_0_spec_90_PSA!G51</f>
        <v>19.550749552436798</v>
      </c>
      <c r="H51" s="2">
        <f>[1]sens_0_spec_90_PSA!H51</f>
        <v>14.390978274191999</v>
      </c>
      <c r="I51" s="2">
        <f>[1]sens_0_spec_90_PSA!I51</f>
        <v>8.5709996374895994</v>
      </c>
      <c r="J51" s="3">
        <f>[1]sens_0_spec_90_PSA!J51</f>
        <v>185713.91403887601</v>
      </c>
      <c r="K51" s="3">
        <f>[1]sens_0_spec_90_PSA!K51</f>
        <v>110148.7760427</v>
      </c>
      <c r="L51">
        <f>[1]sens_0_spec_90_PSA!L51</f>
        <v>1</v>
      </c>
      <c r="M51">
        <f>[1]sens_0_spec_90_PSA!M51</f>
        <v>0</v>
      </c>
    </row>
    <row r="52" spans="1:13" x14ac:dyDescent="0.25">
      <c r="A52">
        <v>51</v>
      </c>
      <c r="B52">
        <f>[1]sens_0_spec_90_PSA!B52</f>
        <v>0</v>
      </c>
      <c r="C52" t="str">
        <f>[1]sens_0_spec_90_PSA!C52</f>
        <v>NA</v>
      </c>
      <c r="D52">
        <f>[1]sens_0_spec_90_PSA!D52</f>
        <v>0</v>
      </c>
      <c r="E52" s="1">
        <f>[1]sens_0_spec_90_PSA!E52</f>
        <v>0.2044</v>
      </c>
      <c r="F52" s="1">
        <f>[1]sens_0_spec_90_PSA!F52</f>
        <v>4.2299999999999997E-2</v>
      </c>
      <c r="G52" s="2">
        <f>[1]sens_0_spec_90_PSA!G52</f>
        <v>18.6156946524932</v>
      </c>
      <c r="H52" s="2">
        <f>[1]sens_0_spec_90_PSA!H52</f>
        <v>12.5686338888897</v>
      </c>
      <c r="I52" s="2">
        <f>[1]sens_0_spec_90_PSA!I52</f>
        <v>7.4138592741940803</v>
      </c>
      <c r="J52" s="3">
        <f>[1]sens_0_spec_90_PSA!J52</f>
        <v>173591.54625831801</v>
      </c>
      <c r="K52" s="3">
        <f>[1]sens_0_spec_90_PSA!K52</f>
        <v>102169.739651207</v>
      </c>
      <c r="L52">
        <f>[1]sens_0_spec_90_PSA!L52</f>
        <v>1</v>
      </c>
      <c r="M52">
        <f>[1]sens_0_spec_90_PSA!M52</f>
        <v>0</v>
      </c>
    </row>
    <row r="53" spans="1:13" x14ac:dyDescent="0.25">
      <c r="A53">
        <v>52</v>
      </c>
      <c r="B53">
        <f>[1]sens_0_spec_90_PSA!B53</f>
        <v>0</v>
      </c>
      <c r="C53" t="str">
        <f>[1]sens_0_spec_90_PSA!C53</f>
        <v>NA</v>
      </c>
      <c r="D53">
        <f>[1]sens_0_spec_90_PSA!D53</f>
        <v>0</v>
      </c>
      <c r="E53" s="1">
        <f>[1]sens_0_spec_90_PSA!E53</f>
        <v>0.13389999999999999</v>
      </c>
      <c r="F53" s="1">
        <f>[1]sens_0_spec_90_PSA!F53</f>
        <v>4.6800000000000001E-2</v>
      </c>
      <c r="G53" s="2">
        <f>[1]sens_0_spec_90_PSA!G53</f>
        <v>17.204130657160299</v>
      </c>
      <c r="H53" s="2">
        <f>[1]sens_0_spec_90_PSA!H53</f>
        <v>12.4022264375366</v>
      </c>
      <c r="I53" s="2">
        <f>[1]sens_0_spec_90_PSA!I53</f>
        <v>7.6313830974143304</v>
      </c>
      <c r="J53" s="3">
        <f>[1]sens_0_spec_90_PSA!J53</f>
        <v>189022.952485282</v>
      </c>
      <c r="K53" s="3">
        <f>[1]sens_0_spec_90_PSA!K53</f>
        <v>116299.404807806</v>
      </c>
      <c r="L53">
        <f>[1]sens_0_spec_90_PSA!L53</f>
        <v>1</v>
      </c>
      <c r="M53">
        <f>[1]sens_0_spec_90_PSA!M53</f>
        <v>0</v>
      </c>
    </row>
    <row r="54" spans="1:13" x14ac:dyDescent="0.25">
      <c r="A54">
        <v>53</v>
      </c>
      <c r="B54">
        <f>[1]sens_0_spec_90_PSA!B54</f>
        <v>0</v>
      </c>
      <c r="C54" t="str">
        <f>[1]sens_0_spec_90_PSA!C54</f>
        <v>NA</v>
      </c>
      <c r="D54">
        <f>[1]sens_0_spec_90_PSA!D54</f>
        <v>0</v>
      </c>
      <c r="E54" s="1">
        <f>[1]sens_0_spec_90_PSA!E54</f>
        <v>0.188</v>
      </c>
      <c r="F54" s="1">
        <f>[1]sens_0_spec_90_PSA!F54</f>
        <v>5.1400000000000001E-2</v>
      </c>
      <c r="G54" s="2">
        <f>[1]sens_0_spec_90_PSA!G54</f>
        <v>18.707179057430899</v>
      </c>
      <c r="H54" s="2">
        <f>[1]sens_0_spec_90_PSA!H54</f>
        <v>14.775213544287601</v>
      </c>
      <c r="I54" s="2">
        <f>[1]sens_0_spec_90_PSA!I54</f>
        <v>8.7470303995825294</v>
      </c>
      <c r="J54" s="3">
        <f>[1]sens_0_spec_90_PSA!J54</f>
        <v>217638.22190017099</v>
      </c>
      <c r="K54" s="3">
        <f>[1]sens_0_spec_90_PSA!K54</f>
        <v>126580.253598371</v>
      </c>
      <c r="L54">
        <f>[1]sens_0_spec_90_PSA!L54</f>
        <v>1</v>
      </c>
      <c r="M54">
        <f>[1]sens_0_spec_90_PSA!M54</f>
        <v>0</v>
      </c>
    </row>
    <row r="55" spans="1:13" x14ac:dyDescent="0.25">
      <c r="A55">
        <v>54</v>
      </c>
      <c r="B55">
        <f>[1]sens_0_spec_90_PSA!B55</f>
        <v>0</v>
      </c>
      <c r="C55" t="str">
        <f>[1]sens_0_spec_90_PSA!C55</f>
        <v>NA</v>
      </c>
      <c r="D55">
        <f>[1]sens_0_spec_90_PSA!D55</f>
        <v>0</v>
      </c>
      <c r="E55" s="1">
        <f>[1]sens_0_spec_90_PSA!E55</f>
        <v>0.2331</v>
      </c>
      <c r="F55" s="1">
        <f>[1]sens_0_spec_90_PSA!F55</f>
        <v>4.82E-2</v>
      </c>
      <c r="G55" s="2">
        <f>[1]sens_0_spec_90_PSA!G55</f>
        <v>17.045005639755999</v>
      </c>
      <c r="H55" s="2">
        <f>[1]sens_0_spec_90_PSA!H55</f>
        <v>11.4371587769588</v>
      </c>
      <c r="I55" s="2">
        <f>[1]sens_0_spec_90_PSA!I55</f>
        <v>6.8561876993753899</v>
      </c>
      <c r="J55" s="3">
        <f>[1]sens_0_spec_90_PSA!J55</f>
        <v>140715.894073745</v>
      </c>
      <c r="K55" s="3">
        <f>[1]sens_0_spec_90_PSA!K55</f>
        <v>85599.709118127095</v>
      </c>
      <c r="L55">
        <f>[1]sens_0_spec_90_PSA!L55</f>
        <v>1</v>
      </c>
      <c r="M55">
        <f>[1]sens_0_spec_90_PSA!M55</f>
        <v>0</v>
      </c>
    </row>
    <row r="56" spans="1:13" x14ac:dyDescent="0.25">
      <c r="A56">
        <v>55</v>
      </c>
      <c r="B56">
        <f>[1]sens_0_spec_90_PSA!B56</f>
        <v>0</v>
      </c>
      <c r="C56" t="str">
        <f>[1]sens_0_spec_90_PSA!C56</f>
        <v>NA</v>
      </c>
      <c r="D56">
        <f>[1]sens_0_spec_90_PSA!D56</f>
        <v>0</v>
      </c>
      <c r="E56" s="1">
        <f>[1]sens_0_spec_90_PSA!E56</f>
        <v>0.13059999999999999</v>
      </c>
      <c r="F56" s="1">
        <f>[1]sens_0_spec_90_PSA!F56</f>
        <v>3.8699999999999998E-2</v>
      </c>
      <c r="G56" s="2">
        <f>[1]sens_0_spec_90_PSA!G56</f>
        <v>18.153232475643701</v>
      </c>
      <c r="H56" s="2">
        <f>[1]sens_0_spec_90_PSA!H56</f>
        <v>13.4901414182727</v>
      </c>
      <c r="I56" s="2">
        <f>[1]sens_0_spec_90_PSA!I56</f>
        <v>8.2258938613866892</v>
      </c>
      <c r="J56" s="3">
        <f>[1]sens_0_spec_90_PSA!J56</f>
        <v>263942.724149402</v>
      </c>
      <c r="K56" s="3">
        <f>[1]sens_0_spec_90_PSA!K56</f>
        <v>157700.946022241</v>
      </c>
      <c r="L56">
        <f>[1]sens_0_spec_90_PSA!L56</f>
        <v>1</v>
      </c>
      <c r="M56">
        <f>[1]sens_0_spec_90_PSA!M56</f>
        <v>0</v>
      </c>
    </row>
    <row r="57" spans="1:13" x14ac:dyDescent="0.25">
      <c r="A57">
        <v>56</v>
      </c>
      <c r="B57">
        <f>[1]sens_0_spec_90_PSA!B57</f>
        <v>0</v>
      </c>
      <c r="C57" t="str">
        <f>[1]sens_0_spec_90_PSA!C57</f>
        <v>NA</v>
      </c>
      <c r="D57">
        <f>[1]sens_0_spec_90_PSA!D57</f>
        <v>0</v>
      </c>
      <c r="E57" s="1">
        <f>[1]sens_0_spec_90_PSA!E57</f>
        <v>0.14940000000000001</v>
      </c>
      <c r="F57" s="1">
        <f>[1]sens_0_spec_90_PSA!F57</f>
        <v>4.1200000000000001E-2</v>
      </c>
      <c r="G57" s="2">
        <f>[1]sens_0_spec_90_PSA!G57</f>
        <v>16.603087931497001</v>
      </c>
      <c r="H57" s="2">
        <f>[1]sens_0_spec_90_PSA!H57</f>
        <v>11.9108212599035</v>
      </c>
      <c r="I57" s="2">
        <f>[1]sens_0_spec_90_PSA!I57</f>
        <v>7.3773672563600696</v>
      </c>
      <c r="J57" s="3">
        <f>[1]sens_0_spec_90_PSA!J57</f>
        <v>164395.869340212</v>
      </c>
      <c r="K57" s="3">
        <f>[1]sens_0_spec_90_PSA!K57</f>
        <v>102487.70368649899</v>
      </c>
      <c r="L57">
        <f>[1]sens_0_spec_90_PSA!L57</f>
        <v>1</v>
      </c>
      <c r="M57">
        <f>[1]sens_0_spec_90_PSA!M57</f>
        <v>0</v>
      </c>
    </row>
    <row r="58" spans="1:13" x14ac:dyDescent="0.25">
      <c r="A58">
        <v>57</v>
      </c>
      <c r="B58">
        <f>[1]sens_0_spec_90_PSA!B58</f>
        <v>0</v>
      </c>
      <c r="C58" t="str">
        <f>[1]sens_0_spec_90_PSA!C58</f>
        <v>NA</v>
      </c>
      <c r="D58">
        <f>[1]sens_0_spec_90_PSA!D58</f>
        <v>0</v>
      </c>
      <c r="E58" s="1">
        <f>[1]sens_0_spec_90_PSA!E58</f>
        <v>0.1774</v>
      </c>
      <c r="F58" s="1">
        <f>[1]sens_0_spec_90_PSA!F58</f>
        <v>4.6100000000000002E-2</v>
      </c>
      <c r="G58" s="2">
        <f>[1]sens_0_spec_90_PSA!G58</f>
        <v>18.050287897337</v>
      </c>
      <c r="H58" s="2">
        <f>[1]sens_0_spec_90_PSA!H58</f>
        <v>12.543687486148601</v>
      </c>
      <c r="I58" s="2">
        <f>[1]sens_0_spec_90_PSA!I58</f>
        <v>7.5221759207551999</v>
      </c>
      <c r="J58" s="3">
        <f>[1]sens_0_spec_90_PSA!J58</f>
        <v>180881.789049474</v>
      </c>
      <c r="K58" s="3">
        <f>[1]sens_0_spec_90_PSA!K58</f>
        <v>108078.376118646</v>
      </c>
      <c r="L58">
        <f>[1]sens_0_spec_90_PSA!L58</f>
        <v>1</v>
      </c>
      <c r="M58">
        <f>[1]sens_0_spec_90_PSA!M58</f>
        <v>0</v>
      </c>
    </row>
    <row r="59" spans="1:13" x14ac:dyDescent="0.25">
      <c r="A59">
        <v>58</v>
      </c>
      <c r="B59">
        <f>[1]sens_0_spec_90_PSA!B59</f>
        <v>0</v>
      </c>
      <c r="C59" t="str">
        <f>[1]sens_0_spec_90_PSA!C59</f>
        <v>NA</v>
      </c>
      <c r="D59">
        <f>[1]sens_0_spec_90_PSA!D59</f>
        <v>0</v>
      </c>
      <c r="E59" s="1">
        <f>[1]sens_0_spec_90_PSA!E59</f>
        <v>0.16919999999999999</v>
      </c>
      <c r="F59" s="1">
        <f>[1]sens_0_spec_90_PSA!F59</f>
        <v>2.4400000000000002E-2</v>
      </c>
      <c r="G59" s="2">
        <f>[1]sens_0_spec_90_PSA!G59</f>
        <v>18.182945513147899</v>
      </c>
      <c r="H59" s="2">
        <f>[1]sens_0_spec_90_PSA!H59</f>
        <v>12.2854679567884</v>
      </c>
      <c r="I59" s="2">
        <f>[1]sens_0_spec_90_PSA!I59</f>
        <v>7.42088259985512</v>
      </c>
      <c r="J59" s="3">
        <f>[1]sens_0_spec_90_PSA!J59</f>
        <v>160653.86982034799</v>
      </c>
      <c r="K59" s="3">
        <f>[1]sens_0_spec_90_PSA!K59</f>
        <v>97939.465667288998</v>
      </c>
      <c r="L59">
        <f>[1]sens_0_spec_90_PSA!L59</f>
        <v>1</v>
      </c>
      <c r="M59">
        <f>[1]sens_0_spec_90_PSA!M59</f>
        <v>0</v>
      </c>
    </row>
    <row r="60" spans="1:13" x14ac:dyDescent="0.25">
      <c r="A60">
        <v>59</v>
      </c>
      <c r="B60">
        <f>[1]sens_0_spec_90_PSA!B60</f>
        <v>0</v>
      </c>
      <c r="C60" t="str">
        <f>[1]sens_0_spec_90_PSA!C60</f>
        <v>NA</v>
      </c>
      <c r="D60">
        <f>[1]sens_0_spec_90_PSA!D60</f>
        <v>0</v>
      </c>
      <c r="E60" s="1">
        <f>[1]sens_0_spec_90_PSA!E60</f>
        <v>0.22689999999999999</v>
      </c>
      <c r="F60" s="1">
        <f>[1]sens_0_spec_90_PSA!F60</f>
        <v>4.2700000000000002E-2</v>
      </c>
      <c r="G60" s="2">
        <f>[1]sens_0_spec_90_PSA!G60</f>
        <v>16.296886388506199</v>
      </c>
      <c r="H60" s="2">
        <f>[1]sens_0_spec_90_PSA!H60</f>
        <v>13.364644356521699</v>
      </c>
      <c r="I60" s="2">
        <f>[1]sens_0_spec_90_PSA!I60</f>
        <v>8.1657011672855795</v>
      </c>
      <c r="J60" s="3">
        <f>[1]sens_0_spec_90_PSA!J60</f>
        <v>149037.53871329199</v>
      </c>
      <c r="K60" s="3">
        <f>[1]sens_0_spec_90_PSA!K60</f>
        <v>92227.704655291294</v>
      </c>
      <c r="L60">
        <f>[1]sens_0_spec_90_PSA!L60</f>
        <v>1</v>
      </c>
      <c r="M60">
        <f>[1]sens_0_spec_90_PSA!M60</f>
        <v>0</v>
      </c>
    </row>
    <row r="61" spans="1:13" x14ac:dyDescent="0.25">
      <c r="A61">
        <v>60</v>
      </c>
      <c r="B61">
        <f>[1]sens_0_spec_90_PSA!B61</f>
        <v>0</v>
      </c>
      <c r="C61" t="str">
        <f>[1]sens_0_spec_90_PSA!C61</f>
        <v>NA</v>
      </c>
      <c r="D61">
        <f>[1]sens_0_spec_90_PSA!D61</f>
        <v>0</v>
      </c>
      <c r="E61" s="1">
        <f>[1]sens_0_spec_90_PSA!E61</f>
        <v>0.19719999999999999</v>
      </c>
      <c r="F61" s="1">
        <f>[1]sens_0_spec_90_PSA!F61</f>
        <v>4.5100000000000001E-2</v>
      </c>
      <c r="G61" s="2">
        <f>[1]sens_0_spec_90_PSA!G61</f>
        <v>17.368673315057102</v>
      </c>
      <c r="H61" s="2">
        <f>[1]sens_0_spec_90_PSA!H61</f>
        <v>13.161007501065299</v>
      </c>
      <c r="I61" s="2">
        <f>[1]sens_0_spec_90_PSA!I61</f>
        <v>7.9569844564634904</v>
      </c>
      <c r="J61" s="3">
        <f>[1]sens_0_spec_90_PSA!J61</f>
        <v>188442.07815816099</v>
      </c>
      <c r="K61" s="3">
        <f>[1]sens_0_spec_90_PSA!K61</f>
        <v>113355.62644760001</v>
      </c>
      <c r="L61">
        <f>[1]sens_0_spec_90_PSA!L61</f>
        <v>1</v>
      </c>
      <c r="M61">
        <f>[1]sens_0_spec_90_PSA!M61</f>
        <v>0</v>
      </c>
    </row>
    <row r="62" spans="1:13" x14ac:dyDescent="0.25">
      <c r="A62">
        <v>61</v>
      </c>
      <c r="B62">
        <f>[1]sens_0_spec_90_PSA!B62</f>
        <v>0</v>
      </c>
      <c r="C62" t="str">
        <f>[1]sens_0_spec_90_PSA!C62</f>
        <v>NA</v>
      </c>
      <c r="D62">
        <f>[1]sens_0_spec_90_PSA!D62</f>
        <v>0</v>
      </c>
      <c r="E62" s="1">
        <f>[1]sens_0_spec_90_PSA!E62</f>
        <v>0.21490000000000001</v>
      </c>
      <c r="F62" s="1">
        <f>[1]sens_0_spec_90_PSA!F62</f>
        <v>5.6899999999999999E-2</v>
      </c>
      <c r="G62" s="2">
        <f>[1]sens_0_spec_90_PSA!G62</f>
        <v>17.111237365960299</v>
      </c>
      <c r="H62" s="2">
        <f>[1]sens_0_spec_90_PSA!H62</f>
        <v>12.6950852494874</v>
      </c>
      <c r="I62" s="2">
        <f>[1]sens_0_spec_90_PSA!I62</f>
        <v>7.6576342277383098</v>
      </c>
      <c r="J62" s="3">
        <f>[1]sens_0_spec_90_PSA!J62</f>
        <v>204236.094642212</v>
      </c>
      <c r="K62" s="3">
        <f>[1]sens_0_spec_90_PSA!K62</f>
        <v>121775.64050457301</v>
      </c>
      <c r="L62">
        <f>[1]sens_0_spec_90_PSA!L62</f>
        <v>1</v>
      </c>
      <c r="M62">
        <f>[1]sens_0_spec_90_PSA!M62</f>
        <v>0</v>
      </c>
    </row>
    <row r="63" spans="1:13" x14ac:dyDescent="0.25">
      <c r="A63">
        <v>62</v>
      </c>
      <c r="B63">
        <f>[1]sens_0_spec_90_PSA!B63</f>
        <v>0</v>
      </c>
      <c r="C63" t="str">
        <f>[1]sens_0_spec_90_PSA!C63</f>
        <v>NA</v>
      </c>
      <c r="D63">
        <f>[1]sens_0_spec_90_PSA!D63</f>
        <v>0</v>
      </c>
      <c r="E63" s="1">
        <f>[1]sens_0_spec_90_PSA!E63</f>
        <v>0.26090000000000002</v>
      </c>
      <c r="F63" s="1">
        <f>[1]sens_0_spec_90_PSA!F63</f>
        <v>3.5400000000000001E-2</v>
      </c>
      <c r="G63" s="2">
        <f>[1]sens_0_spec_90_PSA!G63</f>
        <v>16.522072871804198</v>
      </c>
      <c r="H63" s="2">
        <f>[1]sens_0_spec_90_PSA!H63</f>
        <v>12.1072369022644</v>
      </c>
      <c r="I63" s="2">
        <f>[1]sens_0_spec_90_PSA!I63</f>
        <v>7.2556380650336996</v>
      </c>
      <c r="J63" s="3">
        <f>[1]sens_0_spec_90_PSA!J63</f>
        <v>220321.75232150001</v>
      </c>
      <c r="K63" s="3">
        <f>[1]sens_0_spec_90_PSA!K63</f>
        <v>129944.98366887801</v>
      </c>
      <c r="L63">
        <f>[1]sens_0_spec_90_PSA!L63</f>
        <v>1</v>
      </c>
      <c r="M63">
        <f>[1]sens_0_spec_90_PSA!M63</f>
        <v>0</v>
      </c>
    </row>
    <row r="64" spans="1:13" x14ac:dyDescent="0.25">
      <c r="A64">
        <v>63</v>
      </c>
      <c r="B64">
        <f>[1]sens_0_spec_90_PSA!B64</f>
        <v>0</v>
      </c>
      <c r="C64" t="str">
        <f>[1]sens_0_spec_90_PSA!C64</f>
        <v>NA</v>
      </c>
      <c r="D64">
        <f>[1]sens_0_spec_90_PSA!D64</f>
        <v>0</v>
      </c>
      <c r="E64" s="1">
        <f>[1]sens_0_spec_90_PSA!E64</f>
        <v>0.22</v>
      </c>
      <c r="F64" s="1">
        <f>[1]sens_0_spec_90_PSA!F64</f>
        <v>3.6700000000000003E-2</v>
      </c>
      <c r="G64" s="2">
        <f>[1]sens_0_spec_90_PSA!G64</f>
        <v>16.3523099768849</v>
      </c>
      <c r="H64" s="2">
        <f>[1]sens_0_spec_90_PSA!H64</f>
        <v>11.348451895949401</v>
      </c>
      <c r="I64" s="2">
        <f>[1]sens_0_spec_90_PSA!I64</f>
        <v>6.9414074647197204</v>
      </c>
      <c r="J64" s="3">
        <f>[1]sens_0_spec_90_PSA!J64</f>
        <v>156466.27872292299</v>
      </c>
      <c r="K64" s="3">
        <f>[1]sens_0_spec_90_PSA!K64</f>
        <v>96734.831398788097</v>
      </c>
      <c r="L64">
        <f>[1]sens_0_spec_90_PSA!L64</f>
        <v>1</v>
      </c>
      <c r="M64">
        <f>[1]sens_0_spec_90_PSA!M64</f>
        <v>0</v>
      </c>
    </row>
    <row r="65" spans="1:13" x14ac:dyDescent="0.25">
      <c r="A65">
        <v>64</v>
      </c>
      <c r="B65">
        <f>[1]sens_0_spec_90_PSA!B65</f>
        <v>0</v>
      </c>
      <c r="C65" t="str">
        <f>[1]sens_0_spec_90_PSA!C65</f>
        <v>NA</v>
      </c>
      <c r="D65">
        <f>[1]sens_0_spec_90_PSA!D65</f>
        <v>0</v>
      </c>
      <c r="E65" s="1">
        <f>[1]sens_0_spec_90_PSA!E65</f>
        <v>0.22589999999999999</v>
      </c>
      <c r="F65" s="1">
        <f>[1]sens_0_spec_90_PSA!F65</f>
        <v>3.6700000000000003E-2</v>
      </c>
      <c r="G65" s="2">
        <f>[1]sens_0_spec_90_PSA!G65</f>
        <v>18.104089258886301</v>
      </c>
      <c r="H65" s="2">
        <f>[1]sens_0_spec_90_PSA!H65</f>
        <v>12.2120910008853</v>
      </c>
      <c r="I65" s="2">
        <f>[1]sens_0_spec_90_PSA!I65</f>
        <v>7.2307975040005203</v>
      </c>
      <c r="J65" s="3">
        <f>[1]sens_0_spec_90_PSA!J65</f>
        <v>264240.22993600997</v>
      </c>
      <c r="K65" s="3">
        <f>[1]sens_0_spec_90_PSA!K65</f>
        <v>151963.26382434901</v>
      </c>
      <c r="L65">
        <f>[1]sens_0_spec_90_PSA!L65</f>
        <v>1</v>
      </c>
      <c r="M65">
        <f>[1]sens_0_spec_90_PSA!M65</f>
        <v>0</v>
      </c>
    </row>
    <row r="66" spans="1:13" x14ac:dyDescent="0.25">
      <c r="A66">
        <v>65</v>
      </c>
      <c r="B66">
        <f>[1]sens_0_spec_90_PSA!B66</f>
        <v>0</v>
      </c>
      <c r="C66" t="str">
        <f>[1]sens_0_spec_90_PSA!C66</f>
        <v>NA</v>
      </c>
      <c r="D66">
        <f>[1]sens_0_spec_90_PSA!D66</f>
        <v>0</v>
      </c>
      <c r="E66" s="1">
        <f>[1]sens_0_spec_90_PSA!E66</f>
        <v>0.17730000000000001</v>
      </c>
      <c r="F66" s="1">
        <f>[1]sens_0_spec_90_PSA!F66</f>
        <v>3.1300000000000001E-2</v>
      </c>
      <c r="G66" s="2">
        <f>[1]sens_0_spec_90_PSA!G66</f>
        <v>20.304444764188599</v>
      </c>
      <c r="H66" s="2">
        <f>[1]sens_0_spec_90_PSA!H66</f>
        <v>16.0193620092701</v>
      </c>
      <c r="I66" s="2">
        <f>[1]sens_0_spec_90_PSA!I66</f>
        <v>9.3321076244706695</v>
      </c>
      <c r="J66" s="3">
        <f>[1]sens_0_spec_90_PSA!J66</f>
        <v>251031.68982733399</v>
      </c>
      <c r="K66" s="3">
        <f>[1]sens_0_spec_90_PSA!K66</f>
        <v>142397.77910785799</v>
      </c>
      <c r="L66">
        <f>[1]sens_0_spec_90_PSA!L66</f>
        <v>1</v>
      </c>
      <c r="M66">
        <f>[1]sens_0_spec_90_PSA!M66</f>
        <v>0</v>
      </c>
    </row>
    <row r="67" spans="1:13" x14ac:dyDescent="0.25">
      <c r="A67">
        <v>66</v>
      </c>
      <c r="B67">
        <f>[1]sens_0_spec_90_PSA!B67</f>
        <v>0</v>
      </c>
      <c r="C67" t="str">
        <f>[1]sens_0_spec_90_PSA!C67</f>
        <v>NA</v>
      </c>
      <c r="D67">
        <f>[1]sens_0_spec_90_PSA!D67</f>
        <v>0</v>
      </c>
      <c r="E67" s="1">
        <f>[1]sens_0_spec_90_PSA!E67</f>
        <v>0.1492</v>
      </c>
      <c r="F67" s="1">
        <f>[1]sens_0_spec_90_PSA!F67</f>
        <v>4.48E-2</v>
      </c>
      <c r="G67" s="2">
        <f>[1]sens_0_spec_90_PSA!G67</f>
        <v>18.1717602768794</v>
      </c>
      <c r="H67" s="2">
        <f>[1]sens_0_spec_90_PSA!H67</f>
        <v>11.528227901697599</v>
      </c>
      <c r="I67" s="2">
        <f>[1]sens_0_spec_90_PSA!I67</f>
        <v>6.9785964835108798</v>
      </c>
      <c r="J67" s="3">
        <f>[1]sens_0_spec_90_PSA!J67</f>
        <v>260246.727160271</v>
      </c>
      <c r="K67" s="3">
        <f>[1]sens_0_spec_90_PSA!K67</f>
        <v>154037.81024348701</v>
      </c>
      <c r="L67">
        <f>[1]sens_0_spec_90_PSA!L67</f>
        <v>1</v>
      </c>
      <c r="M67">
        <f>[1]sens_0_spec_90_PSA!M67</f>
        <v>0</v>
      </c>
    </row>
    <row r="68" spans="1:13" x14ac:dyDescent="0.25">
      <c r="A68">
        <v>67</v>
      </c>
      <c r="B68">
        <f>[1]sens_0_spec_90_PSA!B68</f>
        <v>0</v>
      </c>
      <c r="C68" t="str">
        <f>[1]sens_0_spec_90_PSA!C68</f>
        <v>NA</v>
      </c>
      <c r="D68">
        <f>[1]sens_0_spec_90_PSA!D68</f>
        <v>0</v>
      </c>
      <c r="E68" s="1">
        <f>[1]sens_0_spec_90_PSA!E68</f>
        <v>0.19600000000000001</v>
      </c>
      <c r="F68" s="1">
        <f>[1]sens_0_spec_90_PSA!F68</f>
        <v>3.8800000000000001E-2</v>
      </c>
      <c r="G68" s="2">
        <f>[1]sens_0_spec_90_PSA!G68</f>
        <v>17.330914898706801</v>
      </c>
      <c r="H68" s="2">
        <f>[1]sens_0_spec_90_PSA!H68</f>
        <v>12.819344107764699</v>
      </c>
      <c r="I68" s="2">
        <f>[1]sens_0_spec_90_PSA!I68</f>
        <v>7.7904413729039499</v>
      </c>
      <c r="J68" s="3">
        <f>[1]sens_0_spec_90_PSA!J68</f>
        <v>188362.98584968201</v>
      </c>
      <c r="K68" s="3">
        <f>[1]sens_0_spec_90_PSA!K68</f>
        <v>113967.425599346</v>
      </c>
      <c r="L68">
        <f>[1]sens_0_spec_90_PSA!L68</f>
        <v>1</v>
      </c>
      <c r="M68">
        <f>[1]sens_0_spec_90_PSA!M68</f>
        <v>0</v>
      </c>
    </row>
    <row r="69" spans="1:13" x14ac:dyDescent="0.25">
      <c r="A69">
        <v>68</v>
      </c>
      <c r="B69">
        <f>[1]sens_0_spec_90_PSA!B69</f>
        <v>0</v>
      </c>
      <c r="C69" t="str">
        <f>[1]sens_0_spec_90_PSA!C69</f>
        <v>NA</v>
      </c>
      <c r="D69">
        <f>[1]sens_0_spec_90_PSA!D69</f>
        <v>0</v>
      </c>
      <c r="E69" s="1">
        <f>[1]sens_0_spec_90_PSA!E69</f>
        <v>0.19400000000000001</v>
      </c>
      <c r="F69" s="1">
        <f>[1]sens_0_spec_90_PSA!F69</f>
        <v>4.9099999999999998E-2</v>
      </c>
      <c r="G69" s="2">
        <f>[1]sens_0_spec_90_PSA!G69</f>
        <v>18.595324593159201</v>
      </c>
      <c r="H69" s="2">
        <f>[1]sens_0_spec_90_PSA!H69</f>
        <v>13.905045723379001</v>
      </c>
      <c r="I69" s="2">
        <f>[1]sens_0_spec_90_PSA!I69</f>
        <v>8.2107437736350306</v>
      </c>
      <c r="J69" s="3">
        <f>[1]sens_0_spec_90_PSA!J69</f>
        <v>207447.81870931201</v>
      </c>
      <c r="K69" s="3">
        <f>[1]sens_0_spec_90_PSA!K69</f>
        <v>120645.67188921401</v>
      </c>
      <c r="L69">
        <f>[1]sens_0_spec_90_PSA!L69</f>
        <v>1</v>
      </c>
      <c r="M69">
        <f>[1]sens_0_spec_90_PSA!M69</f>
        <v>0</v>
      </c>
    </row>
    <row r="70" spans="1:13" x14ac:dyDescent="0.25">
      <c r="A70">
        <v>69</v>
      </c>
      <c r="B70">
        <f>[1]sens_0_spec_90_PSA!B70</f>
        <v>0</v>
      </c>
      <c r="C70" t="str">
        <f>[1]sens_0_spec_90_PSA!C70</f>
        <v>NA</v>
      </c>
      <c r="D70">
        <f>[1]sens_0_spec_90_PSA!D70</f>
        <v>0</v>
      </c>
      <c r="E70" s="1">
        <f>[1]sens_0_spec_90_PSA!E70</f>
        <v>0.1792</v>
      </c>
      <c r="F70" s="1">
        <f>[1]sens_0_spec_90_PSA!F70</f>
        <v>3.3700000000000001E-2</v>
      </c>
      <c r="G70" s="2">
        <f>[1]sens_0_spec_90_PSA!G70</f>
        <v>18.245609490100101</v>
      </c>
      <c r="H70" s="2">
        <f>[1]sens_0_spec_90_PSA!H70</f>
        <v>11.007008928388499</v>
      </c>
      <c r="I70" s="2">
        <f>[1]sens_0_spec_90_PSA!I70</f>
        <v>6.6156031332715699</v>
      </c>
      <c r="J70" s="3">
        <f>[1]sens_0_spec_90_PSA!J70</f>
        <v>213998.19289111401</v>
      </c>
      <c r="K70" s="3">
        <f>[1]sens_0_spec_90_PSA!K70</f>
        <v>126840.92675379899</v>
      </c>
      <c r="L70">
        <f>[1]sens_0_spec_90_PSA!L70</f>
        <v>1</v>
      </c>
      <c r="M70">
        <f>[1]sens_0_spec_90_PSA!M70</f>
        <v>0</v>
      </c>
    </row>
    <row r="71" spans="1:13" x14ac:dyDescent="0.25">
      <c r="A71">
        <v>70</v>
      </c>
      <c r="B71">
        <f>[1]sens_0_spec_90_PSA!B71</f>
        <v>0</v>
      </c>
      <c r="C71" t="str">
        <f>[1]sens_0_spec_90_PSA!C71</f>
        <v>NA</v>
      </c>
      <c r="D71">
        <f>[1]sens_0_spec_90_PSA!D71</f>
        <v>0</v>
      </c>
      <c r="E71" s="1">
        <f>[1]sens_0_spec_90_PSA!E71</f>
        <v>0.12740000000000001</v>
      </c>
      <c r="F71" s="1">
        <f>[1]sens_0_spec_90_PSA!F71</f>
        <v>4.3900000000000002E-2</v>
      </c>
      <c r="G71" s="2">
        <f>[1]sens_0_spec_90_PSA!G71</f>
        <v>17.860002903043501</v>
      </c>
      <c r="H71" s="2">
        <f>[1]sens_0_spec_90_PSA!H71</f>
        <v>13.195436825586899</v>
      </c>
      <c r="I71" s="2">
        <f>[1]sens_0_spec_90_PSA!I71</f>
        <v>8.0475904991720704</v>
      </c>
      <c r="J71" s="3">
        <f>[1]sens_0_spec_90_PSA!J71</f>
        <v>202399.403708314</v>
      </c>
      <c r="K71" s="3">
        <f>[1]sens_0_spec_90_PSA!K71</f>
        <v>122668.162394516</v>
      </c>
      <c r="L71">
        <f>[1]sens_0_spec_90_PSA!L71</f>
        <v>1</v>
      </c>
      <c r="M71">
        <f>[1]sens_0_spec_90_PSA!M71</f>
        <v>0</v>
      </c>
    </row>
    <row r="72" spans="1:13" x14ac:dyDescent="0.25">
      <c r="A72">
        <v>71</v>
      </c>
      <c r="B72">
        <f>[1]sens_0_spec_90_PSA!B72</f>
        <v>0</v>
      </c>
      <c r="C72" t="str">
        <f>[1]sens_0_spec_90_PSA!C72</f>
        <v>NA</v>
      </c>
      <c r="D72">
        <f>[1]sens_0_spec_90_PSA!D72</f>
        <v>0</v>
      </c>
      <c r="E72" s="1">
        <f>[1]sens_0_spec_90_PSA!E72</f>
        <v>0.129</v>
      </c>
      <c r="F72" s="1">
        <f>[1]sens_0_spec_90_PSA!F72</f>
        <v>3.0099999999999998E-2</v>
      </c>
      <c r="G72" s="2">
        <f>[1]sens_0_spec_90_PSA!G72</f>
        <v>19.8013734274375</v>
      </c>
      <c r="H72" s="2">
        <f>[1]sens_0_spec_90_PSA!H72</f>
        <v>15.4933847372368</v>
      </c>
      <c r="I72" s="2">
        <f>[1]sens_0_spec_90_PSA!I72</f>
        <v>9.2182715019071306</v>
      </c>
      <c r="J72" s="3">
        <f>[1]sens_0_spec_90_PSA!J72</f>
        <v>236368.32917533201</v>
      </c>
      <c r="K72" s="3">
        <f>[1]sens_0_spec_90_PSA!K72</f>
        <v>138297.89507028699</v>
      </c>
      <c r="L72">
        <f>[1]sens_0_spec_90_PSA!L72</f>
        <v>1</v>
      </c>
      <c r="M72">
        <f>[1]sens_0_spec_90_PSA!M72</f>
        <v>0</v>
      </c>
    </row>
    <row r="73" spans="1:13" x14ac:dyDescent="0.25">
      <c r="A73">
        <v>72</v>
      </c>
      <c r="B73">
        <f>[1]sens_0_spec_90_PSA!B73</f>
        <v>0</v>
      </c>
      <c r="C73" t="str">
        <f>[1]sens_0_spec_90_PSA!C73</f>
        <v>NA</v>
      </c>
      <c r="D73">
        <f>[1]sens_0_spec_90_PSA!D73</f>
        <v>0</v>
      </c>
      <c r="E73" s="1">
        <f>[1]sens_0_spec_90_PSA!E73</f>
        <v>0.22209999999999999</v>
      </c>
      <c r="F73" s="1">
        <f>[1]sens_0_spec_90_PSA!F73</f>
        <v>3.8899999999999997E-2</v>
      </c>
      <c r="G73" s="2">
        <f>[1]sens_0_spec_90_PSA!G73</f>
        <v>16.7503492243595</v>
      </c>
      <c r="H73" s="2">
        <f>[1]sens_0_spec_90_PSA!H73</f>
        <v>13.0021472234626</v>
      </c>
      <c r="I73" s="2">
        <f>[1]sens_0_spec_90_PSA!I73</f>
        <v>7.9003857479399198</v>
      </c>
      <c r="J73" s="3">
        <f>[1]sens_0_spec_90_PSA!J73</f>
        <v>205823.394570098</v>
      </c>
      <c r="K73" s="3">
        <f>[1]sens_0_spec_90_PSA!K73</f>
        <v>123725.672227755</v>
      </c>
      <c r="L73">
        <f>[1]sens_0_spec_90_PSA!L73</f>
        <v>1</v>
      </c>
      <c r="M73">
        <f>[1]sens_0_spec_90_PSA!M73</f>
        <v>0</v>
      </c>
    </row>
    <row r="74" spans="1:13" x14ac:dyDescent="0.25">
      <c r="A74">
        <v>73</v>
      </c>
      <c r="B74">
        <f>[1]sens_0_spec_90_PSA!B74</f>
        <v>0</v>
      </c>
      <c r="C74" t="str">
        <f>[1]sens_0_spec_90_PSA!C74</f>
        <v>NA</v>
      </c>
      <c r="D74">
        <f>[1]sens_0_spec_90_PSA!D74</f>
        <v>0</v>
      </c>
      <c r="E74" s="1">
        <f>[1]sens_0_spec_90_PSA!E74</f>
        <v>0.18840000000000001</v>
      </c>
      <c r="F74" s="1">
        <f>[1]sens_0_spec_90_PSA!F74</f>
        <v>3.39E-2</v>
      </c>
      <c r="G74" s="2">
        <f>[1]sens_0_spec_90_PSA!G74</f>
        <v>18.5847250308464</v>
      </c>
      <c r="H74" s="2">
        <f>[1]sens_0_spec_90_PSA!H74</f>
        <v>12.3117822869512</v>
      </c>
      <c r="I74" s="2">
        <f>[1]sens_0_spec_90_PSA!I74</f>
        <v>7.3524188137148503</v>
      </c>
      <c r="J74" s="3">
        <f>[1]sens_0_spec_90_PSA!J74</f>
        <v>208979.42881162601</v>
      </c>
      <c r="K74" s="3">
        <f>[1]sens_0_spec_90_PSA!K74</f>
        <v>123143.477808654</v>
      </c>
      <c r="L74">
        <f>[1]sens_0_spec_90_PSA!L74</f>
        <v>1</v>
      </c>
      <c r="M74">
        <f>[1]sens_0_spec_90_PSA!M74</f>
        <v>0</v>
      </c>
    </row>
    <row r="75" spans="1:13" x14ac:dyDescent="0.25">
      <c r="A75">
        <v>74</v>
      </c>
      <c r="B75">
        <f>[1]sens_0_spec_90_PSA!B75</f>
        <v>0</v>
      </c>
      <c r="C75" t="str">
        <f>[1]sens_0_spec_90_PSA!C75</f>
        <v>NA</v>
      </c>
      <c r="D75">
        <f>[1]sens_0_spec_90_PSA!D75</f>
        <v>0</v>
      </c>
      <c r="E75" s="1">
        <f>[1]sens_0_spec_90_PSA!E75</f>
        <v>0.18909999999999999</v>
      </c>
      <c r="F75" s="1">
        <f>[1]sens_0_spec_90_PSA!F75</f>
        <v>4.65E-2</v>
      </c>
      <c r="G75" s="2">
        <f>[1]sens_0_spec_90_PSA!G75</f>
        <v>17.679138216840201</v>
      </c>
      <c r="H75" s="2">
        <f>[1]sens_0_spec_90_PSA!H75</f>
        <v>12.103361095404299</v>
      </c>
      <c r="I75" s="2">
        <f>[1]sens_0_spec_90_PSA!I75</f>
        <v>7.2711699570974</v>
      </c>
      <c r="J75" s="3">
        <f>[1]sens_0_spec_90_PSA!J75</f>
        <v>174107.14909164899</v>
      </c>
      <c r="K75" s="3">
        <f>[1]sens_0_spec_90_PSA!K75</f>
        <v>104642.302760946</v>
      </c>
      <c r="L75">
        <f>[1]sens_0_spec_90_PSA!L75</f>
        <v>1</v>
      </c>
      <c r="M75">
        <f>[1]sens_0_spec_90_PSA!M75</f>
        <v>0</v>
      </c>
    </row>
    <row r="76" spans="1:13" x14ac:dyDescent="0.25">
      <c r="A76">
        <v>75</v>
      </c>
      <c r="B76">
        <f>[1]sens_0_spec_90_PSA!B76</f>
        <v>0</v>
      </c>
      <c r="C76" t="str">
        <f>[1]sens_0_spec_90_PSA!C76</f>
        <v>NA</v>
      </c>
      <c r="D76">
        <f>[1]sens_0_spec_90_PSA!D76</f>
        <v>0</v>
      </c>
      <c r="E76" s="1">
        <f>[1]sens_0_spec_90_PSA!E76</f>
        <v>0.28210000000000002</v>
      </c>
      <c r="F76" s="1">
        <f>[1]sens_0_spec_90_PSA!F76</f>
        <v>2.4E-2</v>
      </c>
      <c r="G76" s="2">
        <f>[1]sens_0_spec_90_PSA!G76</f>
        <v>16.5627496932204</v>
      </c>
      <c r="H76" s="2">
        <f>[1]sens_0_spec_90_PSA!H76</f>
        <v>12.2830117592482</v>
      </c>
      <c r="I76" s="2">
        <f>[1]sens_0_spec_90_PSA!I76</f>
        <v>7.3622335366589899</v>
      </c>
      <c r="J76" s="3">
        <f>[1]sens_0_spec_90_PSA!J76</f>
        <v>152738.77360349099</v>
      </c>
      <c r="K76" s="3">
        <f>[1]sens_0_spec_90_PSA!K76</f>
        <v>92203.999009342893</v>
      </c>
      <c r="L76">
        <f>[1]sens_0_spec_90_PSA!L76</f>
        <v>1</v>
      </c>
      <c r="M76">
        <f>[1]sens_0_spec_90_PSA!M76</f>
        <v>0</v>
      </c>
    </row>
    <row r="77" spans="1:13" x14ac:dyDescent="0.25">
      <c r="A77">
        <v>76</v>
      </c>
      <c r="B77">
        <f>[1]sens_0_spec_90_PSA!B77</f>
        <v>0</v>
      </c>
      <c r="C77" t="str">
        <f>[1]sens_0_spec_90_PSA!C77</f>
        <v>NA</v>
      </c>
      <c r="D77">
        <f>[1]sens_0_spec_90_PSA!D77</f>
        <v>0</v>
      </c>
      <c r="E77" s="1">
        <f>[1]sens_0_spec_90_PSA!E77</f>
        <v>0.29310000000000003</v>
      </c>
      <c r="F77" s="1">
        <f>[1]sens_0_spec_90_PSA!F77</f>
        <v>4.5499999999999999E-2</v>
      </c>
      <c r="G77" s="2">
        <f>[1]sens_0_spec_90_PSA!G77</f>
        <v>15.655940192760999</v>
      </c>
      <c r="H77" s="2">
        <f>[1]sens_0_spec_90_PSA!H77</f>
        <v>12.6981760910283</v>
      </c>
      <c r="I77" s="2">
        <f>[1]sens_0_spec_90_PSA!I77</f>
        <v>7.6281986588230204</v>
      </c>
      <c r="J77" s="3">
        <f>[1]sens_0_spec_90_PSA!J77</f>
        <v>156597.89651178001</v>
      </c>
      <c r="K77" s="3">
        <f>[1]sens_0_spec_90_PSA!K77</f>
        <v>94429.890958861797</v>
      </c>
      <c r="L77">
        <f>[1]sens_0_spec_90_PSA!L77</f>
        <v>1</v>
      </c>
      <c r="M77">
        <f>[1]sens_0_spec_90_PSA!M77</f>
        <v>0</v>
      </c>
    </row>
    <row r="78" spans="1:13" x14ac:dyDescent="0.25">
      <c r="A78">
        <v>77</v>
      </c>
      <c r="B78">
        <f>[1]sens_0_spec_90_PSA!B78</f>
        <v>0</v>
      </c>
      <c r="C78" t="str">
        <f>[1]sens_0_spec_90_PSA!C78</f>
        <v>NA</v>
      </c>
      <c r="D78">
        <f>[1]sens_0_spec_90_PSA!D78</f>
        <v>0</v>
      </c>
      <c r="E78" s="1">
        <f>[1]sens_0_spec_90_PSA!E78</f>
        <v>0.26140000000000002</v>
      </c>
      <c r="F78" s="1">
        <f>[1]sens_0_spec_90_PSA!F78</f>
        <v>4.8099999999999997E-2</v>
      </c>
      <c r="G78" s="2">
        <f>[1]sens_0_spec_90_PSA!G78</f>
        <v>17.260250189631101</v>
      </c>
      <c r="H78" s="2">
        <f>[1]sens_0_spec_90_PSA!H78</f>
        <v>11.9442514582224</v>
      </c>
      <c r="I78" s="2">
        <f>[1]sens_0_spec_90_PSA!I78</f>
        <v>7.0586176895829196</v>
      </c>
      <c r="J78" s="3">
        <f>[1]sens_0_spec_90_PSA!J78</f>
        <v>208538.96342214401</v>
      </c>
      <c r="K78" s="3">
        <f>[1]sens_0_spec_90_PSA!K78</f>
        <v>121149.401234654</v>
      </c>
      <c r="L78">
        <f>[1]sens_0_spec_90_PSA!L78</f>
        <v>1</v>
      </c>
      <c r="M78">
        <f>[1]sens_0_spec_90_PSA!M78</f>
        <v>0</v>
      </c>
    </row>
    <row r="79" spans="1:13" x14ac:dyDescent="0.25">
      <c r="A79">
        <v>78</v>
      </c>
      <c r="B79">
        <f>[1]sens_0_spec_90_PSA!B79</f>
        <v>0</v>
      </c>
      <c r="C79" t="str">
        <f>[1]sens_0_spec_90_PSA!C79</f>
        <v>NA</v>
      </c>
      <c r="D79">
        <f>[1]sens_0_spec_90_PSA!D79</f>
        <v>0</v>
      </c>
      <c r="E79" s="1">
        <f>[1]sens_0_spec_90_PSA!E79</f>
        <v>0.1082</v>
      </c>
      <c r="F79" s="1">
        <f>[1]sens_0_spec_90_PSA!F79</f>
        <v>3.1899999999999998E-2</v>
      </c>
      <c r="G79" s="2">
        <f>[1]sens_0_spec_90_PSA!G79</f>
        <v>18.031794194762799</v>
      </c>
      <c r="H79" s="2">
        <f>[1]sens_0_spec_90_PSA!H79</f>
        <v>13.5562419319964</v>
      </c>
      <c r="I79" s="2">
        <f>[1]sens_0_spec_90_PSA!I79</f>
        <v>8.3319711060054704</v>
      </c>
      <c r="J79" s="3">
        <f>[1]sens_0_spec_90_PSA!J79</f>
        <v>194912.145258668</v>
      </c>
      <c r="K79" s="3">
        <f>[1]sens_0_spec_90_PSA!K79</f>
        <v>119732.59429152901</v>
      </c>
      <c r="L79">
        <f>[1]sens_0_spec_90_PSA!L79</f>
        <v>1</v>
      </c>
      <c r="M79">
        <f>[1]sens_0_spec_90_PSA!M79</f>
        <v>0</v>
      </c>
    </row>
    <row r="80" spans="1:13" x14ac:dyDescent="0.25">
      <c r="A80">
        <v>79</v>
      </c>
      <c r="B80">
        <f>[1]sens_0_spec_90_PSA!B80</f>
        <v>0</v>
      </c>
      <c r="C80" t="str">
        <f>[1]sens_0_spec_90_PSA!C80</f>
        <v>NA</v>
      </c>
      <c r="D80">
        <f>[1]sens_0_spec_90_PSA!D80</f>
        <v>0</v>
      </c>
      <c r="E80" s="1">
        <f>[1]sens_0_spec_90_PSA!E80</f>
        <v>0.121</v>
      </c>
      <c r="F80" s="1">
        <f>[1]sens_0_spec_90_PSA!F80</f>
        <v>3.1399999999999997E-2</v>
      </c>
      <c r="G80" s="2">
        <f>[1]sens_0_spec_90_PSA!G80</f>
        <v>19.924326252509601</v>
      </c>
      <c r="H80" s="2">
        <f>[1]sens_0_spec_90_PSA!H80</f>
        <v>13.5727548414861</v>
      </c>
      <c r="I80" s="2">
        <f>[1]sens_0_spec_90_PSA!I80</f>
        <v>8.1013847899556097</v>
      </c>
      <c r="J80" s="3">
        <f>[1]sens_0_spec_90_PSA!J80</f>
        <v>245469.23247286299</v>
      </c>
      <c r="K80" s="3">
        <f>[1]sens_0_spec_90_PSA!K80</f>
        <v>143757.818586173</v>
      </c>
      <c r="L80">
        <f>[1]sens_0_spec_90_PSA!L80</f>
        <v>1</v>
      </c>
      <c r="M80">
        <f>[1]sens_0_spec_90_PSA!M80</f>
        <v>0</v>
      </c>
    </row>
    <row r="81" spans="1:13" x14ac:dyDescent="0.25">
      <c r="A81">
        <v>80</v>
      </c>
      <c r="B81">
        <f>[1]sens_0_spec_90_PSA!B81</f>
        <v>0</v>
      </c>
      <c r="C81" t="str">
        <f>[1]sens_0_spec_90_PSA!C81</f>
        <v>NA</v>
      </c>
      <c r="D81">
        <f>[1]sens_0_spec_90_PSA!D81</f>
        <v>0</v>
      </c>
      <c r="E81" s="1">
        <f>[1]sens_0_spec_90_PSA!E81</f>
        <v>0.31719999999999998</v>
      </c>
      <c r="F81" s="1">
        <f>[1]sens_0_spec_90_PSA!F81</f>
        <v>3.3099999999999997E-2</v>
      </c>
      <c r="G81" s="2">
        <f>[1]sens_0_spec_90_PSA!G81</f>
        <v>15.773774492804</v>
      </c>
      <c r="H81" s="2">
        <f>[1]sens_0_spec_90_PSA!H81</f>
        <v>11.707931891946901</v>
      </c>
      <c r="I81" s="2">
        <f>[1]sens_0_spec_90_PSA!I81</f>
        <v>6.9807513022685299</v>
      </c>
      <c r="J81" s="3">
        <f>[1]sens_0_spec_90_PSA!J81</f>
        <v>156996.32277040099</v>
      </c>
      <c r="K81" s="3">
        <f>[1]sens_0_spec_90_PSA!K81</f>
        <v>93787.599469861394</v>
      </c>
      <c r="L81">
        <f>[1]sens_0_spec_90_PSA!L81</f>
        <v>1</v>
      </c>
      <c r="M81">
        <f>[1]sens_0_spec_90_PSA!M81</f>
        <v>0</v>
      </c>
    </row>
    <row r="82" spans="1:13" x14ac:dyDescent="0.25">
      <c r="A82">
        <v>81</v>
      </c>
      <c r="B82">
        <f>[1]sens_0_spec_90_PSA!B82</f>
        <v>0</v>
      </c>
      <c r="C82" t="str">
        <f>[1]sens_0_spec_90_PSA!C82</f>
        <v>NA</v>
      </c>
      <c r="D82">
        <f>[1]sens_0_spec_90_PSA!D82</f>
        <v>0</v>
      </c>
      <c r="E82" s="1">
        <f>[1]sens_0_spec_90_PSA!E82</f>
        <v>0.25700000000000001</v>
      </c>
      <c r="F82" s="1">
        <f>[1]sens_0_spec_90_PSA!F82</f>
        <v>3.4299999999999997E-2</v>
      </c>
      <c r="G82" s="2">
        <f>[1]sens_0_spec_90_PSA!G82</f>
        <v>16.996023455958898</v>
      </c>
      <c r="H82" s="2">
        <f>[1]sens_0_spec_90_PSA!H82</f>
        <v>13.4799847270536</v>
      </c>
      <c r="I82" s="2">
        <f>[1]sens_0_spec_90_PSA!I82</f>
        <v>8.0546664788522904</v>
      </c>
      <c r="J82" s="3">
        <f>[1]sens_0_spec_90_PSA!J82</f>
        <v>189385.789962346</v>
      </c>
      <c r="K82" s="3">
        <f>[1]sens_0_spec_90_PSA!K82</f>
        <v>112281.57684077301</v>
      </c>
      <c r="L82">
        <f>[1]sens_0_spec_90_PSA!L82</f>
        <v>1</v>
      </c>
      <c r="M82">
        <f>[1]sens_0_spec_90_PSA!M82</f>
        <v>0</v>
      </c>
    </row>
    <row r="83" spans="1:13" x14ac:dyDescent="0.25">
      <c r="A83">
        <v>82</v>
      </c>
      <c r="B83">
        <f>[1]sens_0_spec_90_PSA!B83</f>
        <v>0</v>
      </c>
      <c r="C83" t="str">
        <f>[1]sens_0_spec_90_PSA!C83</f>
        <v>NA</v>
      </c>
      <c r="D83">
        <f>[1]sens_0_spec_90_PSA!D83</f>
        <v>0</v>
      </c>
      <c r="E83" s="1">
        <f>[1]sens_0_spec_90_PSA!E83</f>
        <v>0.14749999999999999</v>
      </c>
      <c r="F83" s="1">
        <f>[1]sens_0_spec_90_PSA!F83</f>
        <v>3.8699999999999998E-2</v>
      </c>
      <c r="G83" s="2">
        <f>[1]sens_0_spec_90_PSA!G83</f>
        <v>19.576865825527602</v>
      </c>
      <c r="H83" s="2">
        <f>[1]sens_0_spec_90_PSA!H83</f>
        <v>13.6959375817351</v>
      </c>
      <c r="I83" s="2">
        <f>[1]sens_0_spec_90_PSA!I83</f>
        <v>8.1080883032722504</v>
      </c>
      <c r="J83" s="3">
        <f>[1]sens_0_spec_90_PSA!J83</f>
        <v>255921.33853402399</v>
      </c>
      <c r="K83" s="3">
        <f>[1]sens_0_spec_90_PSA!K83</f>
        <v>147848.712483574</v>
      </c>
      <c r="L83">
        <f>[1]sens_0_spec_90_PSA!L83</f>
        <v>1</v>
      </c>
      <c r="M83">
        <f>[1]sens_0_spec_90_PSA!M83</f>
        <v>0</v>
      </c>
    </row>
    <row r="84" spans="1:13" x14ac:dyDescent="0.25">
      <c r="A84">
        <v>83</v>
      </c>
      <c r="B84">
        <f>[1]sens_0_spec_90_PSA!B84</f>
        <v>0</v>
      </c>
      <c r="C84" t="str">
        <f>[1]sens_0_spec_90_PSA!C84</f>
        <v>NA</v>
      </c>
      <c r="D84">
        <f>[1]sens_0_spec_90_PSA!D84</f>
        <v>0</v>
      </c>
      <c r="E84" s="1">
        <f>[1]sens_0_spec_90_PSA!E84</f>
        <v>0.15240000000000001</v>
      </c>
      <c r="F84" s="1">
        <f>[1]sens_0_spec_90_PSA!F84</f>
        <v>2.47E-2</v>
      </c>
      <c r="G84" s="2">
        <f>[1]sens_0_spec_90_PSA!G84</f>
        <v>19.211645996886102</v>
      </c>
      <c r="H84" s="2">
        <f>[1]sens_0_spec_90_PSA!H84</f>
        <v>13.556643136920799</v>
      </c>
      <c r="I84" s="2">
        <f>[1]sens_0_spec_90_PSA!I84</f>
        <v>8.1104035683648608</v>
      </c>
      <c r="J84" s="3">
        <f>[1]sens_0_spec_90_PSA!J84</f>
        <v>176838.42303201</v>
      </c>
      <c r="K84" s="3">
        <f>[1]sens_0_spec_90_PSA!K84</f>
        <v>105877.33847032901</v>
      </c>
      <c r="L84">
        <f>[1]sens_0_spec_90_PSA!L84</f>
        <v>1</v>
      </c>
      <c r="M84">
        <f>[1]sens_0_spec_90_PSA!M84</f>
        <v>0</v>
      </c>
    </row>
    <row r="85" spans="1:13" x14ac:dyDescent="0.25">
      <c r="A85">
        <v>84</v>
      </c>
      <c r="B85">
        <f>[1]sens_0_spec_90_PSA!B85</f>
        <v>0</v>
      </c>
      <c r="C85" t="str">
        <f>[1]sens_0_spec_90_PSA!C85</f>
        <v>NA</v>
      </c>
      <c r="D85">
        <f>[1]sens_0_spec_90_PSA!D85</f>
        <v>0</v>
      </c>
      <c r="E85" s="1">
        <f>[1]sens_0_spec_90_PSA!E85</f>
        <v>0.22020000000000001</v>
      </c>
      <c r="F85" s="1">
        <f>[1]sens_0_spec_90_PSA!F85</f>
        <v>4.41E-2</v>
      </c>
      <c r="G85" s="2">
        <f>[1]sens_0_spec_90_PSA!G85</f>
        <v>16.612805879367599</v>
      </c>
      <c r="H85" s="2">
        <f>[1]sens_0_spec_90_PSA!H85</f>
        <v>12.383919326095199</v>
      </c>
      <c r="I85" s="2">
        <f>[1]sens_0_spec_90_PSA!I85</f>
        <v>7.5144449500522397</v>
      </c>
      <c r="J85" s="3">
        <f>[1]sens_0_spec_90_PSA!J85</f>
        <v>124232.441641987</v>
      </c>
      <c r="K85" s="3">
        <f>[1]sens_0_spec_90_PSA!K85</f>
        <v>77283.183813886601</v>
      </c>
      <c r="L85">
        <f>[1]sens_0_spec_90_PSA!L85</f>
        <v>1</v>
      </c>
      <c r="M85">
        <f>[1]sens_0_spec_90_PSA!M85</f>
        <v>0</v>
      </c>
    </row>
    <row r="86" spans="1:13" x14ac:dyDescent="0.25">
      <c r="A86">
        <v>85</v>
      </c>
      <c r="B86">
        <f>[1]sens_0_spec_90_PSA!B86</f>
        <v>0</v>
      </c>
      <c r="C86" t="str">
        <f>[1]sens_0_spec_90_PSA!C86</f>
        <v>NA</v>
      </c>
      <c r="D86">
        <f>[1]sens_0_spec_90_PSA!D86</f>
        <v>0</v>
      </c>
      <c r="E86" s="1">
        <f>[1]sens_0_spec_90_PSA!E86</f>
        <v>0.1668</v>
      </c>
      <c r="F86" s="1">
        <f>[1]sens_0_spec_90_PSA!F86</f>
        <v>3.9100000000000003E-2</v>
      </c>
      <c r="G86" s="2">
        <f>[1]sens_0_spec_90_PSA!G86</f>
        <v>16.992573057424501</v>
      </c>
      <c r="H86" s="2">
        <f>[1]sens_0_spec_90_PSA!H86</f>
        <v>11.867988725792401</v>
      </c>
      <c r="I86" s="2">
        <f>[1]sens_0_spec_90_PSA!I86</f>
        <v>7.2636584686151897</v>
      </c>
      <c r="J86" s="3">
        <f>[1]sens_0_spec_90_PSA!J86</f>
        <v>153776.96004319901</v>
      </c>
      <c r="K86" s="3">
        <f>[1]sens_0_spec_90_PSA!K86</f>
        <v>95237.664290673099</v>
      </c>
      <c r="L86">
        <f>[1]sens_0_spec_90_PSA!L86</f>
        <v>1</v>
      </c>
      <c r="M86">
        <f>[1]sens_0_spec_90_PSA!M86</f>
        <v>0</v>
      </c>
    </row>
    <row r="87" spans="1:13" x14ac:dyDescent="0.25">
      <c r="A87">
        <v>86</v>
      </c>
      <c r="B87">
        <f>[1]sens_0_spec_90_PSA!B87</f>
        <v>0</v>
      </c>
      <c r="C87" t="str">
        <f>[1]sens_0_spec_90_PSA!C87</f>
        <v>NA</v>
      </c>
      <c r="D87">
        <f>[1]sens_0_spec_90_PSA!D87</f>
        <v>0</v>
      </c>
      <c r="E87" s="1">
        <f>[1]sens_0_spec_90_PSA!E87</f>
        <v>0.21729999999999999</v>
      </c>
      <c r="F87" s="1">
        <f>[1]sens_0_spec_90_PSA!F87</f>
        <v>3.39E-2</v>
      </c>
      <c r="G87" s="2">
        <f>[1]sens_0_spec_90_PSA!G87</f>
        <v>15.8474207819371</v>
      </c>
      <c r="H87" s="2">
        <f>[1]sens_0_spec_90_PSA!H87</f>
        <v>12.4474378030041</v>
      </c>
      <c r="I87" s="2">
        <f>[1]sens_0_spec_90_PSA!I87</f>
        <v>7.6921697362217003</v>
      </c>
      <c r="J87" s="3">
        <f>[1]sens_0_spec_90_PSA!J87</f>
        <v>171023.00174892301</v>
      </c>
      <c r="K87" s="3">
        <f>[1]sens_0_spec_90_PSA!K87</f>
        <v>106154.20352213801</v>
      </c>
      <c r="L87">
        <f>[1]sens_0_spec_90_PSA!L87</f>
        <v>1</v>
      </c>
      <c r="M87">
        <f>[1]sens_0_spec_90_PSA!M87</f>
        <v>0</v>
      </c>
    </row>
    <row r="88" spans="1:13" x14ac:dyDescent="0.25">
      <c r="A88">
        <v>87</v>
      </c>
      <c r="B88">
        <f>[1]sens_0_spec_90_PSA!B88</f>
        <v>0</v>
      </c>
      <c r="C88" t="str">
        <f>[1]sens_0_spec_90_PSA!C88</f>
        <v>NA</v>
      </c>
      <c r="D88">
        <f>[1]sens_0_spec_90_PSA!D88</f>
        <v>0</v>
      </c>
      <c r="E88" s="1">
        <f>[1]sens_0_spec_90_PSA!E88</f>
        <v>0.15759999999999999</v>
      </c>
      <c r="F88" s="1">
        <f>[1]sens_0_spec_90_PSA!F88</f>
        <v>4.2900000000000001E-2</v>
      </c>
      <c r="G88" s="2">
        <f>[1]sens_0_spec_90_PSA!G88</f>
        <v>17.82104338693</v>
      </c>
      <c r="H88" s="2">
        <f>[1]sens_0_spec_90_PSA!H88</f>
        <v>12.1263153198149</v>
      </c>
      <c r="I88" s="2">
        <f>[1]sens_0_spec_90_PSA!I88</f>
        <v>7.37197193030606</v>
      </c>
      <c r="J88" s="3">
        <f>[1]sens_0_spec_90_PSA!J88</f>
        <v>184291.397195506</v>
      </c>
      <c r="K88" s="3">
        <f>[1]sens_0_spec_90_PSA!K88</f>
        <v>111991.790066712</v>
      </c>
      <c r="L88">
        <f>[1]sens_0_spec_90_PSA!L88</f>
        <v>1</v>
      </c>
      <c r="M88">
        <f>[1]sens_0_spec_90_PSA!M88</f>
        <v>0</v>
      </c>
    </row>
    <row r="89" spans="1:13" x14ac:dyDescent="0.25">
      <c r="A89">
        <v>88</v>
      </c>
      <c r="B89">
        <f>[1]sens_0_spec_90_PSA!B89</f>
        <v>0</v>
      </c>
      <c r="C89" t="str">
        <f>[1]sens_0_spec_90_PSA!C89</f>
        <v>NA</v>
      </c>
      <c r="D89">
        <f>[1]sens_0_spec_90_PSA!D89</f>
        <v>0</v>
      </c>
      <c r="E89" s="1">
        <f>[1]sens_0_spec_90_PSA!E89</f>
        <v>0.2019</v>
      </c>
      <c r="F89" s="1">
        <f>[1]sens_0_spec_90_PSA!F89</f>
        <v>4.6100000000000002E-2</v>
      </c>
      <c r="G89" s="2">
        <f>[1]sens_0_spec_90_PSA!G89</f>
        <v>17.439053135938799</v>
      </c>
      <c r="H89" s="2">
        <f>[1]sens_0_spec_90_PSA!H89</f>
        <v>12.4564060802978</v>
      </c>
      <c r="I89" s="2">
        <f>[1]sens_0_spec_90_PSA!I89</f>
        <v>7.4801005147230901</v>
      </c>
      <c r="J89" s="3">
        <f>[1]sens_0_spec_90_PSA!J89</f>
        <v>231859.678806296</v>
      </c>
      <c r="K89" s="3">
        <f>[1]sens_0_spec_90_PSA!K89</f>
        <v>136825.15593896501</v>
      </c>
      <c r="L89">
        <f>[1]sens_0_spec_90_PSA!L89</f>
        <v>1</v>
      </c>
      <c r="M89">
        <f>[1]sens_0_spec_90_PSA!M89</f>
        <v>0</v>
      </c>
    </row>
    <row r="90" spans="1:13" x14ac:dyDescent="0.25">
      <c r="A90">
        <v>89</v>
      </c>
      <c r="B90">
        <f>[1]sens_0_spec_90_PSA!B90</f>
        <v>0</v>
      </c>
      <c r="C90" t="str">
        <f>[1]sens_0_spec_90_PSA!C90</f>
        <v>NA</v>
      </c>
      <c r="D90">
        <f>[1]sens_0_spec_90_PSA!D90</f>
        <v>0</v>
      </c>
      <c r="E90" s="1">
        <f>[1]sens_0_spec_90_PSA!E90</f>
        <v>0.22409999999999999</v>
      </c>
      <c r="F90" s="1">
        <f>[1]sens_0_spec_90_PSA!F90</f>
        <v>4.1300000000000003E-2</v>
      </c>
      <c r="G90" s="2">
        <f>[1]sens_0_spec_90_PSA!G90</f>
        <v>18.9242619410409</v>
      </c>
      <c r="H90" s="2">
        <f>[1]sens_0_spec_90_PSA!H90</f>
        <v>13.8504104452206</v>
      </c>
      <c r="I90" s="2">
        <f>[1]sens_0_spec_90_PSA!I90</f>
        <v>8.0957121967780292</v>
      </c>
      <c r="J90" s="3">
        <f>[1]sens_0_spec_90_PSA!J90</f>
        <v>279502.61576399999</v>
      </c>
      <c r="K90" s="3">
        <f>[1]sens_0_spec_90_PSA!K90</f>
        <v>157387.50690414099</v>
      </c>
      <c r="L90">
        <f>[1]sens_0_spec_90_PSA!L90</f>
        <v>1</v>
      </c>
      <c r="M90">
        <f>[1]sens_0_spec_90_PSA!M90</f>
        <v>0</v>
      </c>
    </row>
    <row r="91" spans="1:13" x14ac:dyDescent="0.25">
      <c r="A91">
        <v>90</v>
      </c>
      <c r="B91">
        <f>[1]sens_0_spec_90_PSA!B91</f>
        <v>0</v>
      </c>
      <c r="C91" t="str">
        <f>[1]sens_0_spec_90_PSA!C91</f>
        <v>NA</v>
      </c>
      <c r="D91">
        <f>[1]sens_0_spec_90_PSA!D91</f>
        <v>0</v>
      </c>
      <c r="E91" s="1">
        <f>[1]sens_0_spec_90_PSA!E91</f>
        <v>0.18029999999999999</v>
      </c>
      <c r="F91" s="1">
        <f>[1]sens_0_spec_90_PSA!F91</f>
        <v>3.32E-2</v>
      </c>
      <c r="G91" s="2">
        <f>[1]sens_0_spec_90_PSA!G91</f>
        <v>18.398757473393701</v>
      </c>
      <c r="H91" s="2">
        <f>[1]sens_0_spec_90_PSA!H91</f>
        <v>11.587363051413501</v>
      </c>
      <c r="I91" s="2">
        <f>[1]sens_0_spec_90_PSA!I91</f>
        <v>6.9390183811119304</v>
      </c>
      <c r="J91" s="3">
        <f>[1]sens_0_spec_90_PSA!J91</f>
        <v>242947.764296054</v>
      </c>
      <c r="K91" s="3">
        <f>[1]sens_0_spec_90_PSA!K91</f>
        <v>142679.91748807899</v>
      </c>
      <c r="L91">
        <f>[1]sens_0_spec_90_PSA!L91</f>
        <v>1</v>
      </c>
      <c r="M91">
        <f>[1]sens_0_spec_90_PSA!M91</f>
        <v>0</v>
      </c>
    </row>
    <row r="92" spans="1:13" x14ac:dyDescent="0.25">
      <c r="A92">
        <v>91</v>
      </c>
      <c r="B92">
        <f>[1]sens_0_spec_90_PSA!B92</f>
        <v>0</v>
      </c>
      <c r="C92" t="str">
        <f>[1]sens_0_spec_90_PSA!C92</f>
        <v>NA</v>
      </c>
      <c r="D92">
        <f>[1]sens_0_spec_90_PSA!D92</f>
        <v>0</v>
      </c>
      <c r="E92" s="1">
        <f>[1]sens_0_spec_90_PSA!E92</f>
        <v>0.2392</v>
      </c>
      <c r="F92" s="1">
        <f>[1]sens_0_spec_90_PSA!F92</f>
        <v>2.46E-2</v>
      </c>
      <c r="G92" s="2">
        <f>[1]sens_0_spec_90_PSA!G92</f>
        <v>16.410909619749098</v>
      </c>
      <c r="H92" s="2">
        <f>[1]sens_0_spec_90_PSA!H92</f>
        <v>11.189208690766099</v>
      </c>
      <c r="I92" s="2">
        <f>[1]sens_0_spec_90_PSA!I92</f>
        <v>6.7952843537670198</v>
      </c>
      <c r="J92" s="3">
        <f>[1]sens_0_spec_90_PSA!J92</f>
        <v>173493.467944406</v>
      </c>
      <c r="K92" s="3">
        <f>[1]sens_0_spec_90_PSA!K92</f>
        <v>105624.476728932</v>
      </c>
      <c r="L92">
        <f>[1]sens_0_spec_90_PSA!L92</f>
        <v>1</v>
      </c>
      <c r="M92">
        <f>[1]sens_0_spec_90_PSA!M92</f>
        <v>0</v>
      </c>
    </row>
    <row r="93" spans="1:13" x14ac:dyDescent="0.25">
      <c r="A93">
        <v>92</v>
      </c>
      <c r="B93">
        <f>[1]sens_0_spec_90_PSA!B93</f>
        <v>0</v>
      </c>
      <c r="C93" t="str">
        <f>[1]sens_0_spec_90_PSA!C93</f>
        <v>NA</v>
      </c>
      <c r="D93">
        <f>[1]sens_0_spec_90_PSA!D93</f>
        <v>0</v>
      </c>
      <c r="E93" s="1">
        <f>[1]sens_0_spec_90_PSA!E93</f>
        <v>0.24479999999999999</v>
      </c>
      <c r="F93" s="1">
        <f>[1]sens_0_spec_90_PSA!F93</f>
        <v>2.7E-2</v>
      </c>
      <c r="G93" s="2">
        <f>[1]sens_0_spec_90_PSA!G93</f>
        <v>17.305590782779301</v>
      </c>
      <c r="H93" s="2">
        <f>[1]sens_0_spec_90_PSA!H93</f>
        <v>11.370724132567799</v>
      </c>
      <c r="I93" s="2">
        <f>[1]sens_0_spec_90_PSA!I93</f>
        <v>6.7951867515683499</v>
      </c>
      <c r="J93" s="3">
        <f>[1]sens_0_spec_90_PSA!J93</f>
        <v>199687.40709089101</v>
      </c>
      <c r="K93" s="3">
        <f>[1]sens_0_spec_90_PSA!K93</f>
        <v>118075.199135838</v>
      </c>
      <c r="L93">
        <f>[1]sens_0_spec_90_PSA!L93</f>
        <v>1</v>
      </c>
      <c r="M93">
        <f>[1]sens_0_spec_90_PSA!M93</f>
        <v>0</v>
      </c>
    </row>
    <row r="94" spans="1:13" x14ac:dyDescent="0.25">
      <c r="A94">
        <v>93</v>
      </c>
      <c r="B94">
        <f>[1]sens_0_spec_90_PSA!B94</f>
        <v>0</v>
      </c>
      <c r="C94" t="str">
        <f>[1]sens_0_spec_90_PSA!C94</f>
        <v>NA</v>
      </c>
      <c r="D94">
        <f>[1]sens_0_spec_90_PSA!D94</f>
        <v>0</v>
      </c>
      <c r="E94" s="1">
        <f>[1]sens_0_spec_90_PSA!E94</f>
        <v>0.14899999999999999</v>
      </c>
      <c r="F94" s="1">
        <f>[1]sens_0_spec_90_PSA!F94</f>
        <v>3.2599999999999997E-2</v>
      </c>
      <c r="G94" s="2">
        <f>[1]sens_0_spec_90_PSA!G94</f>
        <v>19.910066038746699</v>
      </c>
      <c r="H94" s="2">
        <f>[1]sens_0_spec_90_PSA!H94</f>
        <v>14.079117431101601</v>
      </c>
      <c r="I94" s="2">
        <f>[1]sens_0_spec_90_PSA!I94</f>
        <v>8.3427129566886098</v>
      </c>
      <c r="J94" s="3">
        <f>[1]sens_0_spec_90_PSA!J94</f>
        <v>211396.86100976801</v>
      </c>
      <c r="K94" s="3">
        <f>[1]sens_0_spec_90_PSA!K94</f>
        <v>123811.831991988</v>
      </c>
      <c r="L94">
        <f>[1]sens_0_spec_90_PSA!L94</f>
        <v>1</v>
      </c>
      <c r="M94">
        <f>[1]sens_0_spec_90_PSA!M94</f>
        <v>0</v>
      </c>
    </row>
    <row r="95" spans="1:13" x14ac:dyDescent="0.25">
      <c r="A95">
        <v>94</v>
      </c>
      <c r="B95">
        <f>[1]sens_0_spec_90_PSA!B95</f>
        <v>0</v>
      </c>
      <c r="C95" t="str">
        <f>[1]sens_0_spec_90_PSA!C95</f>
        <v>NA</v>
      </c>
      <c r="D95">
        <f>[1]sens_0_spec_90_PSA!D95</f>
        <v>0</v>
      </c>
      <c r="E95" s="1">
        <f>[1]sens_0_spec_90_PSA!E95</f>
        <v>0.13350000000000001</v>
      </c>
      <c r="F95" s="1">
        <f>[1]sens_0_spec_90_PSA!F95</f>
        <v>4.2299999999999997E-2</v>
      </c>
      <c r="G95" s="2">
        <f>[1]sens_0_spec_90_PSA!G95</f>
        <v>19.222614676591299</v>
      </c>
      <c r="H95" s="2">
        <f>[1]sens_0_spec_90_PSA!H95</f>
        <v>14.258843774855601</v>
      </c>
      <c r="I95" s="2">
        <f>[1]sens_0_spec_90_PSA!I95</f>
        <v>8.5288866932215299</v>
      </c>
      <c r="J95" s="3">
        <f>[1]sens_0_spec_90_PSA!J95</f>
        <v>172443.30040054501</v>
      </c>
      <c r="K95" s="3">
        <f>[1]sens_0_spec_90_PSA!K95</f>
        <v>103498.269493894</v>
      </c>
      <c r="L95">
        <f>[1]sens_0_spec_90_PSA!L95</f>
        <v>1</v>
      </c>
      <c r="M95">
        <f>[1]sens_0_spec_90_PSA!M95</f>
        <v>0</v>
      </c>
    </row>
    <row r="96" spans="1:13" x14ac:dyDescent="0.25">
      <c r="A96">
        <v>95</v>
      </c>
      <c r="B96">
        <f>[1]sens_0_spec_90_PSA!B96</f>
        <v>0</v>
      </c>
      <c r="C96" t="str">
        <f>[1]sens_0_spec_90_PSA!C96</f>
        <v>NA</v>
      </c>
      <c r="D96">
        <f>[1]sens_0_spec_90_PSA!D96</f>
        <v>0</v>
      </c>
      <c r="E96" s="1">
        <f>[1]sens_0_spec_90_PSA!E96</f>
        <v>0.1507</v>
      </c>
      <c r="F96" s="1">
        <f>[1]sens_0_spec_90_PSA!F96</f>
        <v>4.3499999999999997E-2</v>
      </c>
      <c r="G96" s="2">
        <f>[1]sens_0_spec_90_PSA!G96</f>
        <v>18.8077816129532</v>
      </c>
      <c r="H96" s="2">
        <f>[1]sens_0_spec_90_PSA!H96</f>
        <v>15.556944849249399</v>
      </c>
      <c r="I96" s="2">
        <f>[1]sens_0_spec_90_PSA!I96</f>
        <v>9.3251382361666408</v>
      </c>
      <c r="J96" s="3">
        <f>[1]sens_0_spec_90_PSA!J96</f>
        <v>208366.71836783201</v>
      </c>
      <c r="K96" s="3">
        <f>[1]sens_0_spec_90_PSA!K96</f>
        <v>123843.51486880799</v>
      </c>
      <c r="L96">
        <f>[1]sens_0_spec_90_PSA!L96</f>
        <v>1</v>
      </c>
      <c r="M96">
        <f>[1]sens_0_spec_90_PSA!M96</f>
        <v>0</v>
      </c>
    </row>
    <row r="97" spans="1:13" x14ac:dyDescent="0.25">
      <c r="A97">
        <v>96</v>
      </c>
      <c r="B97">
        <f>[1]sens_0_spec_90_PSA!B97</f>
        <v>0</v>
      </c>
      <c r="C97" t="str">
        <f>[1]sens_0_spec_90_PSA!C97</f>
        <v>NA</v>
      </c>
      <c r="D97">
        <f>[1]sens_0_spec_90_PSA!D97</f>
        <v>0</v>
      </c>
      <c r="E97" s="1">
        <f>[1]sens_0_spec_90_PSA!E97</f>
        <v>0.2918</v>
      </c>
      <c r="F97" s="1">
        <f>[1]sens_0_spec_90_PSA!F97</f>
        <v>3.5000000000000003E-2</v>
      </c>
      <c r="G97" s="2">
        <f>[1]sens_0_spec_90_PSA!G97</f>
        <v>17.250942612818498</v>
      </c>
      <c r="H97" s="2">
        <f>[1]sens_0_spec_90_PSA!H97</f>
        <v>12.0459108248864</v>
      </c>
      <c r="I97" s="2">
        <f>[1]sens_0_spec_90_PSA!I97</f>
        <v>7.0439110145882804</v>
      </c>
      <c r="J97" s="3">
        <f>[1]sens_0_spec_90_PSA!J97</f>
        <v>171941.72871754199</v>
      </c>
      <c r="K97" s="3">
        <f>[1]sens_0_spec_90_PSA!K97</f>
        <v>99931.493942835805</v>
      </c>
      <c r="L97">
        <f>[1]sens_0_spec_90_PSA!L97</f>
        <v>1</v>
      </c>
      <c r="M97">
        <f>[1]sens_0_spec_90_PSA!M97</f>
        <v>0</v>
      </c>
    </row>
    <row r="98" spans="1:13" x14ac:dyDescent="0.25">
      <c r="A98">
        <v>97</v>
      </c>
      <c r="B98">
        <f>[1]sens_0_spec_90_PSA!B98</f>
        <v>0</v>
      </c>
      <c r="C98" t="str">
        <f>[1]sens_0_spec_90_PSA!C98</f>
        <v>NA</v>
      </c>
      <c r="D98">
        <f>[1]sens_0_spec_90_PSA!D98</f>
        <v>0</v>
      </c>
      <c r="E98" s="1">
        <f>[1]sens_0_spec_90_PSA!E98</f>
        <v>0.16159999999999999</v>
      </c>
      <c r="F98" s="1">
        <f>[1]sens_0_spec_90_PSA!F98</f>
        <v>3.1800000000000002E-2</v>
      </c>
      <c r="G98" s="2">
        <f>[1]sens_0_spec_90_PSA!G98</f>
        <v>19.440182948550799</v>
      </c>
      <c r="H98" s="2">
        <f>[1]sens_0_spec_90_PSA!H98</f>
        <v>14.0218474390003</v>
      </c>
      <c r="I98" s="2">
        <f>[1]sens_0_spec_90_PSA!I98</f>
        <v>8.3115320207988308</v>
      </c>
      <c r="J98" s="3">
        <f>[1]sens_0_spec_90_PSA!J98</f>
        <v>229368.46926784699</v>
      </c>
      <c r="K98" s="3">
        <f>[1]sens_0_spec_90_PSA!K98</f>
        <v>133331.84349589801</v>
      </c>
      <c r="L98">
        <f>[1]sens_0_spec_90_PSA!L98</f>
        <v>1</v>
      </c>
      <c r="M98">
        <f>[1]sens_0_spec_90_PSA!M98</f>
        <v>0</v>
      </c>
    </row>
    <row r="99" spans="1:13" x14ac:dyDescent="0.25">
      <c r="A99">
        <v>98</v>
      </c>
      <c r="B99">
        <f>[1]sens_0_spec_90_PSA!B99</f>
        <v>0</v>
      </c>
      <c r="C99" t="str">
        <f>[1]sens_0_spec_90_PSA!C99</f>
        <v>NA</v>
      </c>
      <c r="D99">
        <f>[1]sens_0_spec_90_PSA!D99</f>
        <v>0</v>
      </c>
      <c r="E99" s="1">
        <f>[1]sens_0_spec_90_PSA!E99</f>
        <v>0.1323</v>
      </c>
      <c r="F99" s="1">
        <f>[1]sens_0_spec_90_PSA!F99</f>
        <v>4.02E-2</v>
      </c>
      <c r="G99" s="2">
        <f>[1]sens_0_spec_90_PSA!G99</f>
        <v>18.655079156770402</v>
      </c>
      <c r="H99" s="2">
        <f>[1]sens_0_spec_90_PSA!H99</f>
        <v>14.3939681224256</v>
      </c>
      <c r="I99" s="2">
        <f>[1]sens_0_spec_90_PSA!I99</f>
        <v>8.70895434398928</v>
      </c>
      <c r="J99" s="3">
        <f>[1]sens_0_spec_90_PSA!J99</f>
        <v>222351.77621904199</v>
      </c>
      <c r="K99" s="3">
        <f>[1]sens_0_spec_90_PSA!K99</f>
        <v>132948.92946129301</v>
      </c>
      <c r="L99">
        <f>[1]sens_0_spec_90_PSA!L99</f>
        <v>1</v>
      </c>
      <c r="M99">
        <f>[1]sens_0_spec_90_PSA!M99</f>
        <v>0</v>
      </c>
    </row>
    <row r="100" spans="1:13" x14ac:dyDescent="0.25">
      <c r="A100">
        <v>99</v>
      </c>
      <c r="B100">
        <f>[1]sens_0_spec_90_PSA!B100</f>
        <v>0</v>
      </c>
      <c r="C100" t="str">
        <f>[1]sens_0_spec_90_PSA!C100</f>
        <v>NA</v>
      </c>
      <c r="D100">
        <f>[1]sens_0_spec_90_PSA!D100</f>
        <v>0</v>
      </c>
      <c r="E100" s="1">
        <f>[1]sens_0_spec_90_PSA!E100</f>
        <v>0.1265</v>
      </c>
      <c r="F100" s="1">
        <f>[1]sens_0_spec_90_PSA!F100</f>
        <v>3.7100000000000001E-2</v>
      </c>
      <c r="G100" s="2">
        <f>[1]sens_0_spec_90_PSA!G100</f>
        <v>19.2197307917092</v>
      </c>
      <c r="H100" s="2">
        <f>[1]sens_0_spec_90_PSA!H100</f>
        <v>12.979925515289199</v>
      </c>
      <c r="I100" s="2">
        <f>[1]sens_0_spec_90_PSA!I100</f>
        <v>7.8032396416051402</v>
      </c>
      <c r="J100" s="3">
        <f>[1]sens_0_spec_90_PSA!J100</f>
        <v>191299.01526782801</v>
      </c>
      <c r="K100" s="3">
        <f>[1]sens_0_spec_90_PSA!K100</f>
        <v>114643.96346866799</v>
      </c>
      <c r="L100">
        <f>[1]sens_0_spec_90_PSA!L100</f>
        <v>1</v>
      </c>
      <c r="M100">
        <f>[1]sens_0_spec_90_PSA!M100</f>
        <v>0</v>
      </c>
    </row>
    <row r="101" spans="1:13" x14ac:dyDescent="0.25">
      <c r="A101">
        <v>100</v>
      </c>
      <c r="B101">
        <f>[1]sens_0_spec_90_PSA!B101</f>
        <v>0</v>
      </c>
      <c r="C101" t="str">
        <f>[1]sens_0_spec_90_PSA!C101</f>
        <v>NA</v>
      </c>
      <c r="D101">
        <f>[1]sens_0_spec_90_PSA!D101</f>
        <v>0</v>
      </c>
      <c r="E101" s="1">
        <f>[1]sens_0_spec_90_PSA!E101</f>
        <v>0.18609999999999999</v>
      </c>
      <c r="F101" s="1">
        <f>[1]sens_0_spec_90_PSA!F101</f>
        <v>2.9000000000000001E-2</v>
      </c>
      <c r="G101" s="2">
        <f>[1]sens_0_spec_90_PSA!G101</f>
        <v>19.365158004563298</v>
      </c>
      <c r="H101" s="2">
        <f>[1]sens_0_spec_90_PSA!H101</f>
        <v>13.7633672775472</v>
      </c>
      <c r="I101" s="2">
        <f>[1]sens_0_spec_90_PSA!I101</f>
        <v>8.1288330297357394</v>
      </c>
      <c r="J101" s="3">
        <f>[1]sens_0_spec_90_PSA!J101</f>
        <v>214720.67982653499</v>
      </c>
      <c r="K101" s="3">
        <f>[1]sens_0_spec_90_PSA!K101</f>
        <v>124679.901419862</v>
      </c>
      <c r="L101">
        <f>[1]sens_0_spec_90_PSA!L101</f>
        <v>1</v>
      </c>
      <c r="M101">
        <f>[1]sens_0_spec_90_PSA!M101</f>
        <v>0</v>
      </c>
    </row>
    <row r="102" spans="1:13" x14ac:dyDescent="0.25">
      <c r="A102">
        <v>101</v>
      </c>
      <c r="B102">
        <f>[1]sens_0_spec_90_PSA!B102</f>
        <v>0</v>
      </c>
      <c r="C102" t="str">
        <f>[1]sens_0_spec_90_PSA!C102</f>
        <v>NA</v>
      </c>
      <c r="D102">
        <f>[1]sens_0_spec_90_PSA!D102</f>
        <v>0</v>
      </c>
      <c r="E102" s="1">
        <f>[1]sens_0_spec_90_PSA!E102</f>
        <v>0.15920000000000001</v>
      </c>
      <c r="F102" s="1">
        <f>[1]sens_0_spec_90_PSA!F102</f>
        <v>3.6400000000000002E-2</v>
      </c>
      <c r="G102" s="2">
        <f>[1]sens_0_spec_90_PSA!G102</f>
        <v>18.9969740146825</v>
      </c>
      <c r="H102" s="2">
        <f>[1]sens_0_spec_90_PSA!H102</f>
        <v>12.744554333357099</v>
      </c>
      <c r="I102" s="2">
        <f>[1]sens_0_spec_90_PSA!I102</f>
        <v>7.5825328753661099</v>
      </c>
      <c r="J102" s="3">
        <f>[1]sens_0_spec_90_PSA!J102</f>
        <v>209433.515643288</v>
      </c>
      <c r="K102" s="3">
        <f>[1]sens_0_spec_90_PSA!K102</f>
        <v>123055.370877512</v>
      </c>
      <c r="L102">
        <f>[1]sens_0_spec_90_PSA!L102</f>
        <v>1</v>
      </c>
      <c r="M102">
        <f>[1]sens_0_spec_90_PSA!M102</f>
        <v>0</v>
      </c>
    </row>
    <row r="103" spans="1:13" x14ac:dyDescent="0.25">
      <c r="A103">
        <v>102</v>
      </c>
      <c r="B103">
        <f>[1]sens_0_spec_90_PSA!B103</f>
        <v>0</v>
      </c>
      <c r="C103" t="str">
        <f>[1]sens_0_spec_90_PSA!C103</f>
        <v>NA</v>
      </c>
      <c r="D103">
        <f>[1]sens_0_spec_90_PSA!D103</f>
        <v>0</v>
      </c>
      <c r="E103" s="1">
        <f>[1]sens_0_spec_90_PSA!E103</f>
        <v>0.1239</v>
      </c>
      <c r="F103" s="1">
        <f>[1]sens_0_spec_90_PSA!F103</f>
        <v>4.5499999999999999E-2</v>
      </c>
      <c r="G103" s="2">
        <f>[1]sens_0_spec_90_PSA!G103</f>
        <v>17.753583586530699</v>
      </c>
      <c r="H103" s="2">
        <f>[1]sens_0_spec_90_PSA!H103</f>
        <v>11.36575323672</v>
      </c>
      <c r="I103" s="2">
        <f>[1]sens_0_spec_90_PSA!I103</f>
        <v>6.9654159108681801</v>
      </c>
      <c r="J103" s="3">
        <f>[1]sens_0_spec_90_PSA!J103</f>
        <v>180073.27621080601</v>
      </c>
      <c r="K103" s="3">
        <f>[1]sens_0_spec_90_PSA!K103</f>
        <v>110594.994581921</v>
      </c>
      <c r="L103">
        <f>[1]sens_0_spec_90_PSA!L103</f>
        <v>1</v>
      </c>
      <c r="M103">
        <f>[1]sens_0_spec_90_PSA!M103</f>
        <v>0</v>
      </c>
    </row>
    <row r="104" spans="1:13" x14ac:dyDescent="0.25">
      <c r="A104">
        <v>103</v>
      </c>
      <c r="B104">
        <f>[1]sens_0_spec_90_PSA!B104</f>
        <v>0</v>
      </c>
      <c r="C104" t="str">
        <f>[1]sens_0_spec_90_PSA!C104</f>
        <v>NA</v>
      </c>
      <c r="D104">
        <f>[1]sens_0_spec_90_PSA!D104</f>
        <v>0</v>
      </c>
      <c r="E104" s="1">
        <f>[1]sens_0_spec_90_PSA!E104</f>
        <v>0.2049</v>
      </c>
      <c r="F104" s="1">
        <f>[1]sens_0_spec_90_PSA!F104</f>
        <v>4.4200000000000003E-2</v>
      </c>
      <c r="G104" s="2">
        <f>[1]sens_0_spec_90_PSA!G104</f>
        <v>18.4363409436633</v>
      </c>
      <c r="H104" s="2">
        <f>[1]sens_0_spec_90_PSA!H104</f>
        <v>11.8970292771929</v>
      </c>
      <c r="I104" s="2">
        <f>[1]sens_0_spec_90_PSA!I104</f>
        <v>7.0411102440776103</v>
      </c>
      <c r="J104" s="3">
        <f>[1]sens_0_spec_90_PSA!J104</f>
        <v>202534.97684453201</v>
      </c>
      <c r="K104" s="3">
        <f>[1]sens_0_spec_90_PSA!K104</f>
        <v>118434.26573314201</v>
      </c>
      <c r="L104">
        <f>[1]sens_0_spec_90_PSA!L104</f>
        <v>1</v>
      </c>
      <c r="M104">
        <f>[1]sens_0_spec_90_PSA!M104</f>
        <v>0</v>
      </c>
    </row>
    <row r="105" spans="1:13" x14ac:dyDescent="0.25">
      <c r="A105">
        <v>104</v>
      </c>
      <c r="B105">
        <f>[1]sens_0_spec_90_PSA!B105</f>
        <v>0</v>
      </c>
      <c r="C105" t="str">
        <f>[1]sens_0_spec_90_PSA!C105</f>
        <v>NA</v>
      </c>
      <c r="D105">
        <f>[1]sens_0_spec_90_PSA!D105</f>
        <v>0</v>
      </c>
      <c r="E105" s="1">
        <f>[1]sens_0_spec_90_PSA!E105</f>
        <v>0.1193</v>
      </c>
      <c r="F105" s="1">
        <f>[1]sens_0_spec_90_PSA!F105</f>
        <v>2.6100000000000002E-2</v>
      </c>
      <c r="G105" s="2">
        <f>[1]sens_0_spec_90_PSA!G105</f>
        <v>19.4967395657217</v>
      </c>
      <c r="H105" s="2">
        <f>[1]sens_0_spec_90_PSA!H105</f>
        <v>14.3852072869742</v>
      </c>
      <c r="I105" s="2">
        <f>[1]sens_0_spec_90_PSA!I105</f>
        <v>8.6670986096569695</v>
      </c>
      <c r="J105" s="3">
        <f>[1]sens_0_spec_90_PSA!J105</f>
        <v>198386.08751944601</v>
      </c>
      <c r="K105" s="3">
        <f>[1]sens_0_spec_90_PSA!K105</f>
        <v>118919.916692517</v>
      </c>
      <c r="L105">
        <f>[1]sens_0_spec_90_PSA!L105</f>
        <v>1</v>
      </c>
      <c r="M105">
        <f>[1]sens_0_spec_90_PSA!M105</f>
        <v>0</v>
      </c>
    </row>
    <row r="106" spans="1:13" x14ac:dyDescent="0.25">
      <c r="A106">
        <v>105</v>
      </c>
      <c r="B106">
        <f>[1]sens_0_spec_90_PSA!B106</f>
        <v>0</v>
      </c>
      <c r="C106" t="str">
        <f>[1]sens_0_spec_90_PSA!C106</f>
        <v>NA</v>
      </c>
      <c r="D106">
        <f>[1]sens_0_spec_90_PSA!D106</f>
        <v>0</v>
      </c>
      <c r="E106" s="1">
        <f>[1]sens_0_spec_90_PSA!E106</f>
        <v>0.2429</v>
      </c>
      <c r="F106" s="1">
        <f>[1]sens_0_spec_90_PSA!F106</f>
        <v>2.6100000000000002E-2</v>
      </c>
      <c r="G106" s="2">
        <f>[1]sens_0_spec_90_PSA!G106</f>
        <v>16.939298843562099</v>
      </c>
      <c r="H106" s="2">
        <f>[1]sens_0_spec_90_PSA!H106</f>
        <v>13.282962061937299</v>
      </c>
      <c r="I106" s="2">
        <f>[1]sens_0_spec_90_PSA!I106</f>
        <v>8.0103900329156499</v>
      </c>
      <c r="J106" s="3">
        <f>[1]sens_0_spec_90_PSA!J106</f>
        <v>171299.744754343</v>
      </c>
      <c r="K106" s="3">
        <f>[1]sens_0_spec_90_PSA!K106</f>
        <v>103359.91833556601</v>
      </c>
      <c r="L106">
        <f>[1]sens_0_spec_90_PSA!L106</f>
        <v>1</v>
      </c>
      <c r="M106">
        <f>[1]sens_0_spec_90_PSA!M106</f>
        <v>0</v>
      </c>
    </row>
    <row r="107" spans="1:13" x14ac:dyDescent="0.25">
      <c r="A107">
        <v>106</v>
      </c>
      <c r="B107">
        <f>[1]sens_0_spec_90_PSA!B107</f>
        <v>0</v>
      </c>
      <c r="C107" t="str">
        <f>[1]sens_0_spec_90_PSA!C107</f>
        <v>NA</v>
      </c>
      <c r="D107">
        <f>[1]sens_0_spec_90_PSA!D107</f>
        <v>0</v>
      </c>
      <c r="E107" s="1">
        <f>[1]sens_0_spec_90_PSA!E107</f>
        <v>0.1593</v>
      </c>
      <c r="F107" s="1">
        <f>[1]sens_0_spec_90_PSA!F107</f>
        <v>4.6100000000000002E-2</v>
      </c>
      <c r="G107" s="2">
        <f>[1]sens_0_spec_90_PSA!G107</f>
        <v>19.304438528582999</v>
      </c>
      <c r="H107" s="2">
        <f>[1]sens_0_spec_90_PSA!H107</f>
        <v>14.424249690870599</v>
      </c>
      <c r="I107" s="2">
        <f>[1]sens_0_spec_90_PSA!I107</f>
        <v>8.5478200182770898</v>
      </c>
      <c r="J107" s="3">
        <f>[1]sens_0_spec_90_PSA!J107</f>
        <v>170147.14591703101</v>
      </c>
      <c r="K107" s="3">
        <f>[1]sens_0_spec_90_PSA!K107</f>
        <v>100836.338807387</v>
      </c>
      <c r="L107">
        <f>[1]sens_0_spec_90_PSA!L107</f>
        <v>1</v>
      </c>
      <c r="M107">
        <f>[1]sens_0_spec_90_PSA!M107</f>
        <v>0</v>
      </c>
    </row>
    <row r="108" spans="1:13" x14ac:dyDescent="0.25">
      <c r="A108">
        <v>107</v>
      </c>
      <c r="B108">
        <f>[1]sens_0_spec_90_PSA!B108</f>
        <v>0</v>
      </c>
      <c r="C108" t="str">
        <f>[1]sens_0_spec_90_PSA!C108</f>
        <v>NA</v>
      </c>
      <c r="D108">
        <f>[1]sens_0_spec_90_PSA!D108</f>
        <v>0</v>
      </c>
      <c r="E108" s="1">
        <f>[1]sens_0_spec_90_PSA!E108</f>
        <v>0.17680000000000001</v>
      </c>
      <c r="F108" s="1">
        <f>[1]sens_0_spec_90_PSA!F108</f>
        <v>3.9E-2</v>
      </c>
      <c r="G108" s="2">
        <f>[1]sens_0_spec_90_PSA!G108</f>
        <v>16.887837478430299</v>
      </c>
      <c r="H108" s="2">
        <f>[1]sens_0_spec_90_PSA!H108</f>
        <v>13.5891792397301</v>
      </c>
      <c r="I108" s="2">
        <f>[1]sens_0_spec_90_PSA!I108</f>
        <v>8.3545544953416595</v>
      </c>
      <c r="J108" s="3">
        <f>[1]sens_0_spec_90_PSA!J108</f>
        <v>145914.92089544999</v>
      </c>
      <c r="K108" s="3">
        <f>[1]sens_0_spec_90_PSA!K108</f>
        <v>91309.7005850477</v>
      </c>
      <c r="L108">
        <f>[1]sens_0_spec_90_PSA!L108</f>
        <v>1</v>
      </c>
      <c r="M108">
        <f>[1]sens_0_spec_90_PSA!M108</f>
        <v>0</v>
      </c>
    </row>
    <row r="109" spans="1:13" x14ac:dyDescent="0.25">
      <c r="A109">
        <v>108</v>
      </c>
      <c r="B109">
        <f>[1]sens_0_spec_90_PSA!B109</f>
        <v>0</v>
      </c>
      <c r="C109" t="str">
        <f>[1]sens_0_spec_90_PSA!C109</f>
        <v>NA</v>
      </c>
      <c r="D109">
        <f>[1]sens_0_spec_90_PSA!D109</f>
        <v>0</v>
      </c>
      <c r="E109" s="1">
        <f>[1]sens_0_spec_90_PSA!E109</f>
        <v>0.24529999999999999</v>
      </c>
      <c r="F109" s="1">
        <f>[1]sens_0_spec_90_PSA!F109</f>
        <v>3.1300000000000001E-2</v>
      </c>
      <c r="G109" s="2">
        <f>[1]sens_0_spec_90_PSA!G109</f>
        <v>16.711705901677298</v>
      </c>
      <c r="H109" s="2">
        <f>[1]sens_0_spec_90_PSA!H109</f>
        <v>11.7996663075982</v>
      </c>
      <c r="I109" s="2">
        <f>[1]sens_0_spec_90_PSA!I109</f>
        <v>7.1159621754688498</v>
      </c>
      <c r="J109" s="3">
        <f>[1]sens_0_spec_90_PSA!J109</f>
        <v>159629.702039027</v>
      </c>
      <c r="K109" s="3">
        <f>[1]sens_0_spec_90_PSA!K109</f>
        <v>96851.479596008794</v>
      </c>
      <c r="L109">
        <f>[1]sens_0_spec_90_PSA!L109</f>
        <v>1</v>
      </c>
      <c r="M109">
        <f>[1]sens_0_spec_90_PSA!M109</f>
        <v>0</v>
      </c>
    </row>
    <row r="110" spans="1:13" x14ac:dyDescent="0.25">
      <c r="A110">
        <v>109</v>
      </c>
      <c r="B110">
        <f>[1]sens_0_spec_90_PSA!B110</f>
        <v>0</v>
      </c>
      <c r="C110" t="str">
        <f>[1]sens_0_spec_90_PSA!C110</f>
        <v>NA</v>
      </c>
      <c r="D110">
        <f>[1]sens_0_spec_90_PSA!D110</f>
        <v>0</v>
      </c>
      <c r="E110" s="1">
        <f>[1]sens_0_spec_90_PSA!E110</f>
        <v>0.2155</v>
      </c>
      <c r="F110" s="1">
        <f>[1]sens_0_spec_90_PSA!F110</f>
        <v>5.7200000000000001E-2</v>
      </c>
      <c r="G110" s="2">
        <f>[1]sens_0_spec_90_PSA!G110</f>
        <v>16.343727484551799</v>
      </c>
      <c r="H110" s="2">
        <f>[1]sens_0_spec_90_PSA!H110</f>
        <v>11.390675418358599</v>
      </c>
      <c r="I110" s="2">
        <f>[1]sens_0_spec_90_PSA!I110</f>
        <v>6.9145707076287701</v>
      </c>
      <c r="J110" s="3">
        <f>[1]sens_0_spec_90_PSA!J110</f>
        <v>210789.88287424599</v>
      </c>
      <c r="K110" s="3">
        <f>[1]sens_0_spec_90_PSA!K110</f>
        <v>126622.573912746</v>
      </c>
      <c r="L110">
        <f>[1]sens_0_spec_90_PSA!L110</f>
        <v>1</v>
      </c>
      <c r="M110">
        <f>[1]sens_0_spec_90_PSA!M110</f>
        <v>0</v>
      </c>
    </row>
    <row r="111" spans="1:13" x14ac:dyDescent="0.25">
      <c r="A111">
        <v>110</v>
      </c>
      <c r="B111">
        <f>[1]sens_0_spec_90_PSA!B111</f>
        <v>0</v>
      </c>
      <c r="C111" t="str">
        <f>[1]sens_0_spec_90_PSA!C111</f>
        <v>NA</v>
      </c>
      <c r="D111">
        <f>[1]sens_0_spec_90_PSA!D111</f>
        <v>0</v>
      </c>
      <c r="E111" s="1">
        <f>[1]sens_0_spec_90_PSA!E111</f>
        <v>0.21260000000000001</v>
      </c>
      <c r="F111" s="1">
        <f>[1]sens_0_spec_90_PSA!F111</f>
        <v>5.1999999999999998E-2</v>
      </c>
      <c r="G111" s="2">
        <f>[1]sens_0_spec_90_PSA!G111</f>
        <v>16.4941588130099</v>
      </c>
      <c r="H111" s="2">
        <f>[1]sens_0_spec_90_PSA!H111</f>
        <v>12.3883225692497</v>
      </c>
      <c r="I111" s="2">
        <f>[1]sens_0_spec_90_PSA!I111</f>
        <v>7.5298763767642898</v>
      </c>
      <c r="J111" s="3">
        <f>[1]sens_0_spec_90_PSA!J111</f>
        <v>227030.636815012</v>
      </c>
      <c r="K111" s="3">
        <f>[1]sens_0_spec_90_PSA!K111</f>
        <v>135785.74142843601</v>
      </c>
      <c r="L111">
        <f>[1]sens_0_spec_90_PSA!L111</f>
        <v>1</v>
      </c>
      <c r="M111">
        <f>[1]sens_0_spec_90_PSA!M111</f>
        <v>0</v>
      </c>
    </row>
    <row r="112" spans="1:13" x14ac:dyDescent="0.25">
      <c r="A112">
        <v>111</v>
      </c>
      <c r="B112">
        <f>[1]sens_0_spec_90_PSA!B112</f>
        <v>0</v>
      </c>
      <c r="C112" t="str">
        <f>[1]sens_0_spec_90_PSA!C112</f>
        <v>NA</v>
      </c>
      <c r="D112">
        <f>[1]sens_0_spec_90_PSA!D112</f>
        <v>0</v>
      </c>
      <c r="E112" s="1">
        <f>[1]sens_0_spec_90_PSA!E112</f>
        <v>0.16250000000000001</v>
      </c>
      <c r="F112" s="1">
        <f>[1]sens_0_spec_90_PSA!F112</f>
        <v>4.7199999999999999E-2</v>
      </c>
      <c r="G112" s="2">
        <f>[1]sens_0_spec_90_PSA!G112</f>
        <v>17.009260955152499</v>
      </c>
      <c r="H112" s="2">
        <f>[1]sens_0_spec_90_PSA!H112</f>
        <v>11.6569264801707</v>
      </c>
      <c r="I112" s="2">
        <f>[1]sens_0_spec_90_PSA!I112</f>
        <v>7.1410765559442702</v>
      </c>
      <c r="J112" s="3">
        <f>[1]sens_0_spec_90_PSA!J112</f>
        <v>159952.27410922301</v>
      </c>
      <c r="K112" s="3">
        <f>[1]sens_0_spec_90_PSA!K112</f>
        <v>98998.102807649193</v>
      </c>
      <c r="L112">
        <f>[1]sens_0_spec_90_PSA!L112</f>
        <v>1</v>
      </c>
      <c r="M112">
        <f>[1]sens_0_spec_90_PSA!M112</f>
        <v>0</v>
      </c>
    </row>
    <row r="113" spans="1:13" x14ac:dyDescent="0.25">
      <c r="A113">
        <v>112</v>
      </c>
      <c r="B113">
        <f>[1]sens_0_spec_90_PSA!B113</f>
        <v>0</v>
      </c>
      <c r="C113" t="str">
        <f>[1]sens_0_spec_90_PSA!C113</f>
        <v>NA</v>
      </c>
      <c r="D113">
        <f>[1]sens_0_spec_90_PSA!D113</f>
        <v>0</v>
      </c>
      <c r="E113" s="1">
        <f>[1]sens_0_spec_90_PSA!E113</f>
        <v>0.2122</v>
      </c>
      <c r="F113" s="1">
        <f>[1]sens_0_spec_90_PSA!F113</f>
        <v>2.5999999999999999E-2</v>
      </c>
      <c r="G113" s="2">
        <f>[1]sens_0_spec_90_PSA!G113</f>
        <v>17.472981574478101</v>
      </c>
      <c r="H113" s="2">
        <f>[1]sens_0_spec_90_PSA!H113</f>
        <v>13.0185096966489</v>
      </c>
      <c r="I113" s="2">
        <f>[1]sens_0_spec_90_PSA!I113</f>
        <v>7.8471098364187997</v>
      </c>
      <c r="J113" s="3">
        <f>[1]sens_0_spec_90_PSA!J113</f>
        <v>199429.03566251</v>
      </c>
      <c r="K113" s="3">
        <f>[1]sens_0_spec_90_PSA!K113</f>
        <v>119268.143130289</v>
      </c>
      <c r="L113">
        <f>[1]sens_0_spec_90_PSA!L113</f>
        <v>1</v>
      </c>
      <c r="M113">
        <f>[1]sens_0_spec_90_PSA!M113</f>
        <v>0</v>
      </c>
    </row>
    <row r="114" spans="1:13" x14ac:dyDescent="0.25">
      <c r="A114">
        <v>113</v>
      </c>
      <c r="B114">
        <f>[1]sens_0_spec_90_PSA!B114</f>
        <v>0</v>
      </c>
      <c r="C114" t="str">
        <f>[1]sens_0_spec_90_PSA!C114</f>
        <v>NA</v>
      </c>
      <c r="D114">
        <f>[1]sens_0_spec_90_PSA!D114</f>
        <v>0</v>
      </c>
      <c r="E114" s="1">
        <f>[1]sens_0_spec_90_PSA!E114</f>
        <v>0.1072</v>
      </c>
      <c r="F114" s="1">
        <f>[1]sens_0_spec_90_PSA!F114</f>
        <v>7.0999999999999994E-2</v>
      </c>
      <c r="G114" s="2">
        <f>[1]sens_0_spec_90_PSA!G114</f>
        <v>18.361072348265701</v>
      </c>
      <c r="H114" s="2">
        <f>[1]sens_0_spec_90_PSA!H114</f>
        <v>13.5016341623326</v>
      </c>
      <c r="I114" s="2">
        <f>[1]sens_0_spec_90_PSA!I114</f>
        <v>8.1693660380963191</v>
      </c>
      <c r="J114" s="3">
        <f>[1]sens_0_spec_90_PSA!J114</f>
        <v>218201.08480352999</v>
      </c>
      <c r="K114" s="3">
        <f>[1]sens_0_spec_90_PSA!K114</f>
        <v>130501.554004526</v>
      </c>
      <c r="L114">
        <f>[1]sens_0_spec_90_PSA!L114</f>
        <v>1</v>
      </c>
      <c r="M114">
        <f>[1]sens_0_spec_90_PSA!M114</f>
        <v>0</v>
      </c>
    </row>
    <row r="115" spans="1:13" x14ac:dyDescent="0.25">
      <c r="A115">
        <v>114</v>
      </c>
      <c r="B115">
        <f>[1]sens_0_spec_90_PSA!B115</f>
        <v>0</v>
      </c>
      <c r="C115" t="str">
        <f>[1]sens_0_spec_90_PSA!C115</f>
        <v>NA</v>
      </c>
      <c r="D115">
        <f>[1]sens_0_spec_90_PSA!D115</f>
        <v>0</v>
      </c>
      <c r="E115" s="1">
        <f>[1]sens_0_spec_90_PSA!E115</f>
        <v>0.2676</v>
      </c>
      <c r="F115" s="1">
        <f>[1]sens_0_spec_90_PSA!F115</f>
        <v>4.4699999999999997E-2</v>
      </c>
      <c r="G115" s="2">
        <f>[1]sens_0_spec_90_PSA!G115</f>
        <v>16.589477082563299</v>
      </c>
      <c r="H115" s="2">
        <f>[1]sens_0_spec_90_PSA!H115</f>
        <v>10.829536711156701</v>
      </c>
      <c r="I115" s="2">
        <f>[1]sens_0_spec_90_PSA!I115</f>
        <v>6.4567249952101902</v>
      </c>
      <c r="J115" s="3">
        <f>[1]sens_0_spec_90_PSA!J115</f>
        <v>171826.758794692</v>
      </c>
      <c r="K115" s="3">
        <f>[1]sens_0_spec_90_PSA!K115</f>
        <v>101971.91880358</v>
      </c>
      <c r="L115">
        <f>[1]sens_0_spec_90_PSA!L115</f>
        <v>1</v>
      </c>
      <c r="M115">
        <f>[1]sens_0_spec_90_PSA!M115</f>
        <v>0</v>
      </c>
    </row>
    <row r="116" spans="1:13" x14ac:dyDescent="0.25">
      <c r="A116">
        <v>115</v>
      </c>
      <c r="B116">
        <f>[1]sens_0_spec_90_PSA!B116</f>
        <v>0</v>
      </c>
      <c r="C116" t="str">
        <f>[1]sens_0_spec_90_PSA!C116</f>
        <v>NA</v>
      </c>
      <c r="D116">
        <f>[1]sens_0_spec_90_PSA!D116</f>
        <v>0</v>
      </c>
      <c r="E116" s="1">
        <f>[1]sens_0_spec_90_PSA!E116</f>
        <v>0.12820000000000001</v>
      </c>
      <c r="F116" s="1">
        <f>[1]sens_0_spec_90_PSA!F116</f>
        <v>5.1900000000000002E-2</v>
      </c>
      <c r="G116" s="2">
        <f>[1]sens_0_spec_90_PSA!G116</f>
        <v>17.967023212939701</v>
      </c>
      <c r="H116" s="2">
        <f>[1]sens_0_spec_90_PSA!H116</f>
        <v>11.076442287449799</v>
      </c>
      <c r="I116" s="2">
        <f>[1]sens_0_spec_90_PSA!I116</f>
        <v>6.7473873345825099</v>
      </c>
      <c r="J116" s="3">
        <f>[1]sens_0_spec_90_PSA!J116</f>
        <v>187776.05405686799</v>
      </c>
      <c r="K116" s="3">
        <f>[1]sens_0_spec_90_PSA!K116</f>
        <v>114066.891019911</v>
      </c>
      <c r="L116">
        <f>[1]sens_0_spec_90_PSA!L116</f>
        <v>1</v>
      </c>
      <c r="M116">
        <f>[1]sens_0_spec_90_PSA!M116</f>
        <v>0</v>
      </c>
    </row>
    <row r="117" spans="1:13" x14ac:dyDescent="0.25">
      <c r="A117">
        <v>116</v>
      </c>
      <c r="B117">
        <f>[1]sens_0_spec_90_PSA!B117</f>
        <v>0</v>
      </c>
      <c r="C117" t="str">
        <f>[1]sens_0_spec_90_PSA!C117</f>
        <v>NA</v>
      </c>
      <c r="D117">
        <f>[1]sens_0_spec_90_PSA!D117</f>
        <v>0</v>
      </c>
      <c r="E117" s="1">
        <f>[1]sens_0_spec_90_PSA!E117</f>
        <v>0.14879999999999999</v>
      </c>
      <c r="F117" s="1">
        <f>[1]sens_0_spec_90_PSA!F117</f>
        <v>4.1500000000000002E-2</v>
      </c>
      <c r="G117" s="2">
        <f>[1]sens_0_spec_90_PSA!G117</f>
        <v>18.572773825436599</v>
      </c>
      <c r="H117" s="2">
        <f>[1]sens_0_spec_90_PSA!H117</f>
        <v>13.8331768518904</v>
      </c>
      <c r="I117" s="2">
        <f>[1]sens_0_spec_90_PSA!I117</f>
        <v>8.3216499425298398</v>
      </c>
      <c r="J117" s="3">
        <f>[1]sens_0_spec_90_PSA!J117</f>
        <v>265456.19483091199</v>
      </c>
      <c r="K117" s="3">
        <f>[1]sens_0_spec_90_PSA!K117</f>
        <v>156589.632744389</v>
      </c>
      <c r="L117">
        <f>[1]sens_0_spec_90_PSA!L117</f>
        <v>1</v>
      </c>
      <c r="M117">
        <f>[1]sens_0_spec_90_PSA!M117</f>
        <v>0</v>
      </c>
    </row>
    <row r="118" spans="1:13" x14ac:dyDescent="0.25">
      <c r="A118">
        <v>117</v>
      </c>
      <c r="B118">
        <f>[1]sens_0_spec_90_PSA!B118</f>
        <v>0</v>
      </c>
      <c r="C118" t="str">
        <f>[1]sens_0_spec_90_PSA!C118</f>
        <v>NA</v>
      </c>
      <c r="D118">
        <f>[1]sens_0_spec_90_PSA!D118</f>
        <v>0</v>
      </c>
      <c r="E118" s="1">
        <f>[1]sens_0_spec_90_PSA!E118</f>
        <v>0.1699</v>
      </c>
      <c r="F118" s="1">
        <f>[1]sens_0_spec_90_PSA!F118</f>
        <v>3.5400000000000001E-2</v>
      </c>
      <c r="G118" s="2">
        <f>[1]sens_0_spec_90_PSA!G118</f>
        <v>18.571027624660498</v>
      </c>
      <c r="H118" s="2">
        <f>[1]sens_0_spec_90_PSA!H118</f>
        <v>13.1808081343378</v>
      </c>
      <c r="I118" s="2">
        <f>[1]sens_0_spec_90_PSA!I118</f>
        <v>7.9120422527696901</v>
      </c>
      <c r="J118" s="3">
        <f>[1]sens_0_spec_90_PSA!J118</f>
        <v>193081.08063072999</v>
      </c>
      <c r="K118" s="3">
        <f>[1]sens_0_spec_90_PSA!K118</f>
        <v>115285.183975994</v>
      </c>
      <c r="L118">
        <f>[1]sens_0_spec_90_PSA!L118</f>
        <v>1</v>
      </c>
      <c r="M118">
        <f>[1]sens_0_spec_90_PSA!M118</f>
        <v>0</v>
      </c>
    </row>
    <row r="119" spans="1:13" x14ac:dyDescent="0.25">
      <c r="A119">
        <v>118</v>
      </c>
      <c r="B119">
        <f>[1]sens_0_spec_90_PSA!B119</f>
        <v>0</v>
      </c>
      <c r="C119" t="str">
        <f>[1]sens_0_spec_90_PSA!C119</f>
        <v>NA</v>
      </c>
      <c r="D119">
        <f>[1]sens_0_spec_90_PSA!D119</f>
        <v>0</v>
      </c>
      <c r="E119" s="1">
        <f>[1]sens_0_spec_90_PSA!E119</f>
        <v>0.1827</v>
      </c>
      <c r="F119" s="1">
        <f>[1]sens_0_spec_90_PSA!F119</f>
        <v>4.9299999999999997E-2</v>
      </c>
      <c r="G119" s="2">
        <f>[1]sens_0_spec_90_PSA!G119</f>
        <v>18.064488642162701</v>
      </c>
      <c r="H119" s="2">
        <f>[1]sens_0_spec_90_PSA!H119</f>
        <v>14.1500864263522</v>
      </c>
      <c r="I119" s="2">
        <f>[1]sens_0_spec_90_PSA!I119</f>
        <v>8.4839310042868004</v>
      </c>
      <c r="J119" s="3">
        <f>[1]sens_0_spec_90_PSA!J119</f>
        <v>154637.729049021</v>
      </c>
      <c r="K119" s="3">
        <f>[1]sens_0_spec_90_PSA!K119</f>
        <v>93583.100508832198</v>
      </c>
      <c r="L119">
        <f>[1]sens_0_spec_90_PSA!L119</f>
        <v>1</v>
      </c>
      <c r="M119">
        <f>[1]sens_0_spec_90_PSA!M119</f>
        <v>0</v>
      </c>
    </row>
    <row r="120" spans="1:13" x14ac:dyDescent="0.25">
      <c r="A120">
        <v>119</v>
      </c>
      <c r="B120">
        <f>[1]sens_0_spec_90_PSA!B120</f>
        <v>0</v>
      </c>
      <c r="C120" t="str">
        <f>[1]sens_0_spec_90_PSA!C120</f>
        <v>NA</v>
      </c>
      <c r="D120">
        <f>[1]sens_0_spec_90_PSA!D120</f>
        <v>0</v>
      </c>
      <c r="E120" s="1">
        <f>[1]sens_0_spec_90_PSA!E120</f>
        <v>0.25269999999999998</v>
      </c>
      <c r="F120" s="1">
        <f>[1]sens_0_spec_90_PSA!F120</f>
        <v>4.8599999999999997E-2</v>
      </c>
      <c r="G120" s="2">
        <f>[1]sens_0_spec_90_PSA!G120</f>
        <v>15.997252151425901</v>
      </c>
      <c r="H120" s="2">
        <f>[1]sens_0_spec_90_PSA!H120</f>
        <v>12.506565259756901</v>
      </c>
      <c r="I120" s="2">
        <f>[1]sens_0_spec_90_PSA!I120</f>
        <v>7.5773180381850098</v>
      </c>
      <c r="J120" s="3">
        <f>[1]sens_0_spec_90_PSA!J120</f>
        <v>183374.37356686799</v>
      </c>
      <c r="K120" s="3">
        <f>[1]sens_0_spec_90_PSA!K120</f>
        <v>110519.616318047</v>
      </c>
      <c r="L120">
        <f>[1]sens_0_spec_90_PSA!L120</f>
        <v>1</v>
      </c>
      <c r="M120">
        <f>[1]sens_0_spec_90_PSA!M120</f>
        <v>0</v>
      </c>
    </row>
    <row r="121" spans="1:13" x14ac:dyDescent="0.25">
      <c r="A121">
        <v>120</v>
      </c>
      <c r="B121">
        <f>[1]sens_0_spec_90_PSA!B121</f>
        <v>0</v>
      </c>
      <c r="C121" t="str">
        <f>[1]sens_0_spec_90_PSA!C121</f>
        <v>NA</v>
      </c>
      <c r="D121">
        <f>[1]sens_0_spec_90_PSA!D121</f>
        <v>0</v>
      </c>
      <c r="E121" s="1">
        <f>[1]sens_0_spec_90_PSA!E121</f>
        <v>0.23519999999999999</v>
      </c>
      <c r="F121" s="1">
        <f>[1]sens_0_spec_90_PSA!F121</f>
        <v>2.35E-2</v>
      </c>
      <c r="G121" s="2">
        <f>[1]sens_0_spec_90_PSA!G121</f>
        <v>16.502708030995102</v>
      </c>
      <c r="H121" s="2">
        <f>[1]sens_0_spec_90_PSA!H121</f>
        <v>11.771328840636199</v>
      </c>
      <c r="I121" s="2">
        <f>[1]sens_0_spec_90_PSA!I121</f>
        <v>7.1609113735463197</v>
      </c>
      <c r="J121" s="3">
        <f>[1]sens_0_spec_90_PSA!J121</f>
        <v>152175.356980223</v>
      </c>
      <c r="K121" s="3">
        <f>[1]sens_0_spec_90_PSA!K121</f>
        <v>93786.946031908796</v>
      </c>
      <c r="L121">
        <f>[1]sens_0_spec_90_PSA!L121</f>
        <v>1</v>
      </c>
      <c r="M121">
        <f>[1]sens_0_spec_90_PSA!M121</f>
        <v>0</v>
      </c>
    </row>
    <row r="122" spans="1:13" x14ac:dyDescent="0.25">
      <c r="A122">
        <v>121</v>
      </c>
      <c r="B122">
        <f>[1]sens_0_spec_90_PSA!B122</f>
        <v>0</v>
      </c>
      <c r="C122" t="str">
        <f>[1]sens_0_spec_90_PSA!C122</f>
        <v>NA</v>
      </c>
      <c r="D122">
        <f>[1]sens_0_spec_90_PSA!D122</f>
        <v>0</v>
      </c>
      <c r="E122" s="1">
        <f>[1]sens_0_spec_90_PSA!E122</f>
        <v>0.19700000000000001</v>
      </c>
      <c r="F122" s="1">
        <f>[1]sens_0_spec_90_PSA!F122</f>
        <v>4.0500000000000001E-2</v>
      </c>
      <c r="G122" s="2">
        <f>[1]sens_0_spec_90_PSA!G122</f>
        <v>16.519440953917201</v>
      </c>
      <c r="H122" s="2">
        <f>[1]sens_0_spec_90_PSA!H122</f>
        <v>12.661450894819399</v>
      </c>
      <c r="I122" s="2">
        <f>[1]sens_0_spec_90_PSA!I122</f>
        <v>7.7852278776651396</v>
      </c>
      <c r="J122" s="3">
        <f>[1]sens_0_spec_90_PSA!J122</f>
        <v>158295.44013198299</v>
      </c>
      <c r="K122" s="3">
        <f>[1]sens_0_spec_90_PSA!K122</f>
        <v>98089.910717913503</v>
      </c>
      <c r="L122">
        <f>[1]sens_0_spec_90_PSA!L122</f>
        <v>1</v>
      </c>
      <c r="M122">
        <f>[1]sens_0_spec_90_PSA!M122</f>
        <v>0</v>
      </c>
    </row>
    <row r="123" spans="1:13" x14ac:dyDescent="0.25">
      <c r="A123">
        <v>122</v>
      </c>
      <c r="B123">
        <f>[1]sens_0_spec_90_PSA!B123</f>
        <v>0</v>
      </c>
      <c r="C123" t="str">
        <f>[1]sens_0_spec_90_PSA!C123</f>
        <v>NA</v>
      </c>
      <c r="D123">
        <f>[1]sens_0_spec_90_PSA!D123</f>
        <v>0</v>
      </c>
      <c r="E123" s="1">
        <f>[1]sens_0_spec_90_PSA!E123</f>
        <v>0.1205</v>
      </c>
      <c r="F123" s="1">
        <f>[1]sens_0_spec_90_PSA!F123</f>
        <v>5.3400000000000003E-2</v>
      </c>
      <c r="G123" s="2">
        <f>[1]sens_0_spec_90_PSA!G123</f>
        <v>18.843309508095601</v>
      </c>
      <c r="H123" s="2">
        <f>[1]sens_0_spec_90_PSA!H123</f>
        <v>14.2133560128864</v>
      </c>
      <c r="I123" s="2">
        <f>[1]sens_0_spec_90_PSA!I123</f>
        <v>8.5591313953925798</v>
      </c>
      <c r="J123" s="3">
        <f>[1]sens_0_spec_90_PSA!J123</f>
        <v>182537.230560984</v>
      </c>
      <c r="K123" s="3">
        <f>[1]sens_0_spec_90_PSA!K123</f>
        <v>109733.227811365</v>
      </c>
      <c r="L123">
        <f>[1]sens_0_spec_90_PSA!L123</f>
        <v>1</v>
      </c>
      <c r="M123">
        <f>[1]sens_0_spec_90_PSA!M123</f>
        <v>0</v>
      </c>
    </row>
    <row r="124" spans="1:13" x14ac:dyDescent="0.25">
      <c r="A124">
        <v>123</v>
      </c>
      <c r="B124">
        <f>[1]sens_0_spec_90_PSA!B124</f>
        <v>0</v>
      </c>
      <c r="C124" t="str">
        <f>[1]sens_0_spec_90_PSA!C124</f>
        <v>NA</v>
      </c>
      <c r="D124">
        <f>[1]sens_0_spec_90_PSA!D124</f>
        <v>0</v>
      </c>
      <c r="E124" s="1">
        <f>[1]sens_0_spec_90_PSA!E124</f>
        <v>0.1865</v>
      </c>
      <c r="F124" s="1">
        <f>[1]sens_0_spec_90_PSA!F124</f>
        <v>4.0800000000000003E-2</v>
      </c>
      <c r="G124" s="2">
        <f>[1]sens_0_spec_90_PSA!G124</f>
        <v>18.246502689149299</v>
      </c>
      <c r="H124" s="2">
        <f>[1]sens_0_spec_90_PSA!H124</f>
        <v>14.5026797912817</v>
      </c>
      <c r="I124" s="2">
        <f>[1]sens_0_spec_90_PSA!I124</f>
        <v>8.6773585704536291</v>
      </c>
      <c r="J124" s="3">
        <f>[1]sens_0_spec_90_PSA!J124</f>
        <v>192385.12253165399</v>
      </c>
      <c r="K124" s="3">
        <f>[1]sens_0_spec_90_PSA!K124</f>
        <v>114228.605449549</v>
      </c>
      <c r="L124">
        <f>[1]sens_0_spec_90_PSA!L124</f>
        <v>1</v>
      </c>
      <c r="M124">
        <f>[1]sens_0_spec_90_PSA!M124</f>
        <v>0</v>
      </c>
    </row>
    <row r="125" spans="1:13" x14ac:dyDescent="0.25">
      <c r="A125">
        <v>124</v>
      </c>
      <c r="B125">
        <f>[1]sens_0_spec_90_PSA!B125</f>
        <v>0</v>
      </c>
      <c r="C125" t="str">
        <f>[1]sens_0_spec_90_PSA!C125</f>
        <v>NA</v>
      </c>
      <c r="D125">
        <f>[1]sens_0_spec_90_PSA!D125</f>
        <v>0</v>
      </c>
      <c r="E125" s="1">
        <f>[1]sens_0_spec_90_PSA!E125</f>
        <v>0.1489</v>
      </c>
      <c r="F125" s="1">
        <f>[1]sens_0_spec_90_PSA!F125</f>
        <v>3.8600000000000002E-2</v>
      </c>
      <c r="G125" s="2">
        <f>[1]sens_0_spec_90_PSA!G125</f>
        <v>18.759259937892299</v>
      </c>
      <c r="H125" s="2">
        <f>[1]sens_0_spec_90_PSA!H125</f>
        <v>13.3559566798177</v>
      </c>
      <c r="I125" s="2">
        <f>[1]sens_0_spec_90_PSA!I125</f>
        <v>8.0346710584745207</v>
      </c>
      <c r="J125" s="3">
        <f>[1]sens_0_spec_90_PSA!J125</f>
        <v>183865.86767817999</v>
      </c>
      <c r="K125" s="3">
        <f>[1]sens_0_spec_90_PSA!K125</f>
        <v>110204.247752507</v>
      </c>
      <c r="L125">
        <f>[1]sens_0_spec_90_PSA!L125</f>
        <v>1</v>
      </c>
      <c r="M125">
        <f>[1]sens_0_spec_90_PSA!M125</f>
        <v>0</v>
      </c>
    </row>
    <row r="126" spans="1:13" x14ac:dyDescent="0.25">
      <c r="A126">
        <v>125</v>
      </c>
      <c r="B126">
        <f>[1]sens_0_spec_90_PSA!B126</f>
        <v>0</v>
      </c>
      <c r="C126" t="str">
        <f>[1]sens_0_spec_90_PSA!C126</f>
        <v>NA</v>
      </c>
      <c r="D126">
        <f>[1]sens_0_spec_90_PSA!D126</f>
        <v>0</v>
      </c>
      <c r="E126" s="1">
        <f>[1]sens_0_spec_90_PSA!E126</f>
        <v>0.2213</v>
      </c>
      <c r="F126" s="1">
        <f>[1]sens_0_spec_90_PSA!F126</f>
        <v>2.9000000000000001E-2</v>
      </c>
      <c r="G126" s="2">
        <f>[1]sens_0_spec_90_PSA!G126</f>
        <v>18.640112878376598</v>
      </c>
      <c r="H126" s="2">
        <f>[1]sens_0_spec_90_PSA!H126</f>
        <v>12.1768431580621</v>
      </c>
      <c r="I126" s="2">
        <f>[1]sens_0_spec_90_PSA!I126</f>
        <v>7.1704434309571399</v>
      </c>
      <c r="J126" s="3">
        <f>[1]sens_0_spec_90_PSA!J126</f>
        <v>183284.41255757501</v>
      </c>
      <c r="K126" s="3">
        <f>[1]sens_0_spec_90_PSA!K126</f>
        <v>107192.974235424</v>
      </c>
      <c r="L126">
        <f>[1]sens_0_spec_90_PSA!L126</f>
        <v>1</v>
      </c>
      <c r="M126">
        <f>[1]sens_0_spec_90_PSA!M126</f>
        <v>0</v>
      </c>
    </row>
    <row r="127" spans="1:13" x14ac:dyDescent="0.25">
      <c r="A127">
        <v>126</v>
      </c>
      <c r="B127">
        <f>[1]sens_0_spec_90_PSA!B127</f>
        <v>0</v>
      </c>
      <c r="C127" t="str">
        <f>[1]sens_0_spec_90_PSA!C127</f>
        <v>NA</v>
      </c>
      <c r="D127">
        <f>[1]sens_0_spec_90_PSA!D127</f>
        <v>0</v>
      </c>
      <c r="E127" s="1">
        <f>[1]sens_0_spec_90_PSA!E127</f>
        <v>0.13619999999999999</v>
      </c>
      <c r="F127" s="1">
        <f>[1]sens_0_spec_90_PSA!F127</f>
        <v>4.9000000000000002E-2</v>
      </c>
      <c r="G127" s="2">
        <f>[1]sens_0_spec_90_PSA!G127</f>
        <v>17.524853711164901</v>
      </c>
      <c r="H127" s="2">
        <f>[1]sens_0_spec_90_PSA!H127</f>
        <v>13.027069955698099</v>
      </c>
      <c r="I127" s="2">
        <f>[1]sens_0_spec_90_PSA!I127</f>
        <v>7.9713326197090897</v>
      </c>
      <c r="J127" s="3">
        <f>[1]sens_0_spec_90_PSA!J127</f>
        <v>177834.71448224399</v>
      </c>
      <c r="K127" s="3">
        <f>[1]sens_0_spec_90_PSA!K127</f>
        <v>109165.759547106</v>
      </c>
      <c r="L127">
        <f>[1]sens_0_spec_90_PSA!L127</f>
        <v>1</v>
      </c>
      <c r="M127">
        <f>[1]sens_0_spec_90_PSA!M127</f>
        <v>0</v>
      </c>
    </row>
    <row r="128" spans="1:13" x14ac:dyDescent="0.25">
      <c r="A128">
        <v>127</v>
      </c>
      <c r="B128">
        <f>[1]sens_0_spec_90_PSA!B128</f>
        <v>0</v>
      </c>
      <c r="C128" t="str">
        <f>[1]sens_0_spec_90_PSA!C128</f>
        <v>NA</v>
      </c>
      <c r="D128">
        <f>[1]sens_0_spec_90_PSA!D128</f>
        <v>0</v>
      </c>
      <c r="E128" s="1">
        <f>[1]sens_0_spec_90_PSA!E128</f>
        <v>0.1701</v>
      </c>
      <c r="F128" s="1">
        <f>[1]sens_0_spec_90_PSA!F128</f>
        <v>4.8000000000000001E-2</v>
      </c>
      <c r="G128" s="2">
        <f>[1]sens_0_spec_90_PSA!G128</f>
        <v>17.866372813077</v>
      </c>
      <c r="H128" s="2">
        <f>[1]sens_0_spec_90_PSA!H128</f>
        <v>14.095445769794701</v>
      </c>
      <c r="I128" s="2">
        <f>[1]sens_0_spec_90_PSA!I128</f>
        <v>8.4955244493911692</v>
      </c>
      <c r="J128" s="3">
        <f>[1]sens_0_spec_90_PSA!J128</f>
        <v>192759.93785207599</v>
      </c>
      <c r="K128" s="3">
        <f>[1]sens_0_spec_90_PSA!K128</f>
        <v>115791.924570944</v>
      </c>
      <c r="L128">
        <f>[1]sens_0_spec_90_PSA!L128</f>
        <v>1</v>
      </c>
      <c r="M128">
        <f>[1]sens_0_spec_90_PSA!M128</f>
        <v>0</v>
      </c>
    </row>
    <row r="129" spans="1:13" x14ac:dyDescent="0.25">
      <c r="A129">
        <v>128</v>
      </c>
      <c r="B129">
        <f>[1]sens_0_spec_90_PSA!B129</f>
        <v>0</v>
      </c>
      <c r="C129" t="str">
        <f>[1]sens_0_spec_90_PSA!C129</f>
        <v>NA</v>
      </c>
      <c r="D129">
        <f>[1]sens_0_spec_90_PSA!D129</f>
        <v>0</v>
      </c>
      <c r="E129" s="1">
        <f>[1]sens_0_spec_90_PSA!E129</f>
        <v>0.18</v>
      </c>
      <c r="F129" s="1">
        <f>[1]sens_0_spec_90_PSA!F129</f>
        <v>3.2800000000000003E-2</v>
      </c>
      <c r="G129" s="2">
        <f>[1]sens_0_spec_90_PSA!G129</f>
        <v>17.2410299127408</v>
      </c>
      <c r="H129" s="2">
        <f>[1]sens_0_spec_90_PSA!H129</f>
        <v>13.600221205972399</v>
      </c>
      <c r="I129" s="2">
        <f>[1]sens_0_spec_90_PSA!I129</f>
        <v>8.3110364824426899</v>
      </c>
      <c r="J129" s="3">
        <f>[1]sens_0_spec_90_PSA!J129</f>
        <v>200287.62945925799</v>
      </c>
      <c r="K129" s="3">
        <f>[1]sens_0_spec_90_PSA!K129</f>
        <v>121971.869448818</v>
      </c>
      <c r="L129">
        <f>[1]sens_0_spec_90_PSA!L129</f>
        <v>1</v>
      </c>
      <c r="M129">
        <f>[1]sens_0_spec_90_PSA!M129</f>
        <v>0</v>
      </c>
    </row>
    <row r="130" spans="1:13" x14ac:dyDescent="0.25">
      <c r="A130">
        <v>129</v>
      </c>
      <c r="B130">
        <f>[1]sens_0_spec_90_PSA!B130</f>
        <v>0</v>
      </c>
      <c r="C130" t="str">
        <f>[1]sens_0_spec_90_PSA!C130</f>
        <v>NA</v>
      </c>
      <c r="D130">
        <f>[1]sens_0_spec_90_PSA!D130</f>
        <v>0</v>
      </c>
      <c r="E130" s="1">
        <f>[1]sens_0_spec_90_PSA!E130</f>
        <v>0.1676</v>
      </c>
      <c r="F130" s="1">
        <f>[1]sens_0_spec_90_PSA!F130</f>
        <v>0.04</v>
      </c>
      <c r="G130" s="2">
        <f>[1]sens_0_spec_90_PSA!G130</f>
        <v>18.8200504406419</v>
      </c>
      <c r="H130" s="2">
        <f>[1]sens_0_spec_90_PSA!H130</f>
        <v>13.2146063172328</v>
      </c>
      <c r="I130" s="2">
        <f>[1]sens_0_spec_90_PSA!I130</f>
        <v>7.8888461618349899</v>
      </c>
      <c r="J130" s="3">
        <f>[1]sens_0_spec_90_PSA!J130</f>
        <v>248817.75491759001</v>
      </c>
      <c r="K130" s="3">
        <f>[1]sens_0_spec_90_PSA!K130</f>
        <v>145385.636594223</v>
      </c>
      <c r="L130">
        <f>[1]sens_0_spec_90_PSA!L130</f>
        <v>1</v>
      </c>
      <c r="M130">
        <f>[1]sens_0_spec_90_PSA!M130</f>
        <v>0</v>
      </c>
    </row>
    <row r="131" spans="1:13" x14ac:dyDescent="0.25">
      <c r="A131">
        <v>130</v>
      </c>
      <c r="B131">
        <f>[1]sens_0_spec_90_PSA!B131</f>
        <v>0</v>
      </c>
      <c r="C131" t="str">
        <f>[1]sens_0_spec_90_PSA!C131</f>
        <v>NA</v>
      </c>
      <c r="D131">
        <f>[1]sens_0_spec_90_PSA!D131</f>
        <v>0</v>
      </c>
      <c r="E131" s="1">
        <f>[1]sens_0_spec_90_PSA!E131</f>
        <v>0.1169</v>
      </c>
      <c r="F131" s="1">
        <f>[1]sens_0_spec_90_PSA!F131</f>
        <v>4.65E-2</v>
      </c>
      <c r="G131" s="2">
        <f>[1]sens_0_spec_90_PSA!G131</f>
        <v>18.703481559354501</v>
      </c>
      <c r="H131" s="2">
        <f>[1]sens_0_spec_90_PSA!H131</f>
        <v>14.7758432759914</v>
      </c>
      <c r="I131" s="2">
        <f>[1]sens_0_spec_90_PSA!I131</f>
        <v>8.95338544641392</v>
      </c>
      <c r="J131" s="3">
        <f>[1]sens_0_spec_90_PSA!J131</f>
        <v>182363.12951160601</v>
      </c>
      <c r="K131" s="3">
        <f>[1]sens_0_spec_90_PSA!K131</f>
        <v>110575.954628871</v>
      </c>
      <c r="L131">
        <f>[1]sens_0_spec_90_PSA!L131</f>
        <v>1</v>
      </c>
      <c r="M131">
        <f>[1]sens_0_spec_90_PSA!M131</f>
        <v>0</v>
      </c>
    </row>
    <row r="132" spans="1:13" x14ac:dyDescent="0.25">
      <c r="A132">
        <v>131</v>
      </c>
      <c r="B132">
        <f>[1]sens_0_spec_90_PSA!B132</f>
        <v>0</v>
      </c>
      <c r="C132" t="str">
        <f>[1]sens_0_spec_90_PSA!C132</f>
        <v>NA</v>
      </c>
      <c r="D132">
        <f>[1]sens_0_spec_90_PSA!D132</f>
        <v>0</v>
      </c>
      <c r="E132" s="1">
        <f>[1]sens_0_spec_90_PSA!E132</f>
        <v>0.13550000000000001</v>
      </c>
      <c r="F132" s="1">
        <f>[1]sens_0_spec_90_PSA!F132</f>
        <v>3.9E-2</v>
      </c>
      <c r="G132" s="2">
        <f>[1]sens_0_spec_90_PSA!G132</f>
        <v>18.873402492354799</v>
      </c>
      <c r="H132" s="2">
        <f>[1]sens_0_spec_90_PSA!H132</f>
        <v>13.040739960543</v>
      </c>
      <c r="I132" s="2">
        <f>[1]sens_0_spec_90_PSA!I132</f>
        <v>7.8443280499089596</v>
      </c>
      <c r="J132" s="3">
        <f>[1]sens_0_spec_90_PSA!J132</f>
        <v>173254.476368901</v>
      </c>
      <c r="K132" s="3">
        <f>[1]sens_0_spec_90_PSA!K132</f>
        <v>104468.366935939</v>
      </c>
      <c r="L132">
        <f>[1]sens_0_spec_90_PSA!L132</f>
        <v>1</v>
      </c>
      <c r="M132">
        <f>[1]sens_0_spec_90_PSA!M132</f>
        <v>0</v>
      </c>
    </row>
    <row r="133" spans="1:13" x14ac:dyDescent="0.25">
      <c r="A133">
        <v>132</v>
      </c>
      <c r="B133">
        <f>[1]sens_0_spec_90_PSA!B133</f>
        <v>0</v>
      </c>
      <c r="C133" t="str">
        <f>[1]sens_0_spec_90_PSA!C133</f>
        <v>NA</v>
      </c>
      <c r="D133">
        <f>[1]sens_0_spec_90_PSA!D133</f>
        <v>0</v>
      </c>
      <c r="E133" s="1">
        <f>[1]sens_0_spec_90_PSA!E133</f>
        <v>0.11260000000000001</v>
      </c>
      <c r="F133" s="1">
        <f>[1]sens_0_spec_90_PSA!F133</f>
        <v>3.0300000000000001E-2</v>
      </c>
      <c r="G133" s="2">
        <f>[1]sens_0_spec_90_PSA!G133</f>
        <v>18.8506779782848</v>
      </c>
      <c r="H133" s="2">
        <f>[1]sens_0_spec_90_PSA!H133</f>
        <v>13.3686876484522</v>
      </c>
      <c r="I133" s="2">
        <f>[1]sens_0_spec_90_PSA!I133</f>
        <v>8.1058962412675104</v>
      </c>
      <c r="J133" s="3">
        <f>[1]sens_0_spec_90_PSA!J133</f>
        <v>218577.59457718799</v>
      </c>
      <c r="K133" s="3">
        <f>[1]sens_0_spec_90_PSA!K133</f>
        <v>131341.10483829799</v>
      </c>
      <c r="L133">
        <f>[1]sens_0_spec_90_PSA!L133</f>
        <v>1</v>
      </c>
      <c r="M133">
        <f>[1]sens_0_spec_90_PSA!M133</f>
        <v>0</v>
      </c>
    </row>
    <row r="134" spans="1:13" x14ac:dyDescent="0.25">
      <c r="A134">
        <v>133</v>
      </c>
      <c r="B134">
        <f>[1]sens_0_spec_90_PSA!B134</f>
        <v>0</v>
      </c>
      <c r="C134" t="str">
        <f>[1]sens_0_spec_90_PSA!C134</f>
        <v>NA</v>
      </c>
      <c r="D134">
        <f>[1]sens_0_spec_90_PSA!D134</f>
        <v>0</v>
      </c>
      <c r="E134" s="1">
        <f>[1]sens_0_spec_90_PSA!E134</f>
        <v>0.2329</v>
      </c>
      <c r="F134" s="1">
        <f>[1]sens_0_spec_90_PSA!F134</f>
        <v>3.0800000000000001E-2</v>
      </c>
      <c r="G134" s="2">
        <f>[1]sens_0_spec_90_PSA!G134</f>
        <v>16.822231688615201</v>
      </c>
      <c r="H134" s="2">
        <f>[1]sens_0_spec_90_PSA!H134</f>
        <v>13.169253385447499</v>
      </c>
      <c r="I134" s="2">
        <f>[1]sens_0_spec_90_PSA!I134</f>
        <v>7.9573991579897196</v>
      </c>
      <c r="J134" s="3">
        <f>[1]sens_0_spec_90_PSA!J134</f>
        <v>159211.531045154</v>
      </c>
      <c r="K134" s="3">
        <f>[1]sens_0_spec_90_PSA!K134</f>
        <v>96710.545433110703</v>
      </c>
      <c r="L134">
        <f>[1]sens_0_spec_90_PSA!L134</f>
        <v>1</v>
      </c>
      <c r="M134">
        <f>[1]sens_0_spec_90_PSA!M134</f>
        <v>0</v>
      </c>
    </row>
    <row r="135" spans="1:13" x14ac:dyDescent="0.25">
      <c r="A135">
        <v>134</v>
      </c>
      <c r="B135">
        <f>[1]sens_0_spec_90_PSA!B135</f>
        <v>0</v>
      </c>
      <c r="C135" t="str">
        <f>[1]sens_0_spec_90_PSA!C135</f>
        <v>NA</v>
      </c>
      <c r="D135">
        <f>[1]sens_0_spec_90_PSA!D135</f>
        <v>0</v>
      </c>
      <c r="E135" s="1">
        <f>[1]sens_0_spec_90_PSA!E135</f>
        <v>0.27160000000000001</v>
      </c>
      <c r="F135" s="1">
        <f>[1]sens_0_spec_90_PSA!F135</f>
        <v>3.5200000000000002E-2</v>
      </c>
      <c r="G135" s="2">
        <f>[1]sens_0_spec_90_PSA!G135</f>
        <v>16.434900244672601</v>
      </c>
      <c r="H135" s="2">
        <f>[1]sens_0_spec_90_PSA!H135</f>
        <v>11.207089341414701</v>
      </c>
      <c r="I135" s="2">
        <f>[1]sens_0_spec_90_PSA!I135</f>
        <v>6.7258730052451003</v>
      </c>
      <c r="J135" s="3">
        <f>[1]sens_0_spec_90_PSA!J135</f>
        <v>149244.72687273801</v>
      </c>
      <c r="K135" s="3">
        <f>[1]sens_0_spec_90_PSA!K135</f>
        <v>90435.847758527001</v>
      </c>
      <c r="L135">
        <f>[1]sens_0_spec_90_PSA!L135</f>
        <v>1</v>
      </c>
      <c r="M135">
        <f>[1]sens_0_spec_90_PSA!M135</f>
        <v>0</v>
      </c>
    </row>
    <row r="136" spans="1:13" x14ac:dyDescent="0.25">
      <c r="A136">
        <v>135</v>
      </c>
      <c r="B136">
        <f>[1]sens_0_spec_90_PSA!B136</f>
        <v>0</v>
      </c>
      <c r="C136" t="str">
        <f>[1]sens_0_spec_90_PSA!C136</f>
        <v>NA</v>
      </c>
      <c r="D136">
        <f>[1]sens_0_spec_90_PSA!D136</f>
        <v>0</v>
      </c>
      <c r="E136" s="1">
        <f>[1]sens_0_spec_90_PSA!E136</f>
        <v>0.1268</v>
      </c>
      <c r="F136" s="1">
        <f>[1]sens_0_spec_90_PSA!F136</f>
        <v>3.32E-2</v>
      </c>
      <c r="G136" s="2">
        <f>[1]sens_0_spec_90_PSA!G136</f>
        <v>18.448090051825801</v>
      </c>
      <c r="H136" s="2">
        <f>[1]sens_0_spec_90_PSA!H136</f>
        <v>13.701534809960901</v>
      </c>
      <c r="I136" s="2">
        <f>[1]sens_0_spec_90_PSA!I136</f>
        <v>8.3302423819979499</v>
      </c>
      <c r="J136" s="3">
        <f>[1]sens_0_spec_90_PSA!J136</f>
        <v>218751.81126572099</v>
      </c>
      <c r="K136" s="3">
        <f>[1]sens_0_spec_90_PSA!K136</f>
        <v>131673.590239921</v>
      </c>
      <c r="L136">
        <f>[1]sens_0_spec_90_PSA!L136</f>
        <v>1</v>
      </c>
      <c r="M136">
        <f>[1]sens_0_spec_90_PSA!M136</f>
        <v>0</v>
      </c>
    </row>
    <row r="137" spans="1:13" x14ac:dyDescent="0.25">
      <c r="A137">
        <v>136</v>
      </c>
      <c r="B137">
        <f>[1]sens_0_spec_90_PSA!B137</f>
        <v>0</v>
      </c>
      <c r="C137" t="str">
        <f>[1]sens_0_spec_90_PSA!C137</f>
        <v>NA</v>
      </c>
      <c r="D137">
        <f>[1]sens_0_spec_90_PSA!D137</f>
        <v>0</v>
      </c>
      <c r="E137" s="1">
        <f>[1]sens_0_spec_90_PSA!E137</f>
        <v>0.13980000000000001</v>
      </c>
      <c r="F137" s="1">
        <f>[1]sens_0_spec_90_PSA!F137</f>
        <v>4.2799999999999998E-2</v>
      </c>
      <c r="G137" s="2">
        <f>[1]sens_0_spec_90_PSA!G137</f>
        <v>18.146368801364702</v>
      </c>
      <c r="H137" s="2">
        <f>[1]sens_0_spec_90_PSA!H137</f>
        <v>13.048618198912299</v>
      </c>
      <c r="I137" s="2">
        <f>[1]sens_0_spec_90_PSA!I137</f>
        <v>7.9101091125144896</v>
      </c>
      <c r="J137" s="3">
        <f>[1]sens_0_spec_90_PSA!J137</f>
        <v>245602.850653342</v>
      </c>
      <c r="K137" s="3">
        <f>[1]sens_0_spec_90_PSA!K137</f>
        <v>146496.63649733501</v>
      </c>
      <c r="L137">
        <f>[1]sens_0_spec_90_PSA!L137</f>
        <v>1</v>
      </c>
      <c r="M137">
        <f>[1]sens_0_spec_90_PSA!M137</f>
        <v>0</v>
      </c>
    </row>
    <row r="138" spans="1:13" x14ac:dyDescent="0.25">
      <c r="A138">
        <v>137</v>
      </c>
      <c r="B138">
        <f>[1]sens_0_spec_90_PSA!B138</f>
        <v>0</v>
      </c>
      <c r="C138" t="str">
        <f>[1]sens_0_spec_90_PSA!C138</f>
        <v>NA</v>
      </c>
      <c r="D138">
        <f>[1]sens_0_spec_90_PSA!D138</f>
        <v>0</v>
      </c>
      <c r="E138" s="1">
        <f>[1]sens_0_spec_90_PSA!E138</f>
        <v>0.20480000000000001</v>
      </c>
      <c r="F138" s="1">
        <f>[1]sens_0_spec_90_PSA!F138</f>
        <v>3.6299999999999999E-2</v>
      </c>
      <c r="G138" s="2">
        <f>[1]sens_0_spec_90_PSA!G138</f>
        <v>17.354532448946902</v>
      </c>
      <c r="H138" s="2">
        <f>[1]sens_0_spec_90_PSA!H138</f>
        <v>12.853796024333899</v>
      </c>
      <c r="I138" s="2">
        <f>[1]sens_0_spec_90_PSA!I138</f>
        <v>7.7509193088462602</v>
      </c>
      <c r="J138" s="3">
        <f>[1]sens_0_spec_90_PSA!J138</f>
        <v>192983.23899252599</v>
      </c>
      <c r="K138" s="3">
        <f>[1]sens_0_spec_90_PSA!K138</f>
        <v>115510.878950453</v>
      </c>
      <c r="L138">
        <f>[1]sens_0_spec_90_PSA!L138</f>
        <v>1</v>
      </c>
      <c r="M138">
        <f>[1]sens_0_spec_90_PSA!M138</f>
        <v>0</v>
      </c>
    </row>
    <row r="139" spans="1:13" x14ac:dyDescent="0.25">
      <c r="A139">
        <v>138</v>
      </c>
      <c r="B139">
        <f>[1]sens_0_spec_90_PSA!B139</f>
        <v>0</v>
      </c>
      <c r="C139" t="str">
        <f>[1]sens_0_spec_90_PSA!C139</f>
        <v>NA</v>
      </c>
      <c r="D139">
        <f>[1]sens_0_spec_90_PSA!D139</f>
        <v>0</v>
      </c>
      <c r="E139" s="1">
        <f>[1]sens_0_spec_90_PSA!E139</f>
        <v>0.16439999999999999</v>
      </c>
      <c r="F139" s="1">
        <f>[1]sens_0_spec_90_PSA!F139</f>
        <v>4.5100000000000001E-2</v>
      </c>
      <c r="G139" s="2">
        <f>[1]sens_0_spec_90_PSA!G139</f>
        <v>18.392059501386299</v>
      </c>
      <c r="H139" s="2">
        <f>[1]sens_0_spec_90_PSA!H139</f>
        <v>10.678682286989</v>
      </c>
      <c r="I139" s="2">
        <f>[1]sens_0_spec_90_PSA!I139</f>
        <v>6.4143580872773498</v>
      </c>
      <c r="J139" s="3">
        <f>[1]sens_0_spec_90_PSA!J139</f>
        <v>219765.037861055</v>
      </c>
      <c r="K139" s="3">
        <f>[1]sens_0_spec_90_PSA!K139</f>
        <v>130214.321394331</v>
      </c>
      <c r="L139">
        <f>[1]sens_0_spec_90_PSA!L139</f>
        <v>1</v>
      </c>
      <c r="M139">
        <f>[1]sens_0_spec_90_PSA!M139</f>
        <v>0</v>
      </c>
    </row>
    <row r="140" spans="1:13" x14ac:dyDescent="0.25">
      <c r="A140">
        <v>139</v>
      </c>
      <c r="B140">
        <f>[1]sens_0_spec_90_PSA!B140</f>
        <v>0</v>
      </c>
      <c r="C140" t="str">
        <f>[1]sens_0_spec_90_PSA!C140</f>
        <v>NA</v>
      </c>
      <c r="D140">
        <f>[1]sens_0_spec_90_PSA!D140</f>
        <v>0</v>
      </c>
      <c r="E140" s="1">
        <f>[1]sens_0_spec_90_PSA!E140</f>
        <v>0.20200000000000001</v>
      </c>
      <c r="F140" s="1">
        <f>[1]sens_0_spec_90_PSA!F140</f>
        <v>3.1099999999999999E-2</v>
      </c>
      <c r="G140" s="2">
        <f>[1]sens_0_spec_90_PSA!G140</f>
        <v>16.9628318398555</v>
      </c>
      <c r="H140" s="2">
        <f>[1]sens_0_spec_90_PSA!H140</f>
        <v>11.785696299254299</v>
      </c>
      <c r="I140" s="2">
        <f>[1]sens_0_spec_90_PSA!I140</f>
        <v>7.1989752249936698</v>
      </c>
      <c r="J140" s="3">
        <f>[1]sens_0_spec_90_PSA!J140</f>
        <v>185262.93093824401</v>
      </c>
      <c r="K140" s="3">
        <f>[1]sens_0_spec_90_PSA!K140</f>
        <v>113000.020443053</v>
      </c>
      <c r="L140">
        <f>[1]sens_0_spec_90_PSA!L140</f>
        <v>1</v>
      </c>
      <c r="M140">
        <f>[1]sens_0_spec_90_PSA!M140</f>
        <v>0</v>
      </c>
    </row>
    <row r="141" spans="1:13" x14ac:dyDescent="0.25">
      <c r="A141">
        <v>140</v>
      </c>
      <c r="B141">
        <f>[1]sens_0_spec_90_PSA!B141</f>
        <v>0</v>
      </c>
      <c r="C141" t="str">
        <f>[1]sens_0_spec_90_PSA!C141</f>
        <v>NA</v>
      </c>
      <c r="D141">
        <f>[1]sens_0_spec_90_PSA!D141</f>
        <v>0</v>
      </c>
      <c r="E141" s="1">
        <f>[1]sens_0_spec_90_PSA!E141</f>
        <v>0.19900000000000001</v>
      </c>
      <c r="F141" s="1">
        <f>[1]sens_0_spec_90_PSA!F141</f>
        <v>3.5999999999999997E-2</v>
      </c>
      <c r="G141" s="2">
        <f>[1]sens_0_spec_90_PSA!G141</f>
        <v>17.701048725761499</v>
      </c>
      <c r="H141" s="2">
        <f>[1]sens_0_spec_90_PSA!H141</f>
        <v>14.127484286743099</v>
      </c>
      <c r="I141" s="2">
        <f>[1]sens_0_spec_90_PSA!I141</f>
        <v>8.5014235001386798</v>
      </c>
      <c r="J141" s="3">
        <f>[1]sens_0_spec_90_PSA!J141</f>
        <v>188910.680825533</v>
      </c>
      <c r="K141" s="3">
        <f>[1]sens_0_spec_90_PSA!K141</f>
        <v>113001.80008410801</v>
      </c>
      <c r="L141">
        <f>[1]sens_0_spec_90_PSA!L141</f>
        <v>1</v>
      </c>
      <c r="M141">
        <f>[1]sens_0_spec_90_PSA!M141</f>
        <v>0</v>
      </c>
    </row>
    <row r="142" spans="1:13" x14ac:dyDescent="0.25">
      <c r="A142">
        <v>141</v>
      </c>
      <c r="B142">
        <f>[1]sens_0_spec_90_PSA!B142</f>
        <v>0</v>
      </c>
      <c r="C142" t="str">
        <f>[1]sens_0_spec_90_PSA!C142</f>
        <v>NA</v>
      </c>
      <c r="D142">
        <f>[1]sens_0_spec_90_PSA!D142</f>
        <v>0</v>
      </c>
      <c r="E142" s="1">
        <f>[1]sens_0_spec_90_PSA!E142</f>
        <v>0.19320000000000001</v>
      </c>
      <c r="F142" s="1">
        <f>[1]sens_0_spec_90_PSA!F142</f>
        <v>6.1600000000000002E-2</v>
      </c>
      <c r="G142" s="2">
        <f>[1]sens_0_spec_90_PSA!G142</f>
        <v>18.489827752061899</v>
      </c>
      <c r="H142" s="2">
        <f>[1]sens_0_spec_90_PSA!H142</f>
        <v>13.8195369726421</v>
      </c>
      <c r="I142" s="2">
        <f>[1]sens_0_spec_90_PSA!I142</f>
        <v>8.1331810327725105</v>
      </c>
      <c r="J142" s="3">
        <f>[1]sens_0_spec_90_PSA!J142</f>
        <v>198468.44463890101</v>
      </c>
      <c r="K142" s="3">
        <f>[1]sens_0_spec_90_PSA!K142</f>
        <v>115176.518114027</v>
      </c>
      <c r="L142">
        <f>[1]sens_0_spec_90_PSA!L142</f>
        <v>1</v>
      </c>
      <c r="M142">
        <f>[1]sens_0_spec_90_PSA!M142</f>
        <v>0</v>
      </c>
    </row>
    <row r="143" spans="1:13" x14ac:dyDescent="0.25">
      <c r="A143">
        <v>142</v>
      </c>
      <c r="B143">
        <f>[1]sens_0_spec_90_PSA!B143</f>
        <v>0</v>
      </c>
      <c r="C143" t="str">
        <f>[1]sens_0_spec_90_PSA!C143</f>
        <v>NA</v>
      </c>
      <c r="D143">
        <f>[1]sens_0_spec_90_PSA!D143</f>
        <v>0</v>
      </c>
      <c r="E143" s="1">
        <f>[1]sens_0_spec_90_PSA!E143</f>
        <v>0.17899999999999999</v>
      </c>
      <c r="F143" s="1">
        <f>[1]sens_0_spec_90_PSA!F143</f>
        <v>4.8000000000000001E-2</v>
      </c>
      <c r="G143" s="2">
        <f>[1]sens_0_spec_90_PSA!G143</f>
        <v>16.769873998033201</v>
      </c>
      <c r="H143" s="2">
        <f>[1]sens_0_spec_90_PSA!H143</f>
        <v>11.951945104790999</v>
      </c>
      <c r="I143" s="2">
        <f>[1]sens_0_spec_90_PSA!I143</f>
        <v>7.2955909412809303</v>
      </c>
      <c r="J143" s="3">
        <f>[1]sens_0_spec_90_PSA!J143</f>
        <v>158462.148598281</v>
      </c>
      <c r="K143" s="3">
        <f>[1]sens_0_spec_90_PSA!K143</f>
        <v>97575.208795337094</v>
      </c>
      <c r="L143">
        <f>[1]sens_0_spec_90_PSA!L143</f>
        <v>1</v>
      </c>
      <c r="M143">
        <f>[1]sens_0_spec_90_PSA!M143</f>
        <v>0</v>
      </c>
    </row>
    <row r="144" spans="1:13" x14ac:dyDescent="0.25">
      <c r="A144">
        <v>143</v>
      </c>
      <c r="B144">
        <f>[1]sens_0_spec_90_PSA!B144</f>
        <v>0</v>
      </c>
      <c r="C144" t="str">
        <f>[1]sens_0_spec_90_PSA!C144</f>
        <v>NA</v>
      </c>
      <c r="D144">
        <f>[1]sens_0_spec_90_PSA!D144</f>
        <v>0</v>
      </c>
      <c r="E144" s="1">
        <f>[1]sens_0_spec_90_PSA!E144</f>
        <v>0.2195</v>
      </c>
      <c r="F144" s="1">
        <f>[1]sens_0_spec_90_PSA!F144</f>
        <v>2.8000000000000001E-2</v>
      </c>
      <c r="G144" s="2">
        <f>[1]sens_0_spec_90_PSA!G144</f>
        <v>16.0759512813679</v>
      </c>
      <c r="H144" s="2">
        <f>[1]sens_0_spec_90_PSA!H144</f>
        <v>10.712488100346601</v>
      </c>
      <c r="I144" s="2">
        <f>[1]sens_0_spec_90_PSA!I144</f>
        <v>6.6172972390938103</v>
      </c>
      <c r="J144" s="3">
        <f>[1]sens_0_spec_90_PSA!J144</f>
        <v>180126.81643230701</v>
      </c>
      <c r="K144" s="3">
        <f>[1]sens_0_spec_90_PSA!K144</f>
        <v>111264.53001752</v>
      </c>
      <c r="L144">
        <f>[1]sens_0_spec_90_PSA!L144</f>
        <v>1</v>
      </c>
      <c r="M144">
        <f>[1]sens_0_spec_90_PSA!M144</f>
        <v>0</v>
      </c>
    </row>
    <row r="145" spans="1:13" x14ac:dyDescent="0.25">
      <c r="A145">
        <v>144</v>
      </c>
      <c r="B145">
        <f>[1]sens_0_spec_90_PSA!B145</f>
        <v>0</v>
      </c>
      <c r="C145" t="str">
        <f>[1]sens_0_spec_90_PSA!C145</f>
        <v>NA</v>
      </c>
      <c r="D145">
        <f>[1]sens_0_spec_90_PSA!D145</f>
        <v>0</v>
      </c>
      <c r="E145" s="1">
        <f>[1]sens_0_spec_90_PSA!E145</f>
        <v>0.1772</v>
      </c>
      <c r="F145" s="1">
        <f>[1]sens_0_spec_90_PSA!F145</f>
        <v>2.6100000000000002E-2</v>
      </c>
      <c r="G145" s="2">
        <f>[1]sens_0_spec_90_PSA!G145</f>
        <v>18.378747367632101</v>
      </c>
      <c r="H145" s="2">
        <f>[1]sens_0_spec_90_PSA!H145</f>
        <v>13.374910586728999</v>
      </c>
      <c r="I145" s="2">
        <f>[1]sens_0_spec_90_PSA!I145</f>
        <v>8.0392890893827804</v>
      </c>
      <c r="J145" s="3">
        <f>[1]sens_0_spec_90_PSA!J145</f>
        <v>227694.53307164001</v>
      </c>
      <c r="K145" s="3">
        <f>[1]sens_0_spec_90_PSA!K145</f>
        <v>134999.412714568</v>
      </c>
      <c r="L145">
        <f>[1]sens_0_spec_90_PSA!L145</f>
        <v>1</v>
      </c>
      <c r="M145">
        <f>[1]sens_0_spec_90_PSA!M145</f>
        <v>0</v>
      </c>
    </row>
    <row r="146" spans="1:13" x14ac:dyDescent="0.25">
      <c r="A146">
        <v>145</v>
      </c>
      <c r="B146">
        <f>[1]sens_0_spec_90_PSA!B146</f>
        <v>0</v>
      </c>
      <c r="C146" t="str">
        <f>[1]sens_0_spec_90_PSA!C146</f>
        <v>NA</v>
      </c>
      <c r="D146">
        <f>[1]sens_0_spec_90_PSA!D146</f>
        <v>0</v>
      </c>
      <c r="E146" s="1">
        <f>[1]sens_0_spec_90_PSA!E146</f>
        <v>0.20080000000000001</v>
      </c>
      <c r="F146" s="1">
        <f>[1]sens_0_spec_90_PSA!F146</f>
        <v>3.0599999999999999E-2</v>
      </c>
      <c r="G146" s="2">
        <f>[1]sens_0_spec_90_PSA!G146</f>
        <v>17.090869239162199</v>
      </c>
      <c r="H146" s="2">
        <f>[1]sens_0_spec_90_PSA!H146</f>
        <v>12.7389889251256</v>
      </c>
      <c r="I146" s="2">
        <f>[1]sens_0_spec_90_PSA!I146</f>
        <v>7.7458356515770701</v>
      </c>
      <c r="J146" s="3">
        <f>[1]sens_0_spec_90_PSA!J146</f>
        <v>171510.64433161</v>
      </c>
      <c r="K146" s="3">
        <f>[1]sens_0_spec_90_PSA!K146</f>
        <v>104521.77559116</v>
      </c>
      <c r="L146">
        <f>[1]sens_0_spec_90_PSA!L146</f>
        <v>1</v>
      </c>
      <c r="M146">
        <f>[1]sens_0_spec_90_PSA!M146</f>
        <v>0</v>
      </c>
    </row>
    <row r="147" spans="1:13" x14ac:dyDescent="0.25">
      <c r="A147">
        <v>146</v>
      </c>
      <c r="B147">
        <f>[1]sens_0_spec_90_PSA!B147</f>
        <v>0</v>
      </c>
      <c r="C147" t="str">
        <f>[1]sens_0_spec_90_PSA!C147</f>
        <v>NA</v>
      </c>
      <c r="D147">
        <f>[1]sens_0_spec_90_PSA!D147</f>
        <v>0</v>
      </c>
      <c r="E147" s="1">
        <f>[1]sens_0_spec_90_PSA!E147</f>
        <v>0.27</v>
      </c>
      <c r="F147" s="1">
        <f>[1]sens_0_spec_90_PSA!F147</f>
        <v>5.0099999999999999E-2</v>
      </c>
      <c r="G147" s="2">
        <f>[1]sens_0_spec_90_PSA!G147</f>
        <v>16.3519521128996</v>
      </c>
      <c r="H147" s="2">
        <f>[1]sens_0_spec_90_PSA!H147</f>
        <v>12.711388323247199</v>
      </c>
      <c r="I147" s="2">
        <f>[1]sens_0_spec_90_PSA!I147</f>
        <v>7.5995396219680096</v>
      </c>
      <c r="J147" s="3">
        <f>[1]sens_0_spec_90_PSA!J147</f>
        <v>210737.43455507499</v>
      </c>
      <c r="K147" s="3">
        <f>[1]sens_0_spec_90_PSA!K147</f>
        <v>123701.961102639</v>
      </c>
      <c r="L147">
        <f>[1]sens_0_spec_90_PSA!L147</f>
        <v>1</v>
      </c>
      <c r="M147">
        <f>[1]sens_0_spec_90_PSA!M147</f>
        <v>0</v>
      </c>
    </row>
    <row r="148" spans="1:13" x14ac:dyDescent="0.25">
      <c r="A148">
        <v>147</v>
      </c>
      <c r="B148">
        <f>[1]sens_0_spec_90_PSA!B148</f>
        <v>0</v>
      </c>
      <c r="C148" t="str">
        <f>[1]sens_0_spec_90_PSA!C148</f>
        <v>NA</v>
      </c>
      <c r="D148">
        <f>[1]sens_0_spec_90_PSA!D148</f>
        <v>0</v>
      </c>
      <c r="E148" s="1">
        <f>[1]sens_0_spec_90_PSA!E148</f>
        <v>0.21360000000000001</v>
      </c>
      <c r="F148" s="1">
        <f>[1]sens_0_spec_90_PSA!F148</f>
        <v>5.57E-2</v>
      </c>
      <c r="G148" s="2">
        <f>[1]sens_0_spec_90_PSA!G148</f>
        <v>18.014125671150801</v>
      </c>
      <c r="H148" s="2">
        <f>[1]sens_0_spec_90_PSA!H148</f>
        <v>12.987291072834299</v>
      </c>
      <c r="I148" s="2">
        <f>[1]sens_0_spec_90_PSA!I148</f>
        <v>7.6865804448242896</v>
      </c>
      <c r="J148" s="3">
        <f>[1]sens_0_spec_90_PSA!J148</f>
        <v>185545.19980924501</v>
      </c>
      <c r="K148" s="3">
        <f>[1]sens_0_spec_90_PSA!K148</f>
        <v>109053.10859247899</v>
      </c>
      <c r="L148">
        <f>[1]sens_0_spec_90_PSA!L148</f>
        <v>1</v>
      </c>
      <c r="M148">
        <f>[1]sens_0_spec_90_PSA!M148</f>
        <v>0</v>
      </c>
    </row>
    <row r="149" spans="1:13" x14ac:dyDescent="0.25">
      <c r="A149">
        <v>148</v>
      </c>
      <c r="B149">
        <f>[1]sens_0_spec_90_PSA!B149</f>
        <v>0</v>
      </c>
      <c r="C149" t="str">
        <f>[1]sens_0_spec_90_PSA!C149</f>
        <v>NA</v>
      </c>
      <c r="D149">
        <f>[1]sens_0_spec_90_PSA!D149</f>
        <v>0</v>
      </c>
      <c r="E149" s="1">
        <f>[1]sens_0_spec_90_PSA!E149</f>
        <v>0.27960000000000002</v>
      </c>
      <c r="F149" s="1">
        <f>[1]sens_0_spec_90_PSA!F149</f>
        <v>5.3199999999999997E-2</v>
      </c>
      <c r="G149" s="2">
        <f>[1]sens_0_spec_90_PSA!G149</f>
        <v>15.816752434658699</v>
      </c>
      <c r="H149" s="2">
        <f>[1]sens_0_spec_90_PSA!H149</f>
        <v>12.014530887427799</v>
      </c>
      <c r="I149" s="2">
        <f>[1]sens_0_spec_90_PSA!I149</f>
        <v>7.2273698303738598</v>
      </c>
      <c r="J149" s="3">
        <f>[1]sens_0_spec_90_PSA!J149</f>
        <v>164534.76111676899</v>
      </c>
      <c r="K149" s="3">
        <f>[1]sens_0_spec_90_PSA!K149</f>
        <v>98776.934471821805</v>
      </c>
      <c r="L149">
        <f>[1]sens_0_spec_90_PSA!L149</f>
        <v>1</v>
      </c>
      <c r="M149">
        <f>[1]sens_0_spec_90_PSA!M149</f>
        <v>0</v>
      </c>
    </row>
    <row r="150" spans="1:13" x14ac:dyDescent="0.25">
      <c r="A150">
        <v>149</v>
      </c>
      <c r="B150">
        <f>[1]sens_0_spec_90_PSA!B150</f>
        <v>0</v>
      </c>
      <c r="C150" t="str">
        <f>[1]sens_0_spec_90_PSA!C150</f>
        <v>NA</v>
      </c>
      <c r="D150">
        <f>[1]sens_0_spec_90_PSA!D150</f>
        <v>0</v>
      </c>
      <c r="E150" s="1">
        <f>[1]sens_0_spec_90_PSA!E150</f>
        <v>0.19689999999999999</v>
      </c>
      <c r="F150" s="1">
        <f>[1]sens_0_spec_90_PSA!F150</f>
        <v>5.3999999999999999E-2</v>
      </c>
      <c r="G150" s="2">
        <f>[1]sens_0_spec_90_PSA!G150</f>
        <v>17.455773306483401</v>
      </c>
      <c r="H150" s="2">
        <f>[1]sens_0_spec_90_PSA!H150</f>
        <v>11.5434973916116</v>
      </c>
      <c r="I150" s="2">
        <f>[1]sens_0_spec_90_PSA!I150</f>
        <v>6.9370839049672002</v>
      </c>
      <c r="J150" s="3">
        <f>[1]sens_0_spec_90_PSA!J150</f>
        <v>206855.914670636</v>
      </c>
      <c r="K150" s="3">
        <f>[1]sens_0_spec_90_PSA!K150</f>
        <v>122733.710158011</v>
      </c>
      <c r="L150">
        <f>[1]sens_0_spec_90_PSA!L150</f>
        <v>1</v>
      </c>
      <c r="M150">
        <f>[1]sens_0_spec_90_PSA!M150</f>
        <v>0</v>
      </c>
    </row>
    <row r="151" spans="1:13" x14ac:dyDescent="0.25">
      <c r="A151">
        <v>150</v>
      </c>
      <c r="B151">
        <f>[1]sens_0_spec_90_PSA!B151</f>
        <v>0</v>
      </c>
      <c r="C151" t="str">
        <f>[1]sens_0_spec_90_PSA!C151</f>
        <v>NA</v>
      </c>
      <c r="D151">
        <f>[1]sens_0_spec_90_PSA!D151</f>
        <v>0</v>
      </c>
      <c r="E151" s="1">
        <f>[1]sens_0_spec_90_PSA!E151</f>
        <v>0.16450000000000001</v>
      </c>
      <c r="F151" s="1">
        <f>[1]sens_0_spec_90_PSA!F151</f>
        <v>3.1399999999999997E-2</v>
      </c>
      <c r="G151" s="2">
        <f>[1]sens_0_spec_90_PSA!G151</f>
        <v>19.570264936990199</v>
      </c>
      <c r="H151" s="2">
        <f>[1]sens_0_spec_90_PSA!H151</f>
        <v>15.154749201342</v>
      </c>
      <c r="I151" s="2">
        <f>[1]sens_0_spec_90_PSA!I151</f>
        <v>9.0005140595170197</v>
      </c>
      <c r="J151" s="3">
        <f>[1]sens_0_spec_90_PSA!J151</f>
        <v>216925.37832570699</v>
      </c>
      <c r="K151" s="3">
        <f>[1]sens_0_spec_90_PSA!K151</f>
        <v>126813.719609002</v>
      </c>
      <c r="L151">
        <f>[1]sens_0_spec_90_PSA!L151</f>
        <v>1</v>
      </c>
      <c r="M151">
        <f>[1]sens_0_spec_90_PSA!M151</f>
        <v>0</v>
      </c>
    </row>
    <row r="152" spans="1:13" x14ac:dyDescent="0.25">
      <c r="A152">
        <v>151</v>
      </c>
      <c r="B152">
        <f>[1]sens_0_spec_90_PSA!B152</f>
        <v>0</v>
      </c>
      <c r="C152" t="str">
        <f>[1]sens_0_spec_90_PSA!C152</f>
        <v>NA</v>
      </c>
      <c r="D152">
        <f>[1]sens_0_spec_90_PSA!D152</f>
        <v>0</v>
      </c>
      <c r="E152" s="1">
        <f>[1]sens_0_spec_90_PSA!E152</f>
        <v>0.19520000000000001</v>
      </c>
      <c r="F152" s="1">
        <f>[1]sens_0_spec_90_PSA!F152</f>
        <v>4.07E-2</v>
      </c>
      <c r="G152" s="2">
        <f>[1]sens_0_spec_90_PSA!G152</f>
        <v>18.142264650445199</v>
      </c>
      <c r="H152" s="2">
        <f>[1]sens_0_spec_90_PSA!H152</f>
        <v>12.5153054743804</v>
      </c>
      <c r="I152" s="2">
        <f>[1]sens_0_spec_90_PSA!I152</f>
        <v>7.4698463909655199</v>
      </c>
      <c r="J152" s="3">
        <f>[1]sens_0_spec_90_PSA!J152</f>
        <v>241348.824224029</v>
      </c>
      <c r="K152" s="3">
        <f>[1]sens_0_spec_90_PSA!K152</f>
        <v>141149.47813236</v>
      </c>
      <c r="L152">
        <f>[1]sens_0_spec_90_PSA!L152</f>
        <v>1</v>
      </c>
      <c r="M152">
        <f>[1]sens_0_spec_90_PSA!M152</f>
        <v>0</v>
      </c>
    </row>
    <row r="153" spans="1:13" x14ac:dyDescent="0.25">
      <c r="A153">
        <v>152</v>
      </c>
      <c r="B153">
        <f>[1]sens_0_spec_90_PSA!B153</f>
        <v>0</v>
      </c>
      <c r="C153" t="str">
        <f>[1]sens_0_spec_90_PSA!C153</f>
        <v>NA</v>
      </c>
      <c r="D153">
        <f>[1]sens_0_spec_90_PSA!D153</f>
        <v>0</v>
      </c>
      <c r="E153" s="1">
        <f>[1]sens_0_spec_90_PSA!E153</f>
        <v>0.2104</v>
      </c>
      <c r="F153" s="1">
        <f>[1]sens_0_spec_90_PSA!F153</f>
        <v>3.2199999999999999E-2</v>
      </c>
      <c r="G153" s="2">
        <f>[1]sens_0_spec_90_PSA!G153</f>
        <v>18.050946914887</v>
      </c>
      <c r="H153" s="2">
        <f>[1]sens_0_spec_90_PSA!H153</f>
        <v>12.7183364715601</v>
      </c>
      <c r="I153" s="2">
        <f>[1]sens_0_spec_90_PSA!I153</f>
        <v>7.58427092210355</v>
      </c>
      <c r="J153" s="3">
        <f>[1]sens_0_spec_90_PSA!J153</f>
        <v>150712.53572058599</v>
      </c>
      <c r="K153" s="3">
        <f>[1]sens_0_spec_90_PSA!K153</f>
        <v>90843.414651539802</v>
      </c>
      <c r="L153">
        <f>[1]sens_0_spec_90_PSA!L153</f>
        <v>1</v>
      </c>
      <c r="M153">
        <f>[1]sens_0_spec_90_PSA!M153</f>
        <v>0</v>
      </c>
    </row>
    <row r="154" spans="1:13" x14ac:dyDescent="0.25">
      <c r="A154">
        <v>153</v>
      </c>
      <c r="B154">
        <f>[1]sens_0_spec_90_PSA!B154</f>
        <v>0</v>
      </c>
      <c r="C154" t="str">
        <f>[1]sens_0_spec_90_PSA!C154</f>
        <v>NA</v>
      </c>
      <c r="D154">
        <f>[1]sens_0_spec_90_PSA!D154</f>
        <v>0</v>
      </c>
      <c r="E154" s="1">
        <f>[1]sens_0_spec_90_PSA!E154</f>
        <v>0.3075</v>
      </c>
      <c r="F154" s="1">
        <f>[1]sens_0_spec_90_PSA!F154</f>
        <v>2.0799999999999999E-2</v>
      </c>
      <c r="G154" s="2">
        <f>[1]sens_0_spec_90_PSA!G154</f>
        <v>16.070109841744099</v>
      </c>
      <c r="H154" s="2">
        <f>[1]sens_0_spec_90_PSA!H154</f>
        <v>10.3640697638711</v>
      </c>
      <c r="I154" s="2">
        <f>[1]sens_0_spec_90_PSA!I154</f>
        <v>6.20446937054676</v>
      </c>
      <c r="J154" s="3">
        <f>[1]sens_0_spec_90_PSA!J154</f>
        <v>186030.034129801</v>
      </c>
      <c r="K154" s="3">
        <f>[1]sens_0_spec_90_PSA!K154</f>
        <v>110430.400795433</v>
      </c>
      <c r="L154">
        <f>[1]sens_0_spec_90_PSA!L154</f>
        <v>1</v>
      </c>
      <c r="M154">
        <f>[1]sens_0_spec_90_PSA!M154</f>
        <v>0</v>
      </c>
    </row>
    <row r="155" spans="1:13" x14ac:dyDescent="0.25">
      <c r="A155">
        <v>154</v>
      </c>
      <c r="B155">
        <f>[1]sens_0_spec_90_PSA!B155</f>
        <v>0</v>
      </c>
      <c r="C155" t="str">
        <f>[1]sens_0_spec_90_PSA!C155</f>
        <v>NA</v>
      </c>
      <c r="D155">
        <f>[1]sens_0_spec_90_PSA!D155</f>
        <v>0</v>
      </c>
      <c r="E155" s="1">
        <f>[1]sens_0_spec_90_PSA!E155</f>
        <v>0.13159999999999999</v>
      </c>
      <c r="F155" s="1">
        <f>[1]sens_0_spec_90_PSA!F155</f>
        <v>2.9899999999999999E-2</v>
      </c>
      <c r="G155" s="2">
        <f>[1]sens_0_spec_90_PSA!G155</f>
        <v>17.953438815321601</v>
      </c>
      <c r="H155" s="2">
        <f>[1]sens_0_spec_90_PSA!H155</f>
        <v>14.2983794299679</v>
      </c>
      <c r="I155" s="2">
        <f>[1]sens_0_spec_90_PSA!I155</f>
        <v>8.7794752052719307</v>
      </c>
      <c r="J155" s="3">
        <f>[1]sens_0_spec_90_PSA!J155</f>
        <v>231331.290449697</v>
      </c>
      <c r="K155" s="3">
        <f>[1]sens_0_spec_90_PSA!K155</f>
        <v>140618.14255757301</v>
      </c>
      <c r="L155">
        <f>[1]sens_0_spec_90_PSA!L155</f>
        <v>1</v>
      </c>
      <c r="M155">
        <f>[1]sens_0_spec_90_PSA!M155</f>
        <v>0</v>
      </c>
    </row>
    <row r="156" spans="1:13" x14ac:dyDescent="0.25">
      <c r="A156">
        <v>155</v>
      </c>
      <c r="B156">
        <f>[1]sens_0_spec_90_PSA!B156</f>
        <v>0</v>
      </c>
      <c r="C156" t="str">
        <f>[1]sens_0_spec_90_PSA!C156</f>
        <v>NA</v>
      </c>
      <c r="D156">
        <f>[1]sens_0_spec_90_PSA!D156</f>
        <v>0</v>
      </c>
      <c r="E156" s="1">
        <f>[1]sens_0_spec_90_PSA!E156</f>
        <v>0.15329999999999999</v>
      </c>
      <c r="F156" s="1">
        <f>[1]sens_0_spec_90_PSA!F156</f>
        <v>5.3499999999999999E-2</v>
      </c>
      <c r="G156" s="2">
        <f>[1]sens_0_spec_90_PSA!G156</f>
        <v>17.7873907638864</v>
      </c>
      <c r="H156" s="2">
        <f>[1]sens_0_spec_90_PSA!H156</f>
        <v>12.1882311693753</v>
      </c>
      <c r="I156" s="2">
        <f>[1]sens_0_spec_90_PSA!I156</f>
        <v>7.3685558697620097</v>
      </c>
      <c r="J156" s="3">
        <f>[1]sens_0_spec_90_PSA!J156</f>
        <v>264654.74126999499</v>
      </c>
      <c r="K156" s="3">
        <f>[1]sens_0_spec_90_PSA!K156</f>
        <v>156146.74352916999</v>
      </c>
      <c r="L156">
        <f>[1]sens_0_spec_90_PSA!L156</f>
        <v>1</v>
      </c>
      <c r="M156">
        <f>[1]sens_0_spec_90_PSA!M156</f>
        <v>0</v>
      </c>
    </row>
    <row r="157" spans="1:13" x14ac:dyDescent="0.25">
      <c r="A157">
        <v>156</v>
      </c>
      <c r="B157">
        <f>[1]sens_0_spec_90_PSA!B157</f>
        <v>0</v>
      </c>
      <c r="C157" t="str">
        <f>[1]sens_0_spec_90_PSA!C157</f>
        <v>NA</v>
      </c>
      <c r="D157">
        <f>[1]sens_0_spec_90_PSA!D157</f>
        <v>0</v>
      </c>
      <c r="E157" s="1">
        <f>[1]sens_0_spec_90_PSA!E157</f>
        <v>0.2457</v>
      </c>
      <c r="F157" s="1">
        <f>[1]sens_0_spec_90_PSA!F157</f>
        <v>3.9899999999999998E-2</v>
      </c>
      <c r="G157" s="2">
        <f>[1]sens_0_spec_90_PSA!G157</f>
        <v>17.077903127872201</v>
      </c>
      <c r="H157" s="2">
        <f>[1]sens_0_spec_90_PSA!H157</f>
        <v>11.8622997242477</v>
      </c>
      <c r="I157" s="2">
        <f>[1]sens_0_spec_90_PSA!I157</f>
        <v>7.0891646261832602</v>
      </c>
      <c r="J157" s="3">
        <f>[1]sens_0_spec_90_PSA!J157</f>
        <v>190760.84442172799</v>
      </c>
      <c r="K157" s="3">
        <f>[1]sens_0_spec_90_PSA!K157</f>
        <v>113292.542777105</v>
      </c>
      <c r="L157">
        <f>[1]sens_0_spec_90_PSA!L157</f>
        <v>1</v>
      </c>
      <c r="M157">
        <f>[1]sens_0_spec_90_PSA!M157</f>
        <v>0</v>
      </c>
    </row>
    <row r="158" spans="1:13" x14ac:dyDescent="0.25">
      <c r="A158">
        <v>157</v>
      </c>
      <c r="B158">
        <f>[1]sens_0_spec_90_PSA!B158</f>
        <v>0</v>
      </c>
      <c r="C158" t="str">
        <f>[1]sens_0_spec_90_PSA!C158</f>
        <v>NA</v>
      </c>
      <c r="D158">
        <f>[1]sens_0_spec_90_PSA!D158</f>
        <v>0</v>
      </c>
      <c r="E158" s="1">
        <f>[1]sens_0_spec_90_PSA!E158</f>
        <v>0.21010000000000001</v>
      </c>
      <c r="F158" s="1">
        <f>[1]sens_0_spec_90_PSA!F158</f>
        <v>4.3499999999999997E-2</v>
      </c>
      <c r="G158" s="2">
        <f>[1]sens_0_spec_90_PSA!G158</f>
        <v>17.060442504403699</v>
      </c>
      <c r="H158" s="2">
        <f>[1]sens_0_spec_90_PSA!H158</f>
        <v>13.677549903388799</v>
      </c>
      <c r="I158" s="2">
        <f>[1]sens_0_spec_90_PSA!I158</f>
        <v>8.2790455798181597</v>
      </c>
      <c r="J158" s="3">
        <f>[1]sens_0_spec_90_PSA!J158</f>
        <v>202817.53698447801</v>
      </c>
      <c r="K158" s="3">
        <f>[1]sens_0_spec_90_PSA!K158</f>
        <v>121311.624433484</v>
      </c>
      <c r="L158">
        <f>[1]sens_0_spec_90_PSA!L158</f>
        <v>1</v>
      </c>
      <c r="M158">
        <f>[1]sens_0_spec_90_PSA!M158</f>
        <v>0</v>
      </c>
    </row>
    <row r="159" spans="1:13" x14ac:dyDescent="0.25">
      <c r="A159">
        <v>158</v>
      </c>
      <c r="B159">
        <f>[1]sens_0_spec_90_PSA!B159</f>
        <v>0</v>
      </c>
      <c r="C159" t="str">
        <f>[1]sens_0_spec_90_PSA!C159</f>
        <v>NA</v>
      </c>
      <c r="D159">
        <f>[1]sens_0_spec_90_PSA!D159</f>
        <v>0</v>
      </c>
      <c r="E159" s="1">
        <f>[1]sens_0_spec_90_PSA!E159</f>
        <v>0.1764</v>
      </c>
      <c r="F159" s="1">
        <f>[1]sens_0_spec_90_PSA!F159</f>
        <v>3.1800000000000002E-2</v>
      </c>
      <c r="G159" s="2">
        <f>[1]sens_0_spec_90_PSA!G159</f>
        <v>19.374411875276799</v>
      </c>
      <c r="H159" s="2">
        <f>[1]sens_0_spec_90_PSA!H159</f>
        <v>14.1354629042052</v>
      </c>
      <c r="I159" s="2">
        <f>[1]sens_0_spec_90_PSA!I159</f>
        <v>8.3518660089959909</v>
      </c>
      <c r="J159" s="3">
        <f>[1]sens_0_spec_90_PSA!J159</f>
        <v>217614.09533934601</v>
      </c>
      <c r="K159" s="3">
        <f>[1]sens_0_spec_90_PSA!K159</f>
        <v>126734.383202051</v>
      </c>
      <c r="L159">
        <f>[1]sens_0_spec_90_PSA!L159</f>
        <v>1</v>
      </c>
      <c r="M159">
        <f>[1]sens_0_spec_90_PSA!M159</f>
        <v>0</v>
      </c>
    </row>
    <row r="160" spans="1:13" x14ac:dyDescent="0.25">
      <c r="A160">
        <v>159</v>
      </c>
      <c r="B160">
        <f>[1]sens_0_spec_90_PSA!B160</f>
        <v>0</v>
      </c>
      <c r="C160" t="str">
        <f>[1]sens_0_spec_90_PSA!C160</f>
        <v>NA</v>
      </c>
      <c r="D160">
        <f>[1]sens_0_spec_90_PSA!D160</f>
        <v>0</v>
      </c>
      <c r="E160" s="1">
        <f>[1]sens_0_spec_90_PSA!E160</f>
        <v>0.19400000000000001</v>
      </c>
      <c r="F160" s="1">
        <f>[1]sens_0_spec_90_PSA!F160</f>
        <v>3.1699999999999999E-2</v>
      </c>
      <c r="G160" s="2">
        <f>[1]sens_0_spec_90_PSA!G160</f>
        <v>17.521461032561099</v>
      </c>
      <c r="H160" s="2">
        <f>[1]sens_0_spec_90_PSA!H160</f>
        <v>12.509579484753299</v>
      </c>
      <c r="I160" s="2">
        <f>[1]sens_0_spec_90_PSA!I160</f>
        <v>7.5481966455466099</v>
      </c>
      <c r="J160" s="3">
        <f>[1]sens_0_spec_90_PSA!J160</f>
        <v>172995.940887798</v>
      </c>
      <c r="K160" s="3">
        <f>[1]sens_0_spec_90_PSA!K160</f>
        <v>104846.476733812</v>
      </c>
      <c r="L160">
        <f>[1]sens_0_spec_90_PSA!L160</f>
        <v>1</v>
      </c>
      <c r="M160">
        <f>[1]sens_0_spec_90_PSA!M160</f>
        <v>0</v>
      </c>
    </row>
    <row r="161" spans="1:13" x14ac:dyDescent="0.25">
      <c r="A161">
        <v>160</v>
      </c>
      <c r="B161">
        <f>[1]sens_0_spec_90_PSA!B161</f>
        <v>0</v>
      </c>
      <c r="C161" t="str">
        <f>[1]sens_0_spec_90_PSA!C161</f>
        <v>NA</v>
      </c>
      <c r="D161">
        <f>[1]sens_0_spec_90_PSA!D161</f>
        <v>0</v>
      </c>
      <c r="E161" s="1">
        <f>[1]sens_0_spec_90_PSA!E161</f>
        <v>0.15629999999999999</v>
      </c>
      <c r="F161" s="1">
        <f>[1]sens_0_spec_90_PSA!F161</f>
        <v>3.2300000000000002E-2</v>
      </c>
      <c r="G161" s="2">
        <f>[1]sens_0_spec_90_PSA!G161</f>
        <v>18.046215407220799</v>
      </c>
      <c r="H161" s="2">
        <f>[1]sens_0_spec_90_PSA!H161</f>
        <v>12.818275924804301</v>
      </c>
      <c r="I161" s="2">
        <f>[1]sens_0_spec_90_PSA!I161</f>
        <v>7.7903691228340604</v>
      </c>
      <c r="J161" s="3">
        <f>[1]sens_0_spec_90_PSA!J161</f>
        <v>242123.04772539099</v>
      </c>
      <c r="K161" s="3">
        <f>[1]sens_0_spec_90_PSA!K161</f>
        <v>144668.42547777301</v>
      </c>
      <c r="L161">
        <f>[1]sens_0_spec_90_PSA!L161</f>
        <v>1</v>
      </c>
      <c r="M161">
        <f>[1]sens_0_spec_90_PSA!M161</f>
        <v>0</v>
      </c>
    </row>
    <row r="162" spans="1:13" x14ac:dyDescent="0.25">
      <c r="A162">
        <v>161</v>
      </c>
      <c r="B162">
        <f>[1]sens_0_spec_90_PSA!B162</f>
        <v>0</v>
      </c>
      <c r="C162" t="str">
        <f>[1]sens_0_spec_90_PSA!C162</f>
        <v>NA</v>
      </c>
      <c r="D162">
        <f>[1]sens_0_spec_90_PSA!D162</f>
        <v>0</v>
      </c>
      <c r="E162" s="1">
        <f>[1]sens_0_spec_90_PSA!E162</f>
        <v>0.17810000000000001</v>
      </c>
      <c r="F162" s="1">
        <f>[1]sens_0_spec_90_PSA!F162</f>
        <v>3.3599999999999998E-2</v>
      </c>
      <c r="G162" s="2">
        <f>[1]sens_0_spec_90_PSA!G162</f>
        <v>17.250663373979801</v>
      </c>
      <c r="H162" s="2">
        <f>[1]sens_0_spec_90_PSA!H162</f>
        <v>12.4603800859692</v>
      </c>
      <c r="I162" s="2">
        <f>[1]sens_0_spec_90_PSA!I162</f>
        <v>7.6171147094209601</v>
      </c>
      <c r="J162" s="3">
        <f>[1]sens_0_spec_90_PSA!J162</f>
        <v>242108.50094835399</v>
      </c>
      <c r="K162" s="3">
        <f>[1]sens_0_spec_90_PSA!K162</f>
        <v>145831.10578066099</v>
      </c>
      <c r="L162">
        <f>[1]sens_0_spec_90_PSA!L162</f>
        <v>1</v>
      </c>
      <c r="M162">
        <f>[1]sens_0_spec_90_PSA!M162</f>
        <v>0</v>
      </c>
    </row>
    <row r="163" spans="1:13" x14ac:dyDescent="0.25">
      <c r="A163">
        <v>162</v>
      </c>
      <c r="B163">
        <f>[1]sens_0_spec_90_PSA!B163</f>
        <v>0</v>
      </c>
      <c r="C163" t="str">
        <f>[1]sens_0_spec_90_PSA!C163</f>
        <v>NA</v>
      </c>
      <c r="D163">
        <f>[1]sens_0_spec_90_PSA!D163</f>
        <v>0</v>
      </c>
      <c r="E163" s="1">
        <f>[1]sens_0_spec_90_PSA!E163</f>
        <v>0.1731</v>
      </c>
      <c r="F163" s="1">
        <f>[1]sens_0_spec_90_PSA!F163</f>
        <v>4.9200000000000001E-2</v>
      </c>
      <c r="G163" s="2">
        <f>[1]sens_0_spec_90_PSA!G163</f>
        <v>18.959708621126101</v>
      </c>
      <c r="H163" s="2">
        <f>[1]sens_0_spec_90_PSA!H163</f>
        <v>11.9389558919467</v>
      </c>
      <c r="I163" s="2">
        <f>[1]sens_0_spec_90_PSA!I163</f>
        <v>7.0576463194516901</v>
      </c>
      <c r="J163" s="3">
        <f>[1]sens_0_spec_90_PSA!J163</f>
        <v>246177.029155809</v>
      </c>
      <c r="K163" s="3">
        <f>[1]sens_0_spec_90_PSA!K163</f>
        <v>142277.32571833101</v>
      </c>
      <c r="L163">
        <f>[1]sens_0_spec_90_PSA!L163</f>
        <v>1</v>
      </c>
      <c r="M163">
        <f>[1]sens_0_spec_90_PSA!M163</f>
        <v>0</v>
      </c>
    </row>
    <row r="164" spans="1:13" x14ac:dyDescent="0.25">
      <c r="A164">
        <v>163</v>
      </c>
      <c r="B164">
        <f>[1]sens_0_spec_90_PSA!B164</f>
        <v>0</v>
      </c>
      <c r="C164" t="str">
        <f>[1]sens_0_spec_90_PSA!C164</f>
        <v>NA</v>
      </c>
      <c r="D164">
        <f>[1]sens_0_spec_90_PSA!D164</f>
        <v>0</v>
      </c>
      <c r="E164" s="1">
        <f>[1]sens_0_spec_90_PSA!E164</f>
        <v>0.1235</v>
      </c>
      <c r="F164" s="1">
        <f>[1]sens_0_spec_90_PSA!F164</f>
        <v>5.2600000000000001E-2</v>
      </c>
      <c r="G164" s="2">
        <f>[1]sens_0_spec_90_PSA!G164</f>
        <v>18.956807133254198</v>
      </c>
      <c r="H164" s="2">
        <f>[1]sens_0_spec_90_PSA!H164</f>
        <v>14.604965823666699</v>
      </c>
      <c r="I164" s="2">
        <f>[1]sens_0_spec_90_PSA!I164</f>
        <v>8.7755411566446</v>
      </c>
      <c r="J164" s="3">
        <f>[1]sens_0_spec_90_PSA!J164</f>
        <v>174100.693852439</v>
      </c>
      <c r="K164" s="3">
        <f>[1]sens_0_spec_90_PSA!K164</f>
        <v>104728.26557414301</v>
      </c>
      <c r="L164">
        <f>[1]sens_0_spec_90_PSA!L164</f>
        <v>1</v>
      </c>
      <c r="M164">
        <f>[1]sens_0_spec_90_PSA!M164</f>
        <v>0</v>
      </c>
    </row>
    <row r="165" spans="1:13" x14ac:dyDescent="0.25">
      <c r="A165">
        <v>164</v>
      </c>
      <c r="B165">
        <f>[1]sens_0_spec_90_PSA!B165</f>
        <v>0</v>
      </c>
      <c r="C165" t="str">
        <f>[1]sens_0_spec_90_PSA!C165</f>
        <v>NA</v>
      </c>
      <c r="D165">
        <f>[1]sens_0_spec_90_PSA!D165</f>
        <v>0</v>
      </c>
      <c r="E165" s="1">
        <f>[1]sens_0_spec_90_PSA!E165</f>
        <v>0.17730000000000001</v>
      </c>
      <c r="F165" s="1">
        <f>[1]sens_0_spec_90_PSA!F165</f>
        <v>4.6600000000000003E-2</v>
      </c>
      <c r="G165" s="2">
        <f>[1]sens_0_spec_90_PSA!G165</f>
        <v>18.237351726278899</v>
      </c>
      <c r="H165" s="2">
        <f>[1]sens_0_spec_90_PSA!H165</f>
        <v>14.881154195479599</v>
      </c>
      <c r="I165" s="2">
        <f>[1]sens_0_spec_90_PSA!I165</f>
        <v>8.8918612160025692</v>
      </c>
      <c r="J165" s="3">
        <f>[1]sens_0_spec_90_PSA!J165</f>
        <v>215460.427617596</v>
      </c>
      <c r="K165" s="3">
        <f>[1]sens_0_spec_90_PSA!K165</f>
        <v>126903.33891828</v>
      </c>
      <c r="L165">
        <f>[1]sens_0_spec_90_PSA!L165</f>
        <v>1</v>
      </c>
      <c r="M165">
        <f>[1]sens_0_spec_90_PSA!M165</f>
        <v>0</v>
      </c>
    </row>
    <row r="166" spans="1:13" x14ac:dyDescent="0.25">
      <c r="A166">
        <v>165</v>
      </c>
      <c r="B166">
        <f>[1]sens_0_spec_90_PSA!B166</f>
        <v>0</v>
      </c>
      <c r="C166" t="str">
        <f>[1]sens_0_spec_90_PSA!C166</f>
        <v>NA</v>
      </c>
      <c r="D166">
        <f>[1]sens_0_spec_90_PSA!D166</f>
        <v>0</v>
      </c>
      <c r="E166" s="1">
        <f>[1]sens_0_spec_90_PSA!E166</f>
        <v>0.20979999999999999</v>
      </c>
      <c r="F166" s="1">
        <f>[1]sens_0_spec_90_PSA!F166</f>
        <v>3.3599999999999998E-2</v>
      </c>
      <c r="G166" s="2">
        <f>[1]sens_0_spec_90_PSA!G166</f>
        <v>18.829964744340501</v>
      </c>
      <c r="H166" s="2">
        <f>[1]sens_0_spec_90_PSA!H166</f>
        <v>12.6819401941199</v>
      </c>
      <c r="I166" s="2">
        <f>[1]sens_0_spec_90_PSA!I166</f>
        <v>7.47408555894377</v>
      </c>
      <c r="J166" s="3">
        <f>[1]sens_0_spec_90_PSA!J166</f>
        <v>261269.69223102101</v>
      </c>
      <c r="K166" s="3">
        <f>[1]sens_0_spec_90_PSA!K166</f>
        <v>149598.45990242201</v>
      </c>
      <c r="L166">
        <f>[1]sens_0_spec_90_PSA!L166</f>
        <v>1</v>
      </c>
      <c r="M166">
        <f>[1]sens_0_spec_90_PSA!M166</f>
        <v>0</v>
      </c>
    </row>
    <row r="167" spans="1:13" x14ac:dyDescent="0.25">
      <c r="A167">
        <v>166</v>
      </c>
      <c r="B167">
        <f>[1]sens_0_spec_90_PSA!B167</f>
        <v>0</v>
      </c>
      <c r="C167" t="str">
        <f>[1]sens_0_spec_90_PSA!C167</f>
        <v>NA</v>
      </c>
      <c r="D167">
        <f>[1]sens_0_spec_90_PSA!D167</f>
        <v>0</v>
      </c>
      <c r="E167" s="1">
        <f>[1]sens_0_spec_90_PSA!E167</f>
        <v>0.14080000000000001</v>
      </c>
      <c r="F167" s="1">
        <f>[1]sens_0_spec_90_PSA!F167</f>
        <v>4.8300000000000003E-2</v>
      </c>
      <c r="G167" s="2">
        <f>[1]sens_0_spec_90_PSA!G167</f>
        <v>19.004654737779202</v>
      </c>
      <c r="H167" s="2">
        <f>[1]sens_0_spec_90_PSA!H167</f>
        <v>11.7986021959981</v>
      </c>
      <c r="I167" s="2">
        <f>[1]sens_0_spec_90_PSA!I167</f>
        <v>7.0473725421650197</v>
      </c>
      <c r="J167" s="3">
        <f>[1]sens_0_spec_90_PSA!J167</f>
        <v>166584.76147653101</v>
      </c>
      <c r="K167" s="3">
        <f>[1]sens_0_spec_90_PSA!K167</f>
        <v>99992.694588149403</v>
      </c>
      <c r="L167">
        <f>[1]sens_0_spec_90_PSA!L167</f>
        <v>1</v>
      </c>
      <c r="M167">
        <f>[1]sens_0_spec_90_PSA!M167</f>
        <v>0</v>
      </c>
    </row>
    <row r="168" spans="1:13" x14ac:dyDescent="0.25">
      <c r="A168">
        <v>167</v>
      </c>
      <c r="B168">
        <f>[1]sens_0_spec_90_PSA!B168</f>
        <v>0</v>
      </c>
      <c r="C168" t="str">
        <f>[1]sens_0_spec_90_PSA!C168</f>
        <v>NA</v>
      </c>
      <c r="D168">
        <f>[1]sens_0_spec_90_PSA!D168</f>
        <v>0</v>
      </c>
      <c r="E168" s="1">
        <f>[1]sens_0_spec_90_PSA!E168</f>
        <v>0.14710000000000001</v>
      </c>
      <c r="F168" s="1">
        <f>[1]sens_0_spec_90_PSA!F168</f>
        <v>4.1000000000000002E-2</v>
      </c>
      <c r="G168" s="2">
        <f>[1]sens_0_spec_90_PSA!G168</f>
        <v>19.185125408267101</v>
      </c>
      <c r="H168" s="2">
        <f>[1]sens_0_spec_90_PSA!H168</f>
        <v>13.500536110448801</v>
      </c>
      <c r="I168" s="2">
        <f>[1]sens_0_spec_90_PSA!I168</f>
        <v>8.0625527887430994</v>
      </c>
      <c r="J168" s="3">
        <f>[1]sens_0_spec_90_PSA!J168</f>
        <v>197582.41744762901</v>
      </c>
      <c r="K168" s="3">
        <f>[1]sens_0_spec_90_PSA!K168</f>
        <v>117262.90195187699</v>
      </c>
      <c r="L168">
        <f>[1]sens_0_spec_90_PSA!L168</f>
        <v>1</v>
      </c>
      <c r="M168">
        <f>[1]sens_0_spec_90_PSA!M168</f>
        <v>0</v>
      </c>
    </row>
    <row r="169" spans="1:13" x14ac:dyDescent="0.25">
      <c r="A169">
        <v>168</v>
      </c>
      <c r="B169">
        <f>[1]sens_0_spec_90_PSA!B169</f>
        <v>0</v>
      </c>
      <c r="C169" t="str">
        <f>[1]sens_0_spec_90_PSA!C169</f>
        <v>NA</v>
      </c>
      <c r="D169">
        <f>[1]sens_0_spec_90_PSA!D169</f>
        <v>0</v>
      </c>
      <c r="E169" s="1">
        <f>[1]sens_0_spec_90_PSA!E169</f>
        <v>0.24299999999999999</v>
      </c>
      <c r="F169" s="1">
        <f>[1]sens_0_spec_90_PSA!F169</f>
        <v>5.1299999999999998E-2</v>
      </c>
      <c r="G169" s="2">
        <f>[1]sens_0_spec_90_PSA!G169</f>
        <v>17.571161049104401</v>
      </c>
      <c r="H169" s="2">
        <f>[1]sens_0_spec_90_PSA!H169</f>
        <v>11.9812255656493</v>
      </c>
      <c r="I169" s="2">
        <f>[1]sens_0_spec_90_PSA!I169</f>
        <v>7.0997471056226402</v>
      </c>
      <c r="J169" s="3">
        <f>[1]sens_0_spec_90_PSA!J169</f>
        <v>204541.50106089999</v>
      </c>
      <c r="K169" s="3">
        <f>[1]sens_0_spec_90_PSA!K169</f>
        <v>119278.288818128</v>
      </c>
      <c r="L169">
        <f>[1]sens_0_spec_90_PSA!L169</f>
        <v>1</v>
      </c>
      <c r="M169">
        <f>[1]sens_0_spec_90_PSA!M169</f>
        <v>0</v>
      </c>
    </row>
    <row r="170" spans="1:13" x14ac:dyDescent="0.25">
      <c r="A170">
        <v>169</v>
      </c>
      <c r="B170">
        <f>[1]sens_0_spec_90_PSA!B170</f>
        <v>0</v>
      </c>
      <c r="C170" t="str">
        <f>[1]sens_0_spec_90_PSA!C170</f>
        <v>NA</v>
      </c>
      <c r="D170">
        <f>[1]sens_0_spec_90_PSA!D170</f>
        <v>0</v>
      </c>
      <c r="E170" s="1">
        <f>[1]sens_0_spec_90_PSA!E170</f>
        <v>0.17649999999999999</v>
      </c>
      <c r="F170" s="1">
        <f>[1]sens_0_spec_90_PSA!F170</f>
        <v>5.0500000000000003E-2</v>
      </c>
      <c r="G170" s="2">
        <f>[1]sens_0_spec_90_PSA!G170</f>
        <v>18.658945852566099</v>
      </c>
      <c r="H170" s="2">
        <f>[1]sens_0_spec_90_PSA!H170</f>
        <v>13.9112555707973</v>
      </c>
      <c r="I170" s="2">
        <f>[1]sens_0_spec_90_PSA!I170</f>
        <v>8.2919637413605098</v>
      </c>
      <c r="J170" s="3">
        <f>[1]sens_0_spec_90_PSA!J170</f>
        <v>258575.62945654799</v>
      </c>
      <c r="K170" s="3">
        <f>[1]sens_0_spec_90_PSA!K170</f>
        <v>150232.36253656101</v>
      </c>
      <c r="L170">
        <f>[1]sens_0_spec_90_PSA!L170</f>
        <v>1</v>
      </c>
      <c r="M170">
        <f>[1]sens_0_spec_90_PSA!M170</f>
        <v>0</v>
      </c>
    </row>
    <row r="171" spans="1:13" x14ac:dyDescent="0.25">
      <c r="A171">
        <v>170</v>
      </c>
      <c r="B171">
        <f>[1]sens_0_spec_90_PSA!B171</f>
        <v>0</v>
      </c>
      <c r="C171" t="str">
        <f>[1]sens_0_spec_90_PSA!C171</f>
        <v>NA</v>
      </c>
      <c r="D171">
        <f>[1]sens_0_spec_90_PSA!D171</f>
        <v>0</v>
      </c>
      <c r="E171" s="1">
        <f>[1]sens_0_spec_90_PSA!E171</f>
        <v>0.20369999999999999</v>
      </c>
      <c r="F171" s="1">
        <f>[1]sens_0_spec_90_PSA!F171</f>
        <v>4.4400000000000002E-2</v>
      </c>
      <c r="G171" s="2">
        <f>[1]sens_0_spec_90_PSA!G171</f>
        <v>17.860102448197502</v>
      </c>
      <c r="H171" s="2">
        <f>[1]sens_0_spec_90_PSA!H171</f>
        <v>12.4520378535703</v>
      </c>
      <c r="I171" s="2">
        <f>[1]sens_0_spec_90_PSA!I171</f>
        <v>7.4282921696515798</v>
      </c>
      <c r="J171" s="3">
        <f>[1]sens_0_spec_90_PSA!J171</f>
        <v>153502.689321755</v>
      </c>
      <c r="K171" s="3">
        <f>[1]sens_0_spec_90_PSA!K171</f>
        <v>92199.751638515503</v>
      </c>
      <c r="L171">
        <f>[1]sens_0_spec_90_PSA!L171</f>
        <v>1</v>
      </c>
      <c r="M171">
        <f>[1]sens_0_spec_90_PSA!M171</f>
        <v>0</v>
      </c>
    </row>
    <row r="172" spans="1:13" x14ac:dyDescent="0.25">
      <c r="A172">
        <v>171</v>
      </c>
      <c r="B172">
        <f>[1]sens_0_spec_90_PSA!B172</f>
        <v>0</v>
      </c>
      <c r="C172" t="str">
        <f>[1]sens_0_spec_90_PSA!C172</f>
        <v>NA</v>
      </c>
      <c r="D172">
        <f>[1]sens_0_spec_90_PSA!D172</f>
        <v>0</v>
      </c>
      <c r="E172" s="1">
        <f>[1]sens_0_spec_90_PSA!E172</f>
        <v>0.1875</v>
      </c>
      <c r="F172" s="1">
        <f>[1]sens_0_spec_90_PSA!F172</f>
        <v>4.0300000000000002E-2</v>
      </c>
      <c r="G172" s="2">
        <f>[1]sens_0_spec_90_PSA!G172</f>
        <v>18.532630741154701</v>
      </c>
      <c r="H172" s="2">
        <f>[1]sens_0_spec_90_PSA!H172</f>
        <v>12.140731796118899</v>
      </c>
      <c r="I172" s="2">
        <f>[1]sens_0_spec_90_PSA!I172</f>
        <v>7.2559493649895801</v>
      </c>
      <c r="J172" s="3">
        <f>[1]sens_0_spec_90_PSA!J172</f>
        <v>260124.37798515</v>
      </c>
      <c r="K172" s="3">
        <f>[1]sens_0_spec_90_PSA!K172</f>
        <v>151499.16512438399</v>
      </c>
      <c r="L172">
        <f>[1]sens_0_spec_90_PSA!L172</f>
        <v>1</v>
      </c>
      <c r="M172">
        <f>[1]sens_0_spec_90_PSA!M172</f>
        <v>0</v>
      </c>
    </row>
    <row r="173" spans="1:13" x14ac:dyDescent="0.25">
      <c r="A173">
        <v>172</v>
      </c>
      <c r="B173">
        <f>[1]sens_0_spec_90_PSA!B173</f>
        <v>0</v>
      </c>
      <c r="C173" t="str">
        <f>[1]sens_0_spec_90_PSA!C173</f>
        <v>NA</v>
      </c>
      <c r="D173">
        <f>[1]sens_0_spec_90_PSA!D173</f>
        <v>0</v>
      </c>
      <c r="E173" s="1">
        <f>[1]sens_0_spec_90_PSA!E173</f>
        <v>0.1467</v>
      </c>
      <c r="F173" s="1">
        <f>[1]sens_0_spec_90_PSA!F173</f>
        <v>2.6599999999999999E-2</v>
      </c>
      <c r="G173" s="2">
        <f>[1]sens_0_spec_90_PSA!G173</f>
        <v>18.5662346932044</v>
      </c>
      <c r="H173" s="2">
        <f>[1]sens_0_spec_90_PSA!H173</f>
        <v>13.009543796333</v>
      </c>
      <c r="I173" s="2">
        <f>[1]sens_0_spec_90_PSA!I173</f>
        <v>7.8716009092090404</v>
      </c>
      <c r="J173" s="3">
        <f>[1]sens_0_spec_90_PSA!J173</f>
        <v>229713.32985545101</v>
      </c>
      <c r="K173" s="3">
        <f>[1]sens_0_spec_90_PSA!K173</f>
        <v>137113.67466719801</v>
      </c>
      <c r="L173">
        <f>[1]sens_0_spec_90_PSA!L173</f>
        <v>1</v>
      </c>
      <c r="M173">
        <f>[1]sens_0_spec_90_PSA!M173</f>
        <v>0</v>
      </c>
    </row>
    <row r="174" spans="1:13" x14ac:dyDescent="0.25">
      <c r="A174">
        <v>173</v>
      </c>
      <c r="B174">
        <f>[1]sens_0_spec_90_PSA!B174</f>
        <v>0</v>
      </c>
      <c r="C174" t="str">
        <f>[1]sens_0_spec_90_PSA!C174</f>
        <v>NA</v>
      </c>
      <c r="D174">
        <f>[1]sens_0_spec_90_PSA!D174</f>
        <v>0</v>
      </c>
      <c r="E174" s="1">
        <f>[1]sens_0_spec_90_PSA!E174</f>
        <v>0.14460000000000001</v>
      </c>
      <c r="F174" s="1">
        <f>[1]sens_0_spec_90_PSA!F174</f>
        <v>5.67E-2</v>
      </c>
      <c r="G174" s="2">
        <f>[1]sens_0_spec_90_PSA!G174</f>
        <v>18.465164223535002</v>
      </c>
      <c r="H174" s="2">
        <f>[1]sens_0_spec_90_PSA!H174</f>
        <v>10.4184029586738</v>
      </c>
      <c r="I174" s="2">
        <f>[1]sens_0_spec_90_PSA!I174</f>
        <v>6.2534115812721502</v>
      </c>
      <c r="J174" s="3">
        <f>[1]sens_0_spec_90_PSA!J174</f>
        <v>234358.622734695</v>
      </c>
      <c r="K174" s="3">
        <f>[1]sens_0_spec_90_PSA!K174</f>
        <v>138174.35924050101</v>
      </c>
      <c r="L174">
        <f>[1]sens_0_spec_90_PSA!L174</f>
        <v>1</v>
      </c>
      <c r="M174">
        <f>[1]sens_0_spec_90_PSA!M174</f>
        <v>0</v>
      </c>
    </row>
    <row r="175" spans="1:13" x14ac:dyDescent="0.25">
      <c r="A175">
        <v>174</v>
      </c>
      <c r="B175">
        <f>[1]sens_0_spec_90_PSA!B175</f>
        <v>0</v>
      </c>
      <c r="C175" t="str">
        <f>[1]sens_0_spec_90_PSA!C175</f>
        <v>NA</v>
      </c>
      <c r="D175">
        <f>[1]sens_0_spec_90_PSA!D175</f>
        <v>0</v>
      </c>
      <c r="E175" s="1">
        <f>[1]sens_0_spec_90_PSA!E175</f>
        <v>0.26850000000000002</v>
      </c>
      <c r="F175" s="1">
        <f>[1]sens_0_spec_90_PSA!F175</f>
        <v>3.7600000000000001E-2</v>
      </c>
      <c r="G175" s="2">
        <f>[1]sens_0_spec_90_PSA!G175</f>
        <v>18.085728819184101</v>
      </c>
      <c r="H175" s="2">
        <f>[1]sens_0_spec_90_PSA!H175</f>
        <v>10.887622157018701</v>
      </c>
      <c r="I175" s="2">
        <f>[1]sens_0_spec_90_PSA!I175</f>
        <v>6.3505035189556196</v>
      </c>
      <c r="J175" s="3">
        <f>[1]sens_0_spec_90_PSA!J175</f>
        <v>235514.34732530901</v>
      </c>
      <c r="K175" s="3">
        <f>[1]sens_0_spec_90_PSA!K175</f>
        <v>133611.95029435901</v>
      </c>
      <c r="L175">
        <f>[1]sens_0_spec_90_PSA!L175</f>
        <v>1</v>
      </c>
      <c r="M175">
        <f>[1]sens_0_spec_90_PSA!M175</f>
        <v>0</v>
      </c>
    </row>
    <row r="176" spans="1:13" x14ac:dyDescent="0.25">
      <c r="A176">
        <v>175</v>
      </c>
      <c r="B176">
        <f>[1]sens_0_spec_90_PSA!B176</f>
        <v>0</v>
      </c>
      <c r="C176" t="str">
        <f>[1]sens_0_spec_90_PSA!C176</f>
        <v>NA</v>
      </c>
      <c r="D176">
        <f>[1]sens_0_spec_90_PSA!D176</f>
        <v>0</v>
      </c>
      <c r="E176" s="1">
        <f>[1]sens_0_spec_90_PSA!E176</f>
        <v>0.16220000000000001</v>
      </c>
      <c r="F176" s="1">
        <f>[1]sens_0_spec_90_PSA!F176</f>
        <v>2.8000000000000001E-2</v>
      </c>
      <c r="G176" s="2">
        <f>[1]sens_0_spec_90_PSA!G176</f>
        <v>18.5962493605454</v>
      </c>
      <c r="H176" s="2">
        <f>[1]sens_0_spec_90_PSA!H176</f>
        <v>12.614125492784501</v>
      </c>
      <c r="I176" s="2">
        <f>[1]sens_0_spec_90_PSA!I176</f>
        <v>7.5683828407033102</v>
      </c>
      <c r="J176" s="3">
        <f>[1]sens_0_spec_90_PSA!J176</f>
        <v>243613.49556832601</v>
      </c>
      <c r="K176" s="3">
        <f>[1]sens_0_spec_90_PSA!K176</f>
        <v>143221.39359082599</v>
      </c>
      <c r="L176">
        <f>[1]sens_0_spec_90_PSA!L176</f>
        <v>1</v>
      </c>
      <c r="M176">
        <f>[1]sens_0_spec_90_PSA!M176</f>
        <v>0</v>
      </c>
    </row>
    <row r="177" spans="1:13" x14ac:dyDescent="0.25">
      <c r="A177">
        <v>176</v>
      </c>
      <c r="B177">
        <f>[1]sens_0_spec_90_PSA!B177</f>
        <v>0</v>
      </c>
      <c r="C177" t="str">
        <f>[1]sens_0_spec_90_PSA!C177</f>
        <v>NA</v>
      </c>
      <c r="D177">
        <f>[1]sens_0_spec_90_PSA!D177</f>
        <v>0</v>
      </c>
      <c r="E177" s="1">
        <f>[1]sens_0_spec_90_PSA!E177</f>
        <v>0.20799999999999999</v>
      </c>
      <c r="F177" s="1">
        <f>[1]sens_0_spec_90_PSA!F177</f>
        <v>2.92E-2</v>
      </c>
      <c r="G177" s="2">
        <f>[1]sens_0_spec_90_PSA!G177</f>
        <v>18.925293334299202</v>
      </c>
      <c r="H177" s="2">
        <f>[1]sens_0_spec_90_PSA!H177</f>
        <v>13.508089680152899</v>
      </c>
      <c r="I177" s="2">
        <f>[1]sens_0_spec_90_PSA!I177</f>
        <v>7.94690052168386</v>
      </c>
      <c r="J177" s="3">
        <f>[1]sens_0_spec_90_PSA!J177</f>
        <v>225750.561729682</v>
      </c>
      <c r="K177" s="3">
        <f>[1]sens_0_spec_90_PSA!K177</f>
        <v>130037.253878723</v>
      </c>
      <c r="L177">
        <f>[1]sens_0_spec_90_PSA!L177</f>
        <v>1</v>
      </c>
      <c r="M177">
        <f>[1]sens_0_spec_90_PSA!M177</f>
        <v>0</v>
      </c>
    </row>
    <row r="178" spans="1:13" x14ac:dyDescent="0.25">
      <c r="A178">
        <v>177</v>
      </c>
      <c r="B178">
        <f>[1]sens_0_spec_90_PSA!B178</f>
        <v>0</v>
      </c>
      <c r="C178" t="str">
        <f>[1]sens_0_spec_90_PSA!C178</f>
        <v>NA</v>
      </c>
      <c r="D178">
        <f>[1]sens_0_spec_90_PSA!D178</f>
        <v>0</v>
      </c>
      <c r="E178" s="1">
        <f>[1]sens_0_spec_90_PSA!E178</f>
        <v>0.18079999999999999</v>
      </c>
      <c r="F178" s="1">
        <f>[1]sens_0_spec_90_PSA!F178</f>
        <v>3.6400000000000002E-2</v>
      </c>
      <c r="G178" s="2">
        <f>[1]sens_0_spec_90_PSA!G178</f>
        <v>17.614524092025199</v>
      </c>
      <c r="H178" s="2">
        <f>[1]sens_0_spec_90_PSA!H178</f>
        <v>11.9009949690184</v>
      </c>
      <c r="I178" s="2">
        <f>[1]sens_0_spec_90_PSA!I178</f>
        <v>7.2118872314938898</v>
      </c>
      <c r="J178" s="3">
        <f>[1]sens_0_spec_90_PSA!J178</f>
        <v>201384.01845440399</v>
      </c>
      <c r="K178" s="3">
        <f>[1]sens_0_spec_90_PSA!K178</f>
        <v>121171.635077037</v>
      </c>
      <c r="L178">
        <f>[1]sens_0_spec_90_PSA!L178</f>
        <v>1</v>
      </c>
      <c r="M178">
        <f>[1]sens_0_spec_90_PSA!M178</f>
        <v>0</v>
      </c>
    </row>
    <row r="179" spans="1:13" x14ac:dyDescent="0.25">
      <c r="A179">
        <v>178</v>
      </c>
      <c r="B179">
        <f>[1]sens_0_spec_90_PSA!B179</f>
        <v>0</v>
      </c>
      <c r="C179" t="str">
        <f>[1]sens_0_spec_90_PSA!C179</f>
        <v>NA</v>
      </c>
      <c r="D179">
        <f>[1]sens_0_spec_90_PSA!D179</f>
        <v>0</v>
      </c>
      <c r="E179" s="1">
        <f>[1]sens_0_spec_90_PSA!E179</f>
        <v>0.2092</v>
      </c>
      <c r="F179" s="1">
        <f>[1]sens_0_spec_90_PSA!F179</f>
        <v>4.5499999999999999E-2</v>
      </c>
      <c r="G179" s="2">
        <f>[1]sens_0_spec_90_PSA!G179</f>
        <v>16.7236296881896</v>
      </c>
      <c r="H179" s="2">
        <f>[1]sens_0_spec_90_PSA!H179</f>
        <v>10.782471299835899</v>
      </c>
      <c r="I179" s="2">
        <f>[1]sens_0_spec_90_PSA!I179</f>
        <v>6.5591044144428601</v>
      </c>
      <c r="J179" s="3">
        <f>[1]sens_0_spec_90_PSA!J179</f>
        <v>159082.87187495301</v>
      </c>
      <c r="K179" s="3">
        <f>[1]sens_0_spec_90_PSA!K179</f>
        <v>97643.122595446504</v>
      </c>
      <c r="L179">
        <f>[1]sens_0_spec_90_PSA!L179</f>
        <v>1</v>
      </c>
      <c r="M179">
        <f>[1]sens_0_spec_90_PSA!M179</f>
        <v>0</v>
      </c>
    </row>
    <row r="180" spans="1:13" x14ac:dyDescent="0.25">
      <c r="A180">
        <v>179</v>
      </c>
      <c r="B180">
        <f>[1]sens_0_spec_90_PSA!B180</f>
        <v>0</v>
      </c>
      <c r="C180" t="str">
        <f>[1]sens_0_spec_90_PSA!C180</f>
        <v>NA</v>
      </c>
      <c r="D180">
        <f>[1]sens_0_spec_90_PSA!D180</f>
        <v>0</v>
      </c>
      <c r="E180" s="1">
        <f>[1]sens_0_spec_90_PSA!E180</f>
        <v>0.13919999999999999</v>
      </c>
      <c r="F180" s="1">
        <f>[1]sens_0_spec_90_PSA!F180</f>
        <v>4.1000000000000002E-2</v>
      </c>
      <c r="G180" s="2">
        <f>[1]sens_0_spec_90_PSA!G180</f>
        <v>19.392350423674099</v>
      </c>
      <c r="H180" s="2">
        <f>[1]sens_0_spec_90_PSA!H180</f>
        <v>14.533088621452</v>
      </c>
      <c r="I180" s="2">
        <f>[1]sens_0_spec_90_PSA!I180</f>
        <v>8.6519244222762399</v>
      </c>
      <c r="J180" s="3">
        <f>[1]sens_0_spec_90_PSA!J180</f>
        <v>269661.50267620001</v>
      </c>
      <c r="K180" s="3">
        <f>[1]sens_0_spec_90_PSA!K180</f>
        <v>156485.69821093601</v>
      </c>
      <c r="L180">
        <f>[1]sens_0_spec_90_PSA!L180</f>
        <v>1</v>
      </c>
      <c r="M180">
        <f>[1]sens_0_spec_90_PSA!M180</f>
        <v>0</v>
      </c>
    </row>
    <row r="181" spans="1:13" x14ac:dyDescent="0.25">
      <c r="A181">
        <v>180</v>
      </c>
      <c r="B181">
        <f>[1]sens_0_spec_90_PSA!B181</f>
        <v>0</v>
      </c>
      <c r="C181" t="str">
        <f>[1]sens_0_spec_90_PSA!C181</f>
        <v>NA</v>
      </c>
      <c r="D181">
        <f>[1]sens_0_spec_90_PSA!D181</f>
        <v>0</v>
      </c>
      <c r="E181" s="1">
        <f>[1]sens_0_spec_90_PSA!E181</f>
        <v>0.1368</v>
      </c>
      <c r="F181" s="1">
        <f>[1]sens_0_spec_90_PSA!F181</f>
        <v>4.9200000000000001E-2</v>
      </c>
      <c r="G181" s="2">
        <f>[1]sens_0_spec_90_PSA!G181</f>
        <v>18.2977866439394</v>
      </c>
      <c r="H181" s="2">
        <f>[1]sens_0_spec_90_PSA!H181</f>
        <v>13.837170108865299</v>
      </c>
      <c r="I181" s="2">
        <f>[1]sens_0_spec_90_PSA!I181</f>
        <v>8.3631111556408406</v>
      </c>
      <c r="J181" s="3">
        <f>[1]sens_0_spec_90_PSA!J181</f>
        <v>217042.98348494401</v>
      </c>
      <c r="K181" s="3">
        <f>[1]sens_0_spec_90_PSA!K181</f>
        <v>129677.077042319</v>
      </c>
      <c r="L181">
        <f>[1]sens_0_spec_90_PSA!L181</f>
        <v>1</v>
      </c>
      <c r="M181">
        <f>[1]sens_0_spec_90_PSA!M181</f>
        <v>0</v>
      </c>
    </row>
    <row r="182" spans="1:13" x14ac:dyDescent="0.25">
      <c r="A182">
        <v>181</v>
      </c>
      <c r="B182">
        <f>[1]sens_0_spec_90_PSA!B182</f>
        <v>0</v>
      </c>
      <c r="C182" t="str">
        <f>[1]sens_0_spec_90_PSA!C182</f>
        <v>NA</v>
      </c>
      <c r="D182">
        <f>[1]sens_0_spec_90_PSA!D182</f>
        <v>0</v>
      </c>
      <c r="E182" s="1">
        <f>[1]sens_0_spec_90_PSA!E182</f>
        <v>0.13159999999999999</v>
      </c>
      <c r="F182" s="1">
        <f>[1]sens_0_spec_90_PSA!F182</f>
        <v>3.39E-2</v>
      </c>
      <c r="G182" s="2">
        <f>[1]sens_0_spec_90_PSA!G182</f>
        <v>19.826498924424001</v>
      </c>
      <c r="H182" s="2">
        <f>[1]sens_0_spec_90_PSA!H182</f>
        <v>13.873558996447001</v>
      </c>
      <c r="I182" s="2">
        <f>[1]sens_0_spec_90_PSA!I182</f>
        <v>8.2487369329677893</v>
      </c>
      <c r="J182" s="3">
        <f>[1]sens_0_spec_90_PSA!J182</f>
        <v>217520.916903773</v>
      </c>
      <c r="K182" s="3">
        <f>[1]sens_0_spec_90_PSA!K182</f>
        <v>127423.943660772</v>
      </c>
      <c r="L182">
        <f>[1]sens_0_spec_90_PSA!L182</f>
        <v>1</v>
      </c>
      <c r="M182">
        <f>[1]sens_0_spec_90_PSA!M182</f>
        <v>0</v>
      </c>
    </row>
    <row r="183" spans="1:13" x14ac:dyDescent="0.25">
      <c r="A183">
        <v>182</v>
      </c>
      <c r="B183">
        <f>[1]sens_0_spec_90_PSA!B183</f>
        <v>0</v>
      </c>
      <c r="C183" t="str">
        <f>[1]sens_0_spec_90_PSA!C183</f>
        <v>NA</v>
      </c>
      <c r="D183">
        <f>[1]sens_0_spec_90_PSA!D183</f>
        <v>0</v>
      </c>
      <c r="E183" s="1">
        <f>[1]sens_0_spec_90_PSA!E183</f>
        <v>0.1439</v>
      </c>
      <c r="F183" s="1">
        <f>[1]sens_0_spec_90_PSA!F183</f>
        <v>5.5500000000000001E-2</v>
      </c>
      <c r="G183" s="2">
        <f>[1]sens_0_spec_90_PSA!G183</f>
        <v>18.806438937504701</v>
      </c>
      <c r="H183" s="2">
        <f>[1]sens_0_spec_90_PSA!H183</f>
        <v>12.931565285958101</v>
      </c>
      <c r="I183" s="2">
        <f>[1]sens_0_spec_90_PSA!I183</f>
        <v>7.7239739797451303</v>
      </c>
      <c r="J183" s="3">
        <f>[1]sens_0_spec_90_PSA!J183</f>
        <v>236523.474483105</v>
      </c>
      <c r="K183" s="3">
        <f>[1]sens_0_spec_90_PSA!K183</f>
        <v>138725.35840160001</v>
      </c>
      <c r="L183">
        <f>[1]sens_0_spec_90_PSA!L183</f>
        <v>1</v>
      </c>
      <c r="M183">
        <f>[1]sens_0_spec_90_PSA!M183</f>
        <v>0</v>
      </c>
    </row>
    <row r="184" spans="1:13" x14ac:dyDescent="0.25">
      <c r="A184">
        <v>183</v>
      </c>
      <c r="B184">
        <f>[1]sens_0_spec_90_PSA!B184</f>
        <v>0</v>
      </c>
      <c r="C184" t="str">
        <f>[1]sens_0_spec_90_PSA!C184</f>
        <v>NA</v>
      </c>
      <c r="D184">
        <f>[1]sens_0_spec_90_PSA!D184</f>
        <v>0</v>
      </c>
      <c r="E184" s="1">
        <f>[1]sens_0_spec_90_PSA!E184</f>
        <v>0.13639999999999999</v>
      </c>
      <c r="F184" s="1">
        <f>[1]sens_0_spec_90_PSA!F184</f>
        <v>5.1999999999999998E-2</v>
      </c>
      <c r="G184" s="2">
        <f>[1]sens_0_spec_90_PSA!G184</f>
        <v>18.1941079890439</v>
      </c>
      <c r="H184" s="2">
        <f>[1]sens_0_spec_90_PSA!H184</f>
        <v>12.982921715721</v>
      </c>
      <c r="I184" s="2">
        <f>[1]sens_0_spec_90_PSA!I184</f>
        <v>7.8504950452484703</v>
      </c>
      <c r="J184" s="3">
        <f>[1]sens_0_spec_90_PSA!J184</f>
        <v>184110.28979985099</v>
      </c>
      <c r="K184" s="3">
        <f>[1]sens_0_spec_90_PSA!K184</f>
        <v>111021.687903339</v>
      </c>
      <c r="L184">
        <f>[1]sens_0_spec_90_PSA!L184</f>
        <v>1</v>
      </c>
      <c r="M184">
        <f>[1]sens_0_spec_90_PSA!M184</f>
        <v>0</v>
      </c>
    </row>
    <row r="185" spans="1:13" x14ac:dyDescent="0.25">
      <c r="A185">
        <v>184</v>
      </c>
      <c r="B185">
        <f>[1]sens_0_spec_90_PSA!B185</f>
        <v>0</v>
      </c>
      <c r="C185" t="str">
        <f>[1]sens_0_spec_90_PSA!C185</f>
        <v>NA</v>
      </c>
      <c r="D185">
        <f>[1]sens_0_spec_90_PSA!D185</f>
        <v>0</v>
      </c>
      <c r="E185" s="1">
        <f>[1]sens_0_spec_90_PSA!E185</f>
        <v>0.3296</v>
      </c>
      <c r="F185" s="1">
        <f>[1]sens_0_spec_90_PSA!F185</f>
        <v>2.81E-2</v>
      </c>
      <c r="G185" s="2">
        <f>[1]sens_0_spec_90_PSA!G185</f>
        <v>15.5955951695596</v>
      </c>
      <c r="H185" s="2">
        <f>[1]sens_0_spec_90_PSA!H185</f>
        <v>10.1476101521998</v>
      </c>
      <c r="I185" s="2">
        <f>[1]sens_0_spec_90_PSA!I185</f>
        <v>6.0601226162739197</v>
      </c>
      <c r="J185" s="3">
        <f>[1]sens_0_spec_90_PSA!J185</f>
        <v>217216.80129298201</v>
      </c>
      <c r="K185" s="3">
        <f>[1]sens_0_spec_90_PSA!K185</f>
        <v>127278.56599621099</v>
      </c>
      <c r="L185">
        <f>[1]sens_0_spec_90_PSA!L185</f>
        <v>1</v>
      </c>
      <c r="M185">
        <f>[1]sens_0_spec_90_PSA!M185</f>
        <v>0</v>
      </c>
    </row>
    <row r="186" spans="1:13" x14ac:dyDescent="0.25">
      <c r="A186">
        <v>185</v>
      </c>
      <c r="B186">
        <f>[1]sens_0_spec_90_PSA!B186</f>
        <v>0</v>
      </c>
      <c r="C186" t="str">
        <f>[1]sens_0_spec_90_PSA!C186</f>
        <v>NA</v>
      </c>
      <c r="D186">
        <f>[1]sens_0_spec_90_PSA!D186</f>
        <v>0</v>
      </c>
      <c r="E186" s="1">
        <f>[1]sens_0_spec_90_PSA!E186</f>
        <v>0.25779999999999997</v>
      </c>
      <c r="F186" s="1">
        <f>[1]sens_0_spec_90_PSA!F186</f>
        <v>3.7699999999999997E-2</v>
      </c>
      <c r="G186" s="2">
        <f>[1]sens_0_spec_90_PSA!G186</f>
        <v>16.676064737508</v>
      </c>
      <c r="H186" s="2">
        <f>[1]sens_0_spec_90_PSA!H186</f>
        <v>12.314886213040101</v>
      </c>
      <c r="I186" s="2">
        <f>[1]sens_0_spec_90_PSA!I186</f>
        <v>7.3993554604843697</v>
      </c>
      <c r="J186" s="3">
        <f>[1]sens_0_spec_90_PSA!J186</f>
        <v>195706.73186814599</v>
      </c>
      <c r="K186" s="3">
        <f>[1]sens_0_spec_90_PSA!K186</f>
        <v>116569.15297002799</v>
      </c>
      <c r="L186">
        <f>[1]sens_0_spec_90_PSA!L186</f>
        <v>1</v>
      </c>
      <c r="M186">
        <f>[1]sens_0_spec_90_PSA!M186</f>
        <v>0</v>
      </c>
    </row>
    <row r="187" spans="1:13" x14ac:dyDescent="0.25">
      <c r="A187">
        <v>186</v>
      </c>
      <c r="B187">
        <f>[1]sens_0_spec_90_PSA!B187</f>
        <v>0</v>
      </c>
      <c r="C187" t="str">
        <f>[1]sens_0_spec_90_PSA!C187</f>
        <v>NA</v>
      </c>
      <c r="D187">
        <f>[1]sens_0_spec_90_PSA!D187</f>
        <v>0</v>
      </c>
      <c r="E187" s="1">
        <f>[1]sens_0_spec_90_PSA!E187</f>
        <v>0.24940000000000001</v>
      </c>
      <c r="F187" s="1">
        <f>[1]sens_0_spec_90_PSA!F187</f>
        <v>3.1699999999999999E-2</v>
      </c>
      <c r="G187" s="2">
        <f>[1]sens_0_spec_90_PSA!G187</f>
        <v>17.566952557285301</v>
      </c>
      <c r="H187" s="2">
        <f>[1]sens_0_spec_90_PSA!H187</f>
        <v>13.322777889099401</v>
      </c>
      <c r="I187" s="2">
        <f>[1]sens_0_spec_90_PSA!I187</f>
        <v>7.9084795001263002</v>
      </c>
      <c r="J187" s="3">
        <f>[1]sens_0_spec_90_PSA!J187</f>
        <v>151386.03054611999</v>
      </c>
      <c r="K187" s="3">
        <f>[1]sens_0_spec_90_PSA!K187</f>
        <v>90525.291366351594</v>
      </c>
      <c r="L187">
        <f>[1]sens_0_spec_90_PSA!L187</f>
        <v>1</v>
      </c>
      <c r="M187">
        <f>[1]sens_0_spec_90_PSA!M187</f>
        <v>0</v>
      </c>
    </row>
    <row r="188" spans="1:13" x14ac:dyDescent="0.25">
      <c r="A188">
        <v>187</v>
      </c>
      <c r="B188">
        <f>[1]sens_0_spec_90_PSA!B188</f>
        <v>0</v>
      </c>
      <c r="C188" t="str">
        <f>[1]sens_0_spec_90_PSA!C188</f>
        <v>NA</v>
      </c>
      <c r="D188">
        <f>[1]sens_0_spec_90_PSA!D188</f>
        <v>0</v>
      </c>
      <c r="E188" s="1">
        <f>[1]sens_0_spec_90_PSA!E188</f>
        <v>0.1807</v>
      </c>
      <c r="F188" s="1">
        <f>[1]sens_0_spec_90_PSA!F188</f>
        <v>3.3799999999999997E-2</v>
      </c>
      <c r="G188" s="2">
        <f>[1]sens_0_spec_90_PSA!G188</f>
        <v>17.638598273081499</v>
      </c>
      <c r="H188" s="2">
        <f>[1]sens_0_spec_90_PSA!H188</f>
        <v>12.173740634150301</v>
      </c>
      <c r="I188" s="2">
        <f>[1]sens_0_spec_90_PSA!I188</f>
        <v>7.3684761000880297</v>
      </c>
      <c r="J188" s="3">
        <f>[1]sens_0_spec_90_PSA!J188</f>
        <v>199897.30407383299</v>
      </c>
      <c r="K188" s="3">
        <f>[1]sens_0_spec_90_PSA!K188</f>
        <v>120081.07394447199</v>
      </c>
      <c r="L188">
        <f>[1]sens_0_spec_90_PSA!L188</f>
        <v>1</v>
      </c>
      <c r="M188">
        <f>[1]sens_0_spec_90_PSA!M188</f>
        <v>0</v>
      </c>
    </row>
    <row r="189" spans="1:13" x14ac:dyDescent="0.25">
      <c r="A189">
        <v>188</v>
      </c>
      <c r="B189">
        <f>[1]sens_0_spec_90_PSA!B189</f>
        <v>0</v>
      </c>
      <c r="C189" t="str">
        <f>[1]sens_0_spec_90_PSA!C189</f>
        <v>NA</v>
      </c>
      <c r="D189">
        <f>[1]sens_0_spec_90_PSA!D189</f>
        <v>0</v>
      </c>
      <c r="E189" s="1">
        <f>[1]sens_0_spec_90_PSA!E189</f>
        <v>0.17069999999999999</v>
      </c>
      <c r="F189" s="1">
        <f>[1]sens_0_spec_90_PSA!F189</f>
        <v>3.0200000000000001E-2</v>
      </c>
      <c r="G189" s="2">
        <f>[1]sens_0_spec_90_PSA!G189</f>
        <v>18.971994570688299</v>
      </c>
      <c r="H189" s="2">
        <f>[1]sens_0_spec_90_PSA!H189</f>
        <v>13.0512568298497</v>
      </c>
      <c r="I189" s="2">
        <f>[1]sens_0_spec_90_PSA!I189</f>
        <v>7.7546636600543604</v>
      </c>
      <c r="J189" s="3">
        <f>[1]sens_0_spec_90_PSA!J189</f>
        <v>198490.60397191401</v>
      </c>
      <c r="K189" s="3">
        <f>[1]sens_0_spec_90_PSA!K189</f>
        <v>116892.746439617</v>
      </c>
      <c r="L189">
        <f>[1]sens_0_spec_90_PSA!L189</f>
        <v>1</v>
      </c>
      <c r="M189">
        <f>[1]sens_0_spec_90_PSA!M189</f>
        <v>0</v>
      </c>
    </row>
    <row r="190" spans="1:13" x14ac:dyDescent="0.25">
      <c r="A190">
        <v>189</v>
      </c>
      <c r="B190">
        <f>[1]sens_0_spec_90_PSA!B190</f>
        <v>0</v>
      </c>
      <c r="C190" t="str">
        <f>[1]sens_0_spec_90_PSA!C190</f>
        <v>NA</v>
      </c>
      <c r="D190">
        <f>[1]sens_0_spec_90_PSA!D190</f>
        <v>0</v>
      </c>
      <c r="E190" s="1">
        <f>[1]sens_0_spec_90_PSA!E190</f>
        <v>0.1673</v>
      </c>
      <c r="F190" s="1">
        <f>[1]sens_0_spec_90_PSA!F190</f>
        <v>2.87E-2</v>
      </c>
      <c r="G190" s="2">
        <f>[1]sens_0_spec_90_PSA!G190</f>
        <v>19.126008616676302</v>
      </c>
      <c r="H190" s="2">
        <f>[1]sens_0_spec_90_PSA!H190</f>
        <v>13.6581408029594</v>
      </c>
      <c r="I190" s="2">
        <f>[1]sens_0_spec_90_PSA!I190</f>
        <v>8.1426191517859596</v>
      </c>
      <c r="J190" s="3">
        <f>[1]sens_0_spec_90_PSA!J190</f>
        <v>190691.50314617701</v>
      </c>
      <c r="K190" s="3">
        <f>[1]sens_0_spec_90_PSA!K190</f>
        <v>113163.998584088</v>
      </c>
      <c r="L190">
        <f>[1]sens_0_spec_90_PSA!L190</f>
        <v>1</v>
      </c>
      <c r="M190">
        <f>[1]sens_0_spec_90_PSA!M190</f>
        <v>0</v>
      </c>
    </row>
    <row r="191" spans="1:13" x14ac:dyDescent="0.25">
      <c r="A191">
        <v>190</v>
      </c>
      <c r="B191">
        <f>[1]sens_0_spec_90_PSA!B191</f>
        <v>0</v>
      </c>
      <c r="C191" t="str">
        <f>[1]sens_0_spec_90_PSA!C191</f>
        <v>NA</v>
      </c>
      <c r="D191">
        <f>[1]sens_0_spec_90_PSA!D191</f>
        <v>0</v>
      </c>
      <c r="E191" s="1">
        <f>[1]sens_0_spec_90_PSA!E191</f>
        <v>0.17810000000000001</v>
      </c>
      <c r="F191" s="1">
        <f>[1]sens_0_spec_90_PSA!F191</f>
        <v>3.3500000000000002E-2</v>
      </c>
      <c r="G191" s="2">
        <f>[1]sens_0_spec_90_PSA!G191</f>
        <v>17.335180137755</v>
      </c>
      <c r="H191" s="2">
        <f>[1]sens_0_spec_90_PSA!H191</f>
        <v>11.5361603473653</v>
      </c>
      <c r="I191" s="2">
        <f>[1]sens_0_spec_90_PSA!I191</f>
        <v>7.0409045162175996</v>
      </c>
      <c r="J191" s="3">
        <f>[1]sens_0_spec_90_PSA!J191</f>
        <v>193350.92816657</v>
      </c>
      <c r="K191" s="3">
        <f>[1]sens_0_spec_90_PSA!K191</f>
        <v>117431.692948646</v>
      </c>
      <c r="L191">
        <f>[1]sens_0_spec_90_PSA!L191</f>
        <v>1</v>
      </c>
      <c r="M191">
        <f>[1]sens_0_spec_90_PSA!M191</f>
        <v>0</v>
      </c>
    </row>
    <row r="192" spans="1:13" x14ac:dyDescent="0.25">
      <c r="A192">
        <v>191</v>
      </c>
      <c r="B192">
        <f>[1]sens_0_spec_90_PSA!B192</f>
        <v>0</v>
      </c>
      <c r="C192" t="str">
        <f>[1]sens_0_spec_90_PSA!C192</f>
        <v>NA</v>
      </c>
      <c r="D192">
        <f>[1]sens_0_spec_90_PSA!D192</f>
        <v>0</v>
      </c>
      <c r="E192" s="1">
        <f>[1]sens_0_spec_90_PSA!E192</f>
        <v>0.17030000000000001</v>
      </c>
      <c r="F192" s="1">
        <f>[1]sens_0_spec_90_PSA!F192</f>
        <v>6.4000000000000001E-2</v>
      </c>
      <c r="G192" s="2">
        <f>[1]sens_0_spec_90_PSA!G192</f>
        <v>15.8414029154758</v>
      </c>
      <c r="H192" s="2">
        <f>[1]sens_0_spec_90_PSA!H192</f>
        <v>11.8875063760452</v>
      </c>
      <c r="I192" s="2">
        <f>[1]sens_0_spec_90_PSA!I192</f>
        <v>7.3452580829965903</v>
      </c>
      <c r="J192" s="3">
        <f>[1]sens_0_spec_90_PSA!J192</f>
        <v>218500.576279256</v>
      </c>
      <c r="K192" s="3">
        <f>[1]sens_0_spec_90_PSA!K192</f>
        <v>134014.908017148</v>
      </c>
      <c r="L192">
        <f>[1]sens_0_spec_90_PSA!L192</f>
        <v>1</v>
      </c>
      <c r="M192">
        <f>[1]sens_0_spec_90_PSA!M192</f>
        <v>0</v>
      </c>
    </row>
    <row r="193" spans="1:13" x14ac:dyDescent="0.25">
      <c r="A193">
        <v>192</v>
      </c>
      <c r="B193">
        <f>[1]sens_0_spec_90_PSA!B193</f>
        <v>0</v>
      </c>
      <c r="C193" t="str">
        <f>[1]sens_0_spec_90_PSA!C193</f>
        <v>NA</v>
      </c>
      <c r="D193">
        <f>[1]sens_0_spec_90_PSA!D193</f>
        <v>0</v>
      </c>
      <c r="E193" s="1">
        <f>[1]sens_0_spec_90_PSA!E193</f>
        <v>0.1825</v>
      </c>
      <c r="F193" s="1">
        <f>[1]sens_0_spec_90_PSA!F193</f>
        <v>5.04E-2</v>
      </c>
      <c r="G193" s="2">
        <f>[1]sens_0_spec_90_PSA!G193</f>
        <v>17.2474866455211</v>
      </c>
      <c r="H193" s="2">
        <f>[1]sens_0_spec_90_PSA!H193</f>
        <v>12.8793648890775</v>
      </c>
      <c r="I193" s="2">
        <f>[1]sens_0_spec_90_PSA!I193</f>
        <v>7.8325980927155801</v>
      </c>
      <c r="J193" s="3">
        <f>[1]sens_0_spec_90_PSA!J193</f>
        <v>172689.95364759001</v>
      </c>
      <c r="K193" s="3">
        <f>[1]sens_0_spec_90_PSA!K193</f>
        <v>105388.45101615399</v>
      </c>
      <c r="L193">
        <f>[1]sens_0_spec_90_PSA!L193</f>
        <v>1</v>
      </c>
      <c r="M193">
        <f>[1]sens_0_spec_90_PSA!M193</f>
        <v>0</v>
      </c>
    </row>
    <row r="194" spans="1:13" x14ac:dyDescent="0.25">
      <c r="A194">
        <v>193</v>
      </c>
      <c r="B194">
        <f>[1]sens_0_spec_90_PSA!B194</f>
        <v>0</v>
      </c>
      <c r="C194" t="str">
        <f>[1]sens_0_spec_90_PSA!C194</f>
        <v>NA</v>
      </c>
      <c r="D194">
        <f>[1]sens_0_spec_90_PSA!D194</f>
        <v>0</v>
      </c>
      <c r="E194" s="1">
        <f>[1]sens_0_spec_90_PSA!E194</f>
        <v>0.1157</v>
      </c>
      <c r="F194" s="1">
        <f>[1]sens_0_spec_90_PSA!F194</f>
        <v>3.6999999999999998E-2</v>
      </c>
      <c r="G194" s="2">
        <f>[1]sens_0_spec_90_PSA!G194</f>
        <v>18.547657504362402</v>
      </c>
      <c r="H194" s="2">
        <f>[1]sens_0_spec_90_PSA!H194</f>
        <v>14.744466773492899</v>
      </c>
      <c r="I194" s="2">
        <f>[1]sens_0_spec_90_PSA!I194</f>
        <v>8.9746375943908205</v>
      </c>
      <c r="J194" s="3">
        <f>[1]sens_0_spec_90_PSA!J194</f>
        <v>191844.93025948701</v>
      </c>
      <c r="K194" s="3">
        <f>[1]sens_0_spec_90_PSA!K194</f>
        <v>116642.67020155099</v>
      </c>
      <c r="L194">
        <f>[1]sens_0_spec_90_PSA!L194</f>
        <v>1</v>
      </c>
      <c r="M194">
        <f>[1]sens_0_spec_90_PSA!M194</f>
        <v>0</v>
      </c>
    </row>
    <row r="195" spans="1:13" x14ac:dyDescent="0.25">
      <c r="A195">
        <v>194</v>
      </c>
      <c r="B195">
        <f>[1]sens_0_spec_90_PSA!B195</f>
        <v>0</v>
      </c>
      <c r="C195" t="str">
        <f>[1]sens_0_spec_90_PSA!C195</f>
        <v>NA</v>
      </c>
      <c r="D195">
        <f>[1]sens_0_spec_90_PSA!D195</f>
        <v>0</v>
      </c>
      <c r="E195" s="1">
        <f>[1]sens_0_spec_90_PSA!E195</f>
        <v>0.16170000000000001</v>
      </c>
      <c r="F195" s="1">
        <f>[1]sens_0_spec_90_PSA!F195</f>
        <v>4.4499999999999998E-2</v>
      </c>
      <c r="G195" s="2">
        <f>[1]sens_0_spec_90_PSA!G195</f>
        <v>17.452789356517801</v>
      </c>
      <c r="H195" s="2">
        <f>[1]sens_0_spec_90_PSA!H195</f>
        <v>12.300463089297301</v>
      </c>
      <c r="I195" s="2">
        <f>[1]sens_0_spec_90_PSA!I195</f>
        <v>7.5045219693783096</v>
      </c>
      <c r="J195" s="3">
        <f>[1]sens_0_spec_90_PSA!J195</f>
        <v>176299.378403704</v>
      </c>
      <c r="K195" s="3">
        <f>[1]sens_0_spec_90_PSA!K195</f>
        <v>107979.41825239699</v>
      </c>
      <c r="L195">
        <f>[1]sens_0_spec_90_PSA!L195</f>
        <v>1</v>
      </c>
      <c r="M195">
        <f>[1]sens_0_spec_90_PSA!M195</f>
        <v>0</v>
      </c>
    </row>
    <row r="196" spans="1:13" x14ac:dyDescent="0.25">
      <c r="A196">
        <v>195</v>
      </c>
      <c r="B196">
        <f>[1]sens_0_spec_90_PSA!B196</f>
        <v>0</v>
      </c>
      <c r="C196" t="str">
        <f>[1]sens_0_spec_90_PSA!C196</f>
        <v>NA</v>
      </c>
      <c r="D196">
        <f>[1]sens_0_spec_90_PSA!D196</f>
        <v>0</v>
      </c>
      <c r="E196" s="1">
        <f>[1]sens_0_spec_90_PSA!E196</f>
        <v>0.24460000000000001</v>
      </c>
      <c r="F196" s="1">
        <f>[1]sens_0_spec_90_PSA!F196</f>
        <v>3.61E-2</v>
      </c>
      <c r="G196" s="2">
        <f>[1]sens_0_spec_90_PSA!G196</f>
        <v>17.889949861683899</v>
      </c>
      <c r="H196" s="2">
        <f>[1]sens_0_spec_90_PSA!H196</f>
        <v>13.2082656776706</v>
      </c>
      <c r="I196" s="2">
        <f>[1]sens_0_spec_90_PSA!I196</f>
        <v>7.7944050658457904</v>
      </c>
      <c r="J196" s="3">
        <f>[1]sens_0_spec_90_PSA!J196</f>
        <v>186568.27278927699</v>
      </c>
      <c r="K196" s="3">
        <f>[1]sens_0_spec_90_PSA!K196</f>
        <v>109250.02049056</v>
      </c>
      <c r="L196">
        <f>[1]sens_0_spec_90_PSA!L196</f>
        <v>1</v>
      </c>
      <c r="M196">
        <f>[1]sens_0_spec_90_PSA!M196</f>
        <v>0</v>
      </c>
    </row>
    <row r="197" spans="1:13" x14ac:dyDescent="0.25">
      <c r="A197">
        <v>196</v>
      </c>
      <c r="B197">
        <f>[1]sens_0_spec_90_PSA!B197</f>
        <v>0</v>
      </c>
      <c r="C197" t="str">
        <f>[1]sens_0_spec_90_PSA!C197</f>
        <v>NA</v>
      </c>
      <c r="D197">
        <f>[1]sens_0_spec_90_PSA!D197</f>
        <v>0</v>
      </c>
      <c r="E197" s="1">
        <f>[1]sens_0_spec_90_PSA!E197</f>
        <v>0.13250000000000001</v>
      </c>
      <c r="F197" s="1">
        <f>[1]sens_0_spec_90_PSA!F197</f>
        <v>4.3099999999999999E-2</v>
      </c>
      <c r="G197" s="2">
        <f>[1]sens_0_spec_90_PSA!G197</f>
        <v>17.933198861121301</v>
      </c>
      <c r="H197" s="2">
        <f>[1]sens_0_spec_90_PSA!H197</f>
        <v>13.2813544969221</v>
      </c>
      <c r="I197" s="2">
        <f>[1]sens_0_spec_90_PSA!I197</f>
        <v>8.1013768431698896</v>
      </c>
      <c r="J197" s="3">
        <f>[1]sens_0_spec_90_PSA!J197</f>
        <v>136320.31913139901</v>
      </c>
      <c r="K197" s="3">
        <f>[1]sens_0_spec_90_PSA!K197</f>
        <v>85148.353813124806</v>
      </c>
      <c r="L197">
        <f>[1]sens_0_spec_90_PSA!L197</f>
        <v>1</v>
      </c>
      <c r="M197">
        <f>[1]sens_0_spec_90_PSA!M197</f>
        <v>0</v>
      </c>
    </row>
    <row r="198" spans="1:13" x14ac:dyDescent="0.25">
      <c r="A198">
        <v>197</v>
      </c>
      <c r="B198">
        <f>[1]sens_0_spec_90_PSA!B198</f>
        <v>0</v>
      </c>
      <c r="C198" t="str">
        <f>[1]sens_0_spec_90_PSA!C198</f>
        <v>NA</v>
      </c>
      <c r="D198">
        <f>[1]sens_0_spec_90_PSA!D198</f>
        <v>0</v>
      </c>
      <c r="E198" s="1">
        <f>[1]sens_0_spec_90_PSA!E198</f>
        <v>0.1988</v>
      </c>
      <c r="F198" s="1">
        <f>[1]sens_0_spec_90_PSA!F198</f>
        <v>4.0899999999999999E-2</v>
      </c>
      <c r="G198" s="2">
        <f>[1]sens_0_spec_90_PSA!G198</f>
        <v>17.363694351672201</v>
      </c>
      <c r="H198" s="2">
        <f>[1]sens_0_spec_90_PSA!H198</f>
        <v>11.8569754645617</v>
      </c>
      <c r="I198" s="2">
        <f>[1]sens_0_spec_90_PSA!I198</f>
        <v>7.1675581166472098</v>
      </c>
      <c r="J198" s="3">
        <f>[1]sens_0_spec_90_PSA!J198</f>
        <v>285775.020540422</v>
      </c>
      <c r="K198" s="3">
        <f>[1]sens_0_spec_90_PSA!K198</f>
        <v>168523.77578891799</v>
      </c>
      <c r="L198">
        <f>[1]sens_0_spec_90_PSA!L198</f>
        <v>1</v>
      </c>
      <c r="M198">
        <f>[1]sens_0_spec_90_PSA!M198</f>
        <v>0</v>
      </c>
    </row>
    <row r="199" spans="1:13" x14ac:dyDescent="0.25">
      <c r="A199">
        <v>198</v>
      </c>
      <c r="B199">
        <f>[1]sens_0_spec_90_PSA!B199</f>
        <v>0</v>
      </c>
      <c r="C199" t="str">
        <f>[1]sens_0_spec_90_PSA!C199</f>
        <v>NA</v>
      </c>
      <c r="D199">
        <f>[1]sens_0_spec_90_PSA!D199</f>
        <v>0</v>
      </c>
      <c r="E199" s="1">
        <f>[1]sens_0_spec_90_PSA!E199</f>
        <v>0.21859999999999999</v>
      </c>
      <c r="F199" s="1">
        <f>[1]sens_0_spec_90_PSA!F199</f>
        <v>3.1E-2</v>
      </c>
      <c r="G199" s="2">
        <f>[1]sens_0_spec_90_PSA!G199</f>
        <v>17.827161443157799</v>
      </c>
      <c r="H199" s="2">
        <f>[1]sens_0_spec_90_PSA!H199</f>
        <v>11.4649560534773</v>
      </c>
      <c r="I199" s="2">
        <f>[1]sens_0_spec_90_PSA!I199</f>
        <v>6.8508056403060298</v>
      </c>
      <c r="J199" s="3">
        <f>[1]sens_0_spec_90_PSA!J199</f>
        <v>222879.84399490399</v>
      </c>
      <c r="K199" s="3">
        <f>[1]sens_0_spec_90_PSA!K199</f>
        <v>131028.353313816</v>
      </c>
      <c r="L199">
        <f>[1]sens_0_spec_90_PSA!L199</f>
        <v>1</v>
      </c>
      <c r="M199">
        <f>[1]sens_0_spec_90_PSA!M199</f>
        <v>0</v>
      </c>
    </row>
    <row r="200" spans="1:13" x14ac:dyDescent="0.25">
      <c r="A200">
        <v>199</v>
      </c>
      <c r="B200">
        <f>[1]sens_0_spec_90_PSA!B200</f>
        <v>0</v>
      </c>
      <c r="C200" t="str">
        <f>[1]sens_0_spec_90_PSA!C200</f>
        <v>NA</v>
      </c>
      <c r="D200">
        <f>[1]sens_0_spec_90_PSA!D200</f>
        <v>0</v>
      </c>
      <c r="E200" s="1">
        <f>[1]sens_0_spec_90_PSA!E200</f>
        <v>0.10580000000000001</v>
      </c>
      <c r="F200" s="1">
        <f>[1]sens_0_spec_90_PSA!F200</f>
        <v>4.2200000000000001E-2</v>
      </c>
      <c r="G200" s="2">
        <f>[1]sens_0_spec_90_PSA!G200</f>
        <v>19.7794661536884</v>
      </c>
      <c r="H200" s="2">
        <f>[1]sens_0_spec_90_PSA!H200</f>
        <v>14.253480877150199</v>
      </c>
      <c r="I200" s="2">
        <f>[1]sens_0_spec_90_PSA!I200</f>
        <v>8.5044587671813492</v>
      </c>
      <c r="J200" s="3">
        <f>[1]sens_0_spec_90_PSA!J200</f>
        <v>215578.53831527801</v>
      </c>
      <c r="K200" s="3">
        <f>[1]sens_0_spec_90_PSA!K200</f>
        <v>127219.82256878</v>
      </c>
      <c r="L200">
        <f>[1]sens_0_spec_90_PSA!L200</f>
        <v>1</v>
      </c>
      <c r="M200">
        <f>[1]sens_0_spec_90_PSA!M200</f>
        <v>0</v>
      </c>
    </row>
    <row r="201" spans="1:13" x14ac:dyDescent="0.25">
      <c r="A201">
        <v>200</v>
      </c>
      <c r="B201">
        <f>[1]sens_0_spec_90_PSA!B201</f>
        <v>0</v>
      </c>
      <c r="C201" t="str">
        <f>[1]sens_0_spec_90_PSA!C201</f>
        <v>NA</v>
      </c>
      <c r="D201">
        <f>[1]sens_0_spec_90_PSA!D201</f>
        <v>0</v>
      </c>
      <c r="E201" s="1">
        <f>[1]sens_0_spec_90_PSA!E201</f>
        <v>0.17100000000000001</v>
      </c>
      <c r="F201" s="1">
        <f>[1]sens_0_spec_90_PSA!F201</f>
        <v>3.9899999999999998E-2</v>
      </c>
      <c r="G201" s="2">
        <f>[1]sens_0_spec_90_PSA!G201</f>
        <v>18.213048459892601</v>
      </c>
      <c r="H201" s="2">
        <f>[1]sens_0_spec_90_PSA!H201</f>
        <v>11.897003069442199</v>
      </c>
      <c r="I201" s="2">
        <f>[1]sens_0_spec_90_PSA!I201</f>
        <v>7.1635839524623304</v>
      </c>
      <c r="J201" s="3">
        <f>[1]sens_0_spec_90_PSA!J201</f>
        <v>229426.99955473101</v>
      </c>
      <c r="K201" s="3">
        <f>[1]sens_0_spec_90_PSA!K201</f>
        <v>135963.44985555499</v>
      </c>
      <c r="L201">
        <f>[1]sens_0_spec_90_PSA!L201</f>
        <v>1</v>
      </c>
      <c r="M201">
        <f>[1]sens_0_spec_90_PSA!M201</f>
        <v>0</v>
      </c>
    </row>
    <row r="202" spans="1:13" x14ac:dyDescent="0.25">
      <c r="A202">
        <v>201</v>
      </c>
      <c r="B202">
        <f>[1]sens_0_spec_90_PSA!B202</f>
        <v>0</v>
      </c>
      <c r="C202" t="str">
        <f>[1]sens_0_spec_90_PSA!C202</f>
        <v>NA</v>
      </c>
      <c r="D202">
        <f>[1]sens_0_spec_90_PSA!D202</f>
        <v>0</v>
      </c>
      <c r="E202" s="1">
        <f>[1]sens_0_spec_90_PSA!E202</f>
        <v>0.23250000000000001</v>
      </c>
      <c r="F202" s="1">
        <f>[1]sens_0_spec_90_PSA!F202</f>
        <v>3.7199999999999997E-2</v>
      </c>
      <c r="G202" s="2">
        <f>[1]sens_0_spec_90_PSA!G202</f>
        <v>16.435645024979902</v>
      </c>
      <c r="H202" s="2">
        <f>[1]sens_0_spec_90_PSA!H202</f>
        <v>9.7554774766540095</v>
      </c>
      <c r="I202" s="2">
        <f>[1]sens_0_spec_90_PSA!I202</f>
        <v>5.9258305867856</v>
      </c>
      <c r="J202" s="3">
        <f>[1]sens_0_spec_90_PSA!J202</f>
        <v>194741.04977737</v>
      </c>
      <c r="K202" s="3">
        <f>[1]sens_0_spec_90_PSA!K202</f>
        <v>117500.857352483</v>
      </c>
      <c r="L202">
        <f>[1]sens_0_spec_90_PSA!L202</f>
        <v>1</v>
      </c>
      <c r="M202">
        <f>[1]sens_0_spec_90_PSA!M202</f>
        <v>0</v>
      </c>
    </row>
    <row r="203" spans="1:13" x14ac:dyDescent="0.25">
      <c r="A203">
        <v>202</v>
      </c>
      <c r="B203">
        <f>[1]sens_0_spec_90_PSA!B203</f>
        <v>0</v>
      </c>
      <c r="C203" t="str">
        <f>[1]sens_0_spec_90_PSA!C203</f>
        <v>NA</v>
      </c>
      <c r="D203">
        <f>[1]sens_0_spec_90_PSA!D203</f>
        <v>0</v>
      </c>
      <c r="E203" s="1">
        <f>[1]sens_0_spec_90_PSA!E203</f>
        <v>0.16550000000000001</v>
      </c>
      <c r="F203" s="1">
        <f>[1]sens_0_spec_90_PSA!F203</f>
        <v>3.0300000000000001E-2</v>
      </c>
      <c r="G203" s="2">
        <f>[1]sens_0_spec_90_PSA!G203</f>
        <v>18.988706403428601</v>
      </c>
      <c r="H203" s="2">
        <f>[1]sens_0_spec_90_PSA!H203</f>
        <v>14.217060261945999</v>
      </c>
      <c r="I203" s="2">
        <f>[1]sens_0_spec_90_PSA!I203</f>
        <v>8.50637501109561</v>
      </c>
      <c r="J203" s="3">
        <f>[1]sens_0_spec_90_PSA!J203</f>
        <v>222236.52283172199</v>
      </c>
      <c r="K203" s="3">
        <f>[1]sens_0_spec_90_PSA!K203</f>
        <v>130830.57104461901</v>
      </c>
      <c r="L203">
        <f>[1]sens_0_spec_90_PSA!L203</f>
        <v>1</v>
      </c>
      <c r="M203">
        <f>[1]sens_0_spec_90_PSA!M203</f>
        <v>0</v>
      </c>
    </row>
    <row r="204" spans="1:13" x14ac:dyDescent="0.25">
      <c r="A204">
        <v>203</v>
      </c>
      <c r="B204">
        <f>[1]sens_0_spec_90_PSA!B204</f>
        <v>0</v>
      </c>
      <c r="C204" t="str">
        <f>[1]sens_0_spec_90_PSA!C204</f>
        <v>NA</v>
      </c>
      <c r="D204">
        <f>[1]sens_0_spec_90_PSA!D204</f>
        <v>0</v>
      </c>
      <c r="E204" s="1">
        <f>[1]sens_0_spec_90_PSA!E204</f>
        <v>0.1178</v>
      </c>
      <c r="F204" s="1">
        <f>[1]sens_0_spec_90_PSA!F204</f>
        <v>4.7100000000000003E-2</v>
      </c>
      <c r="G204" s="2">
        <f>[1]sens_0_spec_90_PSA!G204</f>
        <v>17.139010912206299</v>
      </c>
      <c r="H204" s="2">
        <f>[1]sens_0_spec_90_PSA!H204</f>
        <v>13.743430408181601</v>
      </c>
      <c r="I204" s="2">
        <f>[1]sens_0_spec_90_PSA!I204</f>
        <v>8.5087596760593307</v>
      </c>
      <c r="J204" s="3">
        <f>[1]sens_0_spec_90_PSA!J204</f>
        <v>205187.68341986201</v>
      </c>
      <c r="K204" s="3">
        <f>[1]sens_0_spec_90_PSA!K204</f>
        <v>126188.585176462</v>
      </c>
      <c r="L204">
        <f>[1]sens_0_spec_90_PSA!L204</f>
        <v>1</v>
      </c>
      <c r="M204">
        <f>[1]sens_0_spec_90_PSA!M204</f>
        <v>0</v>
      </c>
    </row>
    <row r="205" spans="1:13" x14ac:dyDescent="0.25">
      <c r="A205">
        <v>204</v>
      </c>
      <c r="B205">
        <f>[1]sens_0_spec_90_PSA!B205</f>
        <v>0</v>
      </c>
      <c r="C205" t="str">
        <f>[1]sens_0_spec_90_PSA!C205</f>
        <v>NA</v>
      </c>
      <c r="D205">
        <f>[1]sens_0_spec_90_PSA!D205</f>
        <v>0</v>
      </c>
      <c r="E205" s="1">
        <f>[1]sens_0_spec_90_PSA!E205</f>
        <v>0.14779999999999999</v>
      </c>
      <c r="F205" s="1">
        <f>[1]sens_0_spec_90_PSA!F205</f>
        <v>3.1E-2</v>
      </c>
      <c r="G205" s="2">
        <f>[1]sens_0_spec_90_PSA!G205</f>
        <v>18.860606841948201</v>
      </c>
      <c r="H205" s="2">
        <f>[1]sens_0_spec_90_PSA!H205</f>
        <v>12.8114147070572</v>
      </c>
      <c r="I205" s="2">
        <f>[1]sens_0_spec_90_PSA!I205</f>
        <v>7.71564964500124</v>
      </c>
      <c r="J205" s="3">
        <f>[1]sens_0_spec_90_PSA!J205</f>
        <v>168408.125471698</v>
      </c>
      <c r="K205" s="3">
        <f>[1]sens_0_spec_90_PSA!K205</f>
        <v>101891.645924155</v>
      </c>
      <c r="L205">
        <f>[1]sens_0_spec_90_PSA!L205</f>
        <v>1</v>
      </c>
      <c r="M205">
        <f>[1]sens_0_spec_90_PSA!M205</f>
        <v>0</v>
      </c>
    </row>
    <row r="206" spans="1:13" x14ac:dyDescent="0.25">
      <c r="A206">
        <v>205</v>
      </c>
      <c r="B206">
        <f>[1]sens_0_spec_90_PSA!B206</f>
        <v>0</v>
      </c>
      <c r="C206" t="str">
        <f>[1]sens_0_spec_90_PSA!C206</f>
        <v>NA</v>
      </c>
      <c r="D206">
        <f>[1]sens_0_spec_90_PSA!D206</f>
        <v>0</v>
      </c>
      <c r="E206" s="1">
        <f>[1]sens_0_spec_90_PSA!E206</f>
        <v>0.1792</v>
      </c>
      <c r="F206" s="1">
        <f>[1]sens_0_spec_90_PSA!F206</f>
        <v>5.6099999999999997E-2</v>
      </c>
      <c r="G206" s="2">
        <f>[1]sens_0_spec_90_PSA!G206</f>
        <v>19.301449791787899</v>
      </c>
      <c r="H206" s="2">
        <f>[1]sens_0_spec_90_PSA!H206</f>
        <v>12.676550451934499</v>
      </c>
      <c r="I206" s="2">
        <f>[1]sens_0_spec_90_PSA!I206</f>
        <v>7.43924969371096</v>
      </c>
      <c r="J206" s="3">
        <f>[1]sens_0_spec_90_PSA!J206</f>
        <v>208817.44038450799</v>
      </c>
      <c r="K206" s="3">
        <f>[1]sens_0_spec_90_PSA!K206</f>
        <v>120527.530509219</v>
      </c>
      <c r="L206">
        <f>[1]sens_0_spec_90_PSA!L206</f>
        <v>1</v>
      </c>
      <c r="M206">
        <f>[1]sens_0_spec_90_PSA!M206</f>
        <v>0</v>
      </c>
    </row>
    <row r="207" spans="1:13" x14ac:dyDescent="0.25">
      <c r="A207">
        <v>206</v>
      </c>
      <c r="B207">
        <f>[1]sens_0_spec_90_PSA!B207</f>
        <v>0</v>
      </c>
      <c r="C207" t="str">
        <f>[1]sens_0_spec_90_PSA!C207</f>
        <v>NA</v>
      </c>
      <c r="D207">
        <f>[1]sens_0_spec_90_PSA!D207</f>
        <v>0</v>
      </c>
      <c r="E207" s="1">
        <f>[1]sens_0_spec_90_PSA!E207</f>
        <v>0.14019999999999999</v>
      </c>
      <c r="F207" s="1">
        <f>[1]sens_0_spec_90_PSA!F207</f>
        <v>4.2599999999999999E-2</v>
      </c>
      <c r="G207" s="2">
        <f>[1]sens_0_spec_90_PSA!G207</f>
        <v>20.265190584373599</v>
      </c>
      <c r="H207" s="2">
        <f>[1]sens_0_spec_90_PSA!H207</f>
        <v>12.7958921312561</v>
      </c>
      <c r="I207" s="2">
        <f>[1]sens_0_spec_90_PSA!I207</f>
        <v>7.5074268308298704</v>
      </c>
      <c r="J207" s="3">
        <f>[1]sens_0_spec_90_PSA!J207</f>
        <v>166190.88998653</v>
      </c>
      <c r="K207" s="3">
        <f>[1]sens_0_spec_90_PSA!K207</f>
        <v>97775.327046565406</v>
      </c>
      <c r="L207">
        <f>[1]sens_0_spec_90_PSA!L207</f>
        <v>1</v>
      </c>
      <c r="M207">
        <f>[1]sens_0_spec_90_PSA!M207</f>
        <v>0</v>
      </c>
    </row>
    <row r="208" spans="1:13" x14ac:dyDescent="0.25">
      <c r="A208">
        <v>207</v>
      </c>
      <c r="B208">
        <f>[1]sens_0_spec_90_PSA!B208</f>
        <v>0</v>
      </c>
      <c r="C208" t="str">
        <f>[1]sens_0_spec_90_PSA!C208</f>
        <v>NA</v>
      </c>
      <c r="D208">
        <f>[1]sens_0_spec_90_PSA!D208</f>
        <v>0</v>
      </c>
      <c r="E208" s="1">
        <f>[1]sens_0_spec_90_PSA!E208</f>
        <v>0.1857</v>
      </c>
      <c r="F208" s="1">
        <f>[1]sens_0_spec_90_PSA!F208</f>
        <v>5.0900000000000001E-2</v>
      </c>
      <c r="G208" s="2">
        <f>[1]sens_0_spec_90_PSA!G208</f>
        <v>16.8923862720325</v>
      </c>
      <c r="H208" s="2">
        <f>[1]sens_0_spec_90_PSA!H208</f>
        <v>12.2629886596453</v>
      </c>
      <c r="I208" s="2">
        <f>[1]sens_0_spec_90_PSA!I208</f>
        <v>7.4653654207292997</v>
      </c>
      <c r="J208" s="3">
        <f>[1]sens_0_spec_90_PSA!J208</f>
        <v>201679.769119531</v>
      </c>
      <c r="K208" s="3">
        <f>[1]sens_0_spec_90_PSA!K208</f>
        <v>121885.19394844701</v>
      </c>
      <c r="L208">
        <f>[1]sens_0_spec_90_PSA!L208</f>
        <v>1</v>
      </c>
      <c r="M208">
        <f>[1]sens_0_spec_90_PSA!M208</f>
        <v>0</v>
      </c>
    </row>
    <row r="209" spans="1:13" x14ac:dyDescent="0.25">
      <c r="A209">
        <v>208</v>
      </c>
      <c r="B209">
        <f>[1]sens_0_spec_90_PSA!B209</f>
        <v>0</v>
      </c>
      <c r="C209" t="str">
        <f>[1]sens_0_spec_90_PSA!C209</f>
        <v>NA</v>
      </c>
      <c r="D209">
        <f>[1]sens_0_spec_90_PSA!D209</f>
        <v>0</v>
      </c>
      <c r="E209" s="1">
        <f>[1]sens_0_spec_90_PSA!E209</f>
        <v>0.1085</v>
      </c>
      <c r="F209" s="1">
        <f>[1]sens_0_spec_90_PSA!F209</f>
        <v>4.2500000000000003E-2</v>
      </c>
      <c r="G209" s="2">
        <f>[1]sens_0_spec_90_PSA!G209</f>
        <v>19.7314048351537</v>
      </c>
      <c r="H209" s="2">
        <f>[1]sens_0_spec_90_PSA!H209</f>
        <v>12.4576598711462</v>
      </c>
      <c r="I209" s="2">
        <f>[1]sens_0_spec_90_PSA!I209</f>
        <v>7.4260364067480404</v>
      </c>
      <c r="J209" s="3">
        <f>[1]sens_0_spec_90_PSA!J209</f>
        <v>274484.58262978599</v>
      </c>
      <c r="K209" s="3">
        <f>[1]sens_0_spec_90_PSA!K209</f>
        <v>159741.621635171</v>
      </c>
      <c r="L209">
        <f>[1]sens_0_spec_90_PSA!L209</f>
        <v>1</v>
      </c>
      <c r="M209">
        <f>[1]sens_0_spec_90_PSA!M209</f>
        <v>0</v>
      </c>
    </row>
    <row r="210" spans="1:13" x14ac:dyDescent="0.25">
      <c r="A210">
        <v>209</v>
      </c>
      <c r="B210">
        <f>[1]sens_0_spec_90_PSA!B210</f>
        <v>0</v>
      </c>
      <c r="C210" t="str">
        <f>[1]sens_0_spec_90_PSA!C210</f>
        <v>NA</v>
      </c>
      <c r="D210">
        <f>[1]sens_0_spec_90_PSA!D210</f>
        <v>0</v>
      </c>
      <c r="E210" s="1">
        <f>[1]sens_0_spec_90_PSA!E210</f>
        <v>0.33310000000000001</v>
      </c>
      <c r="F210" s="1">
        <f>[1]sens_0_spec_90_PSA!F210</f>
        <v>3.2899999999999999E-2</v>
      </c>
      <c r="G210" s="2">
        <f>[1]sens_0_spec_90_PSA!G210</f>
        <v>15.307522171191501</v>
      </c>
      <c r="H210" s="2">
        <f>[1]sens_0_spec_90_PSA!H210</f>
        <v>10.6542568695551</v>
      </c>
      <c r="I210" s="2">
        <f>[1]sens_0_spec_90_PSA!I210</f>
        <v>6.3924005881318999</v>
      </c>
      <c r="J210" s="3">
        <f>[1]sens_0_spec_90_PSA!J210</f>
        <v>193798.098649361</v>
      </c>
      <c r="K210" s="3">
        <f>[1]sens_0_spec_90_PSA!K210</f>
        <v>114741.20396553801</v>
      </c>
      <c r="L210">
        <f>[1]sens_0_spec_90_PSA!L210</f>
        <v>1</v>
      </c>
      <c r="M210">
        <f>[1]sens_0_spec_90_PSA!M210</f>
        <v>0</v>
      </c>
    </row>
    <row r="211" spans="1:13" x14ac:dyDescent="0.25">
      <c r="A211">
        <v>210</v>
      </c>
      <c r="B211">
        <f>[1]sens_0_spec_90_PSA!B211</f>
        <v>0</v>
      </c>
      <c r="C211" t="str">
        <f>[1]sens_0_spec_90_PSA!C211</f>
        <v>NA</v>
      </c>
      <c r="D211">
        <f>[1]sens_0_spec_90_PSA!D211</f>
        <v>0</v>
      </c>
      <c r="E211" s="1">
        <f>[1]sens_0_spec_90_PSA!E211</f>
        <v>0.20580000000000001</v>
      </c>
      <c r="F211" s="1">
        <f>[1]sens_0_spec_90_PSA!F211</f>
        <v>5.3900000000000003E-2</v>
      </c>
      <c r="G211" s="2">
        <f>[1]sens_0_spec_90_PSA!G211</f>
        <v>15.346769387412699</v>
      </c>
      <c r="H211" s="2">
        <f>[1]sens_0_spec_90_PSA!H211</f>
        <v>12.7414218700326</v>
      </c>
      <c r="I211" s="2">
        <f>[1]sens_0_spec_90_PSA!I211</f>
        <v>7.90810234872969</v>
      </c>
      <c r="J211" s="3">
        <f>[1]sens_0_spec_90_PSA!J211</f>
        <v>185491.40861765199</v>
      </c>
      <c r="K211" s="3">
        <f>[1]sens_0_spec_90_PSA!K211</f>
        <v>115273.451527274</v>
      </c>
      <c r="L211">
        <f>[1]sens_0_spec_90_PSA!L211</f>
        <v>1</v>
      </c>
      <c r="M211">
        <f>[1]sens_0_spec_90_PSA!M211</f>
        <v>0</v>
      </c>
    </row>
    <row r="212" spans="1:13" x14ac:dyDescent="0.25">
      <c r="A212">
        <v>211</v>
      </c>
      <c r="B212">
        <f>[1]sens_0_spec_90_PSA!B212</f>
        <v>0</v>
      </c>
      <c r="C212" t="str">
        <f>[1]sens_0_spec_90_PSA!C212</f>
        <v>NA</v>
      </c>
      <c r="D212">
        <f>[1]sens_0_spec_90_PSA!D212</f>
        <v>0</v>
      </c>
      <c r="E212" s="1">
        <f>[1]sens_0_spec_90_PSA!E212</f>
        <v>0.11459999999999999</v>
      </c>
      <c r="F212" s="1">
        <f>[1]sens_0_spec_90_PSA!F212</f>
        <v>3.0800000000000001E-2</v>
      </c>
      <c r="G212" s="2">
        <f>[1]sens_0_spec_90_PSA!G212</f>
        <v>19.792221612342601</v>
      </c>
      <c r="H212" s="2">
        <f>[1]sens_0_spec_90_PSA!H212</f>
        <v>11.9313963695736</v>
      </c>
      <c r="I212" s="2">
        <f>[1]sens_0_spec_90_PSA!I212</f>
        <v>7.1467524574685699</v>
      </c>
      <c r="J212" s="3">
        <f>[1]sens_0_spec_90_PSA!J212</f>
        <v>240379.25301310199</v>
      </c>
      <c r="K212" s="3">
        <f>[1]sens_0_spec_90_PSA!K212</f>
        <v>141556.534878568</v>
      </c>
      <c r="L212">
        <f>[1]sens_0_spec_90_PSA!L212</f>
        <v>1</v>
      </c>
      <c r="M212">
        <f>[1]sens_0_spec_90_PSA!M212</f>
        <v>0</v>
      </c>
    </row>
    <row r="213" spans="1:13" x14ac:dyDescent="0.25">
      <c r="A213">
        <v>212</v>
      </c>
      <c r="B213">
        <f>[1]sens_0_spec_90_PSA!B213</f>
        <v>0</v>
      </c>
      <c r="C213" t="str">
        <f>[1]sens_0_spec_90_PSA!C213</f>
        <v>NA</v>
      </c>
      <c r="D213">
        <f>[1]sens_0_spec_90_PSA!D213</f>
        <v>0</v>
      </c>
      <c r="E213" s="1">
        <f>[1]sens_0_spec_90_PSA!E213</f>
        <v>0.15559999999999999</v>
      </c>
      <c r="F213" s="1">
        <f>[1]sens_0_spec_90_PSA!F213</f>
        <v>4.07E-2</v>
      </c>
      <c r="G213" s="2">
        <f>[1]sens_0_spec_90_PSA!G213</f>
        <v>20.248149729971999</v>
      </c>
      <c r="H213" s="2">
        <f>[1]sens_0_spec_90_PSA!H213</f>
        <v>14.722779087114301</v>
      </c>
      <c r="I213" s="2">
        <f>[1]sens_0_spec_90_PSA!I213</f>
        <v>8.6194430154888799</v>
      </c>
      <c r="J213" s="3">
        <f>[1]sens_0_spec_90_PSA!J213</f>
        <v>275463.19203180698</v>
      </c>
      <c r="K213" s="3">
        <f>[1]sens_0_spec_90_PSA!K213</f>
        <v>156195.655393191</v>
      </c>
      <c r="L213">
        <f>[1]sens_0_spec_90_PSA!L213</f>
        <v>1</v>
      </c>
      <c r="M213">
        <f>[1]sens_0_spec_90_PSA!M213</f>
        <v>0</v>
      </c>
    </row>
    <row r="214" spans="1:13" x14ac:dyDescent="0.25">
      <c r="A214">
        <v>213</v>
      </c>
      <c r="B214">
        <f>[1]sens_0_spec_90_PSA!B214</f>
        <v>0</v>
      </c>
      <c r="C214" t="str">
        <f>[1]sens_0_spec_90_PSA!C214</f>
        <v>NA</v>
      </c>
      <c r="D214">
        <f>[1]sens_0_spec_90_PSA!D214</f>
        <v>0</v>
      </c>
      <c r="E214" s="1">
        <f>[1]sens_0_spec_90_PSA!E214</f>
        <v>0.19220000000000001</v>
      </c>
      <c r="F214" s="1">
        <f>[1]sens_0_spec_90_PSA!F214</f>
        <v>3.6499999999999998E-2</v>
      </c>
      <c r="G214" s="2">
        <f>[1]sens_0_spec_90_PSA!G214</f>
        <v>18.0908473761755</v>
      </c>
      <c r="H214" s="2">
        <f>[1]sens_0_spec_90_PSA!H214</f>
        <v>11.970955648014799</v>
      </c>
      <c r="I214" s="2">
        <f>[1]sens_0_spec_90_PSA!I214</f>
        <v>7.1659377132446398</v>
      </c>
      <c r="J214" s="3">
        <f>[1]sens_0_spec_90_PSA!J214</f>
        <v>134354.437321262</v>
      </c>
      <c r="K214" s="3">
        <f>[1]sens_0_spec_90_PSA!K214</f>
        <v>82378.966316822305</v>
      </c>
      <c r="L214">
        <f>[1]sens_0_spec_90_PSA!L214</f>
        <v>1</v>
      </c>
      <c r="M214">
        <f>[1]sens_0_spec_90_PSA!M214</f>
        <v>0</v>
      </c>
    </row>
    <row r="215" spans="1:13" x14ac:dyDescent="0.25">
      <c r="A215">
        <v>214</v>
      </c>
      <c r="B215">
        <f>[1]sens_0_spec_90_PSA!B215</f>
        <v>0</v>
      </c>
      <c r="C215" t="str">
        <f>[1]sens_0_spec_90_PSA!C215</f>
        <v>NA</v>
      </c>
      <c r="D215">
        <f>[1]sens_0_spec_90_PSA!D215</f>
        <v>0</v>
      </c>
      <c r="E215" s="1">
        <f>[1]sens_0_spec_90_PSA!E215</f>
        <v>0.18709999999999999</v>
      </c>
      <c r="F215" s="1">
        <f>[1]sens_0_spec_90_PSA!F215</f>
        <v>2.9700000000000001E-2</v>
      </c>
      <c r="G215" s="2">
        <f>[1]sens_0_spec_90_PSA!G215</f>
        <v>18.316002441704299</v>
      </c>
      <c r="H215" s="2">
        <f>[1]sens_0_spec_90_PSA!H215</f>
        <v>13.9517335159717</v>
      </c>
      <c r="I215" s="2">
        <f>[1]sens_0_spec_90_PSA!I215</f>
        <v>8.3681158928372206</v>
      </c>
      <c r="J215" s="3">
        <f>[1]sens_0_spec_90_PSA!J215</f>
        <v>222383.54498569199</v>
      </c>
      <c r="K215" s="3">
        <f>[1]sens_0_spec_90_PSA!K215</f>
        <v>131250.57708515599</v>
      </c>
      <c r="L215">
        <f>[1]sens_0_spec_90_PSA!L215</f>
        <v>1</v>
      </c>
      <c r="M215">
        <f>[1]sens_0_spec_90_PSA!M215</f>
        <v>0</v>
      </c>
    </row>
    <row r="216" spans="1:13" x14ac:dyDescent="0.25">
      <c r="A216">
        <v>215</v>
      </c>
      <c r="B216">
        <f>[1]sens_0_spec_90_PSA!B216</f>
        <v>0</v>
      </c>
      <c r="C216" t="str">
        <f>[1]sens_0_spec_90_PSA!C216</f>
        <v>NA</v>
      </c>
      <c r="D216">
        <f>[1]sens_0_spec_90_PSA!D216</f>
        <v>0</v>
      </c>
      <c r="E216" s="1">
        <f>[1]sens_0_spec_90_PSA!E216</f>
        <v>0.18240000000000001</v>
      </c>
      <c r="F216" s="1">
        <f>[1]sens_0_spec_90_PSA!F216</f>
        <v>3.85E-2</v>
      </c>
      <c r="G216" s="2">
        <f>[1]sens_0_spec_90_PSA!G216</f>
        <v>17.983430752977799</v>
      </c>
      <c r="H216" s="2">
        <f>[1]sens_0_spec_90_PSA!H216</f>
        <v>13.593464164306299</v>
      </c>
      <c r="I216" s="2">
        <f>[1]sens_0_spec_90_PSA!I216</f>
        <v>8.1571205136002707</v>
      </c>
      <c r="J216" s="3">
        <f>[1]sens_0_spec_90_PSA!J216</f>
        <v>183563.32230735201</v>
      </c>
      <c r="K216" s="3">
        <f>[1]sens_0_spec_90_PSA!K216</f>
        <v>109916.65733302</v>
      </c>
      <c r="L216">
        <f>[1]sens_0_spec_90_PSA!L216</f>
        <v>1</v>
      </c>
      <c r="M216">
        <f>[1]sens_0_spec_90_PSA!M216</f>
        <v>0</v>
      </c>
    </row>
    <row r="217" spans="1:13" x14ac:dyDescent="0.25">
      <c r="A217">
        <v>216</v>
      </c>
      <c r="B217">
        <f>[1]sens_0_spec_90_PSA!B217</f>
        <v>0</v>
      </c>
      <c r="C217" t="str">
        <f>[1]sens_0_spec_90_PSA!C217</f>
        <v>NA</v>
      </c>
      <c r="D217">
        <f>[1]sens_0_spec_90_PSA!D217</f>
        <v>0</v>
      </c>
      <c r="E217" s="1">
        <f>[1]sens_0_spec_90_PSA!E217</f>
        <v>0.2271</v>
      </c>
      <c r="F217" s="1">
        <f>[1]sens_0_spec_90_PSA!F217</f>
        <v>4.6300000000000001E-2</v>
      </c>
      <c r="G217" s="2">
        <f>[1]sens_0_spec_90_PSA!G217</f>
        <v>17.760689285650201</v>
      </c>
      <c r="H217" s="2">
        <f>[1]sens_0_spec_90_PSA!H217</f>
        <v>13.2858772664081</v>
      </c>
      <c r="I217" s="2">
        <f>[1]sens_0_spec_90_PSA!I217</f>
        <v>7.8911578805325799</v>
      </c>
      <c r="J217" s="3">
        <f>[1]sens_0_spec_90_PSA!J217</f>
        <v>194632.75700113</v>
      </c>
      <c r="K217" s="3">
        <f>[1]sens_0_spec_90_PSA!K217</f>
        <v>114268.34447310001</v>
      </c>
      <c r="L217">
        <f>[1]sens_0_spec_90_PSA!L217</f>
        <v>1</v>
      </c>
      <c r="M217">
        <f>[1]sens_0_spec_90_PSA!M217</f>
        <v>0</v>
      </c>
    </row>
    <row r="218" spans="1:13" x14ac:dyDescent="0.25">
      <c r="A218">
        <v>217</v>
      </c>
      <c r="B218">
        <f>[1]sens_0_spec_90_PSA!B218</f>
        <v>0</v>
      </c>
      <c r="C218" t="str">
        <f>[1]sens_0_spec_90_PSA!C218</f>
        <v>NA</v>
      </c>
      <c r="D218">
        <f>[1]sens_0_spec_90_PSA!D218</f>
        <v>0</v>
      </c>
      <c r="E218" s="1">
        <f>[1]sens_0_spec_90_PSA!E218</f>
        <v>0.1757</v>
      </c>
      <c r="F218" s="1">
        <f>[1]sens_0_spec_90_PSA!F218</f>
        <v>3.5200000000000002E-2</v>
      </c>
      <c r="G218" s="2">
        <f>[1]sens_0_spec_90_PSA!G218</f>
        <v>18.627030369986102</v>
      </c>
      <c r="H218" s="2">
        <f>[1]sens_0_spec_90_PSA!H218</f>
        <v>14.0676037037861</v>
      </c>
      <c r="I218" s="2">
        <f>[1]sens_0_spec_90_PSA!I218</f>
        <v>8.4024961453795797</v>
      </c>
      <c r="J218" s="3">
        <f>[1]sens_0_spec_90_PSA!J218</f>
        <v>202046.42278486901</v>
      </c>
      <c r="K218" s="3">
        <f>[1]sens_0_spec_90_PSA!K218</f>
        <v>119152.57968538201</v>
      </c>
      <c r="L218">
        <f>[1]sens_0_spec_90_PSA!L218</f>
        <v>1</v>
      </c>
      <c r="M218">
        <f>[1]sens_0_spec_90_PSA!M218</f>
        <v>0</v>
      </c>
    </row>
    <row r="219" spans="1:13" x14ac:dyDescent="0.25">
      <c r="A219">
        <v>218</v>
      </c>
      <c r="B219">
        <f>[1]sens_0_spec_90_PSA!B219</f>
        <v>0</v>
      </c>
      <c r="C219" t="str">
        <f>[1]sens_0_spec_90_PSA!C219</f>
        <v>NA</v>
      </c>
      <c r="D219">
        <f>[1]sens_0_spec_90_PSA!D219</f>
        <v>0</v>
      </c>
      <c r="E219" s="1">
        <f>[1]sens_0_spec_90_PSA!E219</f>
        <v>0.1265</v>
      </c>
      <c r="F219" s="1">
        <f>[1]sens_0_spec_90_PSA!F219</f>
        <v>4.1599999999999998E-2</v>
      </c>
      <c r="G219" s="2">
        <f>[1]sens_0_spec_90_PSA!G219</f>
        <v>18.727979659799399</v>
      </c>
      <c r="H219" s="2">
        <f>[1]sens_0_spec_90_PSA!H219</f>
        <v>13.3585563376355</v>
      </c>
      <c r="I219" s="2">
        <f>[1]sens_0_spec_90_PSA!I219</f>
        <v>8.0507084591733307</v>
      </c>
      <c r="J219" s="3">
        <f>[1]sens_0_spec_90_PSA!J219</f>
        <v>264108.16351723199</v>
      </c>
      <c r="K219" s="3">
        <f>[1]sens_0_spec_90_PSA!K219</f>
        <v>155717.95723405899</v>
      </c>
      <c r="L219">
        <f>[1]sens_0_spec_90_PSA!L219</f>
        <v>1</v>
      </c>
      <c r="M219">
        <f>[1]sens_0_spec_90_PSA!M219</f>
        <v>0</v>
      </c>
    </row>
    <row r="220" spans="1:13" x14ac:dyDescent="0.25">
      <c r="A220">
        <v>219</v>
      </c>
      <c r="B220">
        <f>[1]sens_0_spec_90_PSA!B220</f>
        <v>0</v>
      </c>
      <c r="C220" t="str">
        <f>[1]sens_0_spec_90_PSA!C220</f>
        <v>NA</v>
      </c>
      <c r="D220">
        <f>[1]sens_0_spec_90_PSA!D220</f>
        <v>0</v>
      </c>
      <c r="E220" s="1">
        <f>[1]sens_0_spec_90_PSA!E220</f>
        <v>0.1656</v>
      </c>
      <c r="F220" s="1">
        <f>[1]sens_0_spec_90_PSA!F220</f>
        <v>3.44E-2</v>
      </c>
      <c r="G220" s="2">
        <f>[1]sens_0_spec_90_PSA!G220</f>
        <v>18.9018156304403</v>
      </c>
      <c r="H220" s="2">
        <f>[1]sens_0_spec_90_PSA!H220</f>
        <v>13.5086444572548</v>
      </c>
      <c r="I220" s="2">
        <f>[1]sens_0_spec_90_PSA!I220</f>
        <v>8.0650641088977295</v>
      </c>
      <c r="J220" s="3">
        <f>[1]sens_0_spec_90_PSA!J220</f>
        <v>253314.03876341501</v>
      </c>
      <c r="K220" s="3">
        <f>[1]sens_0_spec_90_PSA!K220</f>
        <v>147847.77094877599</v>
      </c>
      <c r="L220">
        <f>[1]sens_0_spec_90_PSA!L220</f>
        <v>1</v>
      </c>
      <c r="M220">
        <f>[1]sens_0_spec_90_PSA!M220</f>
        <v>0</v>
      </c>
    </row>
    <row r="221" spans="1:13" x14ac:dyDescent="0.25">
      <c r="A221">
        <v>220</v>
      </c>
      <c r="B221">
        <f>[1]sens_0_spec_90_PSA!B221</f>
        <v>0</v>
      </c>
      <c r="C221" t="str">
        <f>[1]sens_0_spec_90_PSA!C221</f>
        <v>NA</v>
      </c>
      <c r="D221">
        <f>[1]sens_0_spec_90_PSA!D221</f>
        <v>0</v>
      </c>
      <c r="E221" s="1">
        <f>[1]sens_0_spec_90_PSA!E221</f>
        <v>0.21879999999999999</v>
      </c>
      <c r="F221" s="1">
        <f>[1]sens_0_spec_90_PSA!F221</f>
        <v>2.5100000000000001E-2</v>
      </c>
      <c r="G221" s="2">
        <f>[1]sens_0_spec_90_PSA!G221</f>
        <v>16.3837071121214</v>
      </c>
      <c r="H221" s="2">
        <f>[1]sens_0_spec_90_PSA!H221</f>
        <v>11.4667796978521</v>
      </c>
      <c r="I221" s="2">
        <f>[1]sens_0_spec_90_PSA!I221</f>
        <v>7.0370988401789303</v>
      </c>
      <c r="J221" s="3">
        <f>[1]sens_0_spec_90_PSA!J221</f>
        <v>176983.271494952</v>
      </c>
      <c r="K221" s="3">
        <f>[1]sens_0_spec_90_PSA!K221</f>
        <v>108899.30340092001</v>
      </c>
      <c r="L221">
        <f>[1]sens_0_spec_90_PSA!L221</f>
        <v>1</v>
      </c>
      <c r="M221">
        <f>[1]sens_0_spec_90_PSA!M221</f>
        <v>0</v>
      </c>
    </row>
    <row r="222" spans="1:13" x14ac:dyDescent="0.25">
      <c r="A222">
        <v>221</v>
      </c>
      <c r="B222">
        <f>[1]sens_0_spec_90_PSA!B222</f>
        <v>0</v>
      </c>
      <c r="C222" t="str">
        <f>[1]sens_0_spec_90_PSA!C222</f>
        <v>NA</v>
      </c>
      <c r="D222">
        <f>[1]sens_0_spec_90_PSA!D222</f>
        <v>0</v>
      </c>
      <c r="E222" s="1">
        <f>[1]sens_0_spec_90_PSA!E222</f>
        <v>0.17480000000000001</v>
      </c>
      <c r="F222" s="1">
        <f>[1]sens_0_spec_90_PSA!F222</f>
        <v>3.1899999999999998E-2</v>
      </c>
      <c r="G222" s="2">
        <f>[1]sens_0_spec_90_PSA!G222</f>
        <v>18.310191171476401</v>
      </c>
      <c r="H222" s="2">
        <f>[1]sens_0_spec_90_PSA!H222</f>
        <v>13.546546984354899</v>
      </c>
      <c r="I222" s="2">
        <f>[1]sens_0_spec_90_PSA!I222</f>
        <v>8.1310695194243596</v>
      </c>
      <c r="J222" s="3">
        <f>[1]sens_0_spec_90_PSA!J222</f>
        <v>184626.832060649</v>
      </c>
      <c r="K222" s="3">
        <f>[1]sens_0_spec_90_PSA!K222</f>
        <v>110441.251596976</v>
      </c>
      <c r="L222">
        <f>[1]sens_0_spec_90_PSA!L222</f>
        <v>1</v>
      </c>
      <c r="M222">
        <f>[1]sens_0_spec_90_PSA!M222</f>
        <v>0</v>
      </c>
    </row>
    <row r="223" spans="1:13" x14ac:dyDescent="0.25">
      <c r="A223">
        <v>222</v>
      </c>
      <c r="B223">
        <f>[1]sens_0_spec_90_PSA!B223</f>
        <v>0</v>
      </c>
      <c r="C223" t="str">
        <f>[1]sens_0_spec_90_PSA!C223</f>
        <v>NA</v>
      </c>
      <c r="D223">
        <f>[1]sens_0_spec_90_PSA!D223</f>
        <v>0</v>
      </c>
      <c r="E223" s="1">
        <f>[1]sens_0_spec_90_PSA!E223</f>
        <v>0.19350000000000001</v>
      </c>
      <c r="F223" s="1">
        <f>[1]sens_0_spec_90_PSA!F223</f>
        <v>5.33E-2</v>
      </c>
      <c r="G223" s="2">
        <f>[1]sens_0_spec_90_PSA!G223</f>
        <v>16.982161520616899</v>
      </c>
      <c r="H223" s="2">
        <f>[1]sens_0_spec_90_PSA!H223</f>
        <v>10.397809463346301</v>
      </c>
      <c r="I223" s="2">
        <f>[1]sens_0_spec_90_PSA!I223</f>
        <v>6.3307375168734499</v>
      </c>
      <c r="J223" s="3">
        <f>[1]sens_0_spec_90_PSA!J223</f>
        <v>188306.85992515099</v>
      </c>
      <c r="K223" s="3">
        <f>[1]sens_0_spec_90_PSA!K223</f>
        <v>114093.830057489</v>
      </c>
      <c r="L223">
        <f>[1]sens_0_spec_90_PSA!L223</f>
        <v>1</v>
      </c>
      <c r="M223">
        <f>[1]sens_0_spec_90_PSA!M223</f>
        <v>0</v>
      </c>
    </row>
    <row r="224" spans="1:13" x14ac:dyDescent="0.25">
      <c r="A224">
        <v>223</v>
      </c>
      <c r="B224">
        <f>[1]sens_0_spec_90_PSA!B224</f>
        <v>0</v>
      </c>
      <c r="C224" t="str">
        <f>[1]sens_0_spec_90_PSA!C224</f>
        <v>NA</v>
      </c>
      <c r="D224">
        <f>[1]sens_0_spec_90_PSA!D224</f>
        <v>0</v>
      </c>
      <c r="E224" s="1">
        <f>[1]sens_0_spec_90_PSA!E224</f>
        <v>0.1769</v>
      </c>
      <c r="F224" s="1">
        <f>[1]sens_0_spec_90_PSA!F224</f>
        <v>3.3500000000000002E-2</v>
      </c>
      <c r="G224" s="2">
        <f>[1]sens_0_spec_90_PSA!G224</f>
        <v>18.035822653046701</v>
      </c>
      <c r="H224" s="2">
        <f>[1]sens_0_spec_90_PSA!H224</f>
        <v>12.579648528871299</v>
      </c>
      <c r="I224" s="2">
        <f>[1]sens_0_spec_90_PSA!I224</f>
        <v>7.5781452253715997</v>
      </c>
      <c r="J224" s="3">
        <f>[1]sens_0_spec_90_PSA!J224</f>
        <v>201928.58017985401</v>
      </c>
      <c r="K224" s="3">
        <f>[1]sens_0_spec_90_PSA!K224</f>
        <v>120639.130532333</v>
      </c>
      <c r="L224">
        <f>[1]sens_0_spec_90_PSA!L224</f>
        <v>1</v>
      </c>
      <c r="M224">
        <f>[1]sens_0_spec_90_PSA!M224</f>
        <v>0</v>
      </c>
    </row>
    <row r="225" spans="1:13" x14ac:dyDescent="0.25">
      <c r="A225">
        <v>224</v>
      </c>
      <c r="B225">
        <f>[1]sens_0_spec_90_PSA!B225</f>
        <v>0</v>
      </c>
      <c r="C225" t="str">
        <f>[1]sens_0_spec_90_PSA!C225</f>
        <v>NA</v>
      </c>
      <c r="D225">
        <f>[1]sens_0_spec_90_PSA!D225</f>
        <v>0</v>
      </c>
      <c r="E225" s="1">
        <f>[1]sens_0_spec_90_PSA!E225</f>
        <v>0.15870000000000001</v>
      </c>
      <c r="F225" s="1">
        <f>[1]sens_0_spec_90_PSA!F225</f>
        <v>2.76E-2</v>
      </c>
      <c r="G225" s="2">
        <f>[1]sens_0_spec_90_PSA!G225</f>
        <v>17.295400666551298</v>
      </c>
      <c r="H225" s="2">
        <f>[1]sens_0_spec_90_PSA!H225</f>
        <v>11.607063067494501</v>
      </c>
      <c r="I225" s="2">
        <f>[1]sens_0_spec_90_PSA!I225</f>
        <v>7.12458457037242</v>
      </c>
      <c r="J225" s="3">
        <f>[1]sens_0_spec_90_PSA!J225</f>
        <v>204867.46300152701</v>
      </c>
      <c r="K225" s="3">
        <f>[1]sens_0_spec_90_PSA!K225</f>
        <v>125026.69329164999</v>
      </c>
      <c r="L225">
        <f>[1]sens_0_spec_90_PSA!L225</f>
        <v>1</v>
      </c>
      <c r="M225">
        <f>[1]sens_0_spec_90_PSA!M225</f>
        <v>0</v>
      </c>
    </row>
    <row r="226" spans="1:13" x14ac:dyDescent="0.25">
      <c r="A226">
        <v>225</v>
      </c>
      <c r="B226">
        <f>[1]sens_0_spec_90_PSA!B226</f>
        <v>0</v>
      </c>
      <c r="C226" t="str">
        <f>[1]sens_0_spec_90_PSA!C226</f>
        <v>NA</v>
      </c>
      <c r="D226">
        <f>[1]sens_0_spec_90_PSA!D226</f>
        <v>0</v>
      </c>
      <c r="E226" s="1">
        <f>[1]sens_0_spec_90_PSA!E226</f>
        <v>0.16300000000000001</v>
      </c>
      <c r="F226" s="1">
        <f>[1]sens_0_spec_90_PSA!F226</f>
        <v>4.9599999999999998E-2</v>
      </c>
      <c r="G226" s="2">
        <f>[1]sens_0_spec_90_PSA!G226</f>
        <v>18.6570050829535</v>
      </c>
      <c r="H226" s="2">
        <f>[1]sens_0_spec_90_PSA!H226</f>
        <v>13.242871144569699</v>
      </c>
      <c r="I226" s="2">
        <f>[1]sens_0_spec_90_PSA!I226</f>
        <v>7.8947093056823299</v>
      </c>
      <c r="J226" s="3">
        <f>[1]sens_0_spec_90_PSA!J226</f>
        <v>224401.21164695401</v>
      </c>
      <c r="K226" s="3">
        <f>[1]sens_0_spec_90_PSA!K226</f>
        <v>131380.78454177</v>
      </c>
      <c r="L226">
        <f>[1]sens_0_spec_90_PSA!L226</f>
        <v>1</v>
      </c>
      <c r="M226">
        <f>[1]sens_0_spec_90_PSA!M226</f>
        <v>0</v>
      </c>
    </row>
    <row r="227" spans="1:13" x14ac:dyDescent="0.25">
      <c r="A227">
        <v>226</v>
      </c>
      <c r="B227">
        <f>[1]sens_0_spec_90_PSA!B227</f>
        <v>0</v>
      </c>
      <c r="C227" t="str">
        <f>[1]sens_0_spec_90_PSA!C227</f>
        <v>NA</v>
      </c>
      <c r="D227">
        <f>[1]sens_0_spec_90_PSA!D227</f>
        <v>0</v>
      </c>
      <c r="E227" s="1">
        <f>[1]sens_0_spec_90_PSA!E227</f>
        <v>0.15490000000000001</v>
      </c>
      <c r="F227" s="1">
        <f>[1]sens_0_spec_90_PSA!F227</f>
        <v>4.3999999999999997E-2</v>
      </c>
      <c r="G227" s="2">
        <f>[1]sens_0_spec_90_PSA!G227</f>
        <v>16.353561219347799</v>
      </c>
      <c r="H227" s="2">
        <f>[1]sens_0_spec_90_PSA!H227</f>
        <v>12.7801010346009</v>
      </c>
      <c r="I227" s="2">
        <f>[1]sens_0_spec_90_PSA!I227</f>
        <v>7.9520099981102996</v>
      </c>
      <c r="J227" s="3">
        <f>[1]sens_0_spec_90_PSA!J227</f>
        <v>166405.442223163</v>
      </c>
      <c r="K227" s="3">
        <f>[1]sens_0_spec_90_PSA!K227</f>
        <v>104455.230284369</v>
      </c>
      <c r="L227">
        <f>[1]sens_0_spec_90_PSA!L227</f>
        <v>1</v>
      </c>
      <c r="M227">
        <f>[1]sens_0_spec_90_PSA!M227</f>
        <v>0</v>
      </c>
    </row>
    <row r="228" spans="1:13" x14ac:dyDescent="0.25">
      <c r="A228">
        <v>227</v>
      </c>
      <c r="B228">
        <f>[1]sens_0_spec_90_PSA!B228</f>
        <v>0</v>
      </c>
      <c r="C228" t="str">
        <f>[1]sens_0_spec_90_PSA!C228</f>
        <v>NA</v>
      </c>
      <c r="D228">
        <f>[1]sens_0_spec_90_PSA!D228</f>
        <v>0</v>
      </c>
      <c r="E228" s="1">
        <f>[1]sens_0_spec_90_PSA!E228</f>
        <v>0.18329999999999999</v>
      </c>
      <c r="F228" s="1">
        <f>[1]sens_0_spec_90_PSA!F228</f>
        <v>3.8699999999999998E-2</v>
      </c>
      <c r="G228" s="2">
        <f>[1]sens_0_spec_90_PSA!G228</f>
        <v>17.792739258355599</v>
      </c>
      <c r="H228" s="2">
        <f>[1]sens_0_spec_90_PSA!H228</f>
        <v>11.969327074386699</v>
      </c>
      <c r="I228" s="2">
        <f>[1]sens_0_spec_90_PSA!I228</f>
        <v>7.2078382715628502</v>
      </c>
      <c r="J228" s="3">
        <f>[1]sens_0_spec_90_PSA!J228</f>
        <v>224283.870414759</v>
      </c>
      <c r="K228" s="3">
        <f>[1]sens_0_spec_90_PSA!K228</f>
        <v>132934.98098748701</v>
      </c>
      <c r="L228">
        <f>[1]sens_0_spec_90_PSA!L228</f>
        <v>1</v>
      </c>
      <c r="M228">
        <f>[1]sens_0_spec_90_PSA!M228</f>
        <v>0</v>
      </c>
    </row>
    <row r="229" spans="1:13" x14ac:dyDescent="0.25">
      <c r="A229">
        <v>228</v>
      </c>
      <c r="B229">
        <f>[1]sens_0_spec_90_PSA!B229</f>
        <v>0</v>
      </c>
      <c r="C229" t="str">
        <f>[1]sens_0_spec_90_PSA!C229</f>
        <v>NA</v>
      </c>
      <c r="D229">
        <f>[1]sens_0_spec_90_PSA!D229</f>
        <v>0</v>
      </c>
      <c r="E229" s="1">
        <f>[1]sens_0_spec_90_PSA!E229</f>
        <v>0.1774</v>
      </c>
      <c r="F229" s="1">
        <f>[1]sens_0_spec_90_PSA!F229</f>
        <v>4.2000000000000003E-2</v>
      </c>
      <c r="G229" s="2">
        <f>[1]sens_0_spec_90_PSA!G229</f>
        <v>19.001319380726599</v>
      </c>
      <c r="H229" s="2">
        <f>[1]sens_0_spec_90_PSA!H229</f>
        <v>13.635171413424899</v>
      </c>
      <c r="I229" s="2">
        <f>[1]sens_0_spec_90_PSA!I229</f>
        <v>8.0948494562986593</v>
      </c>
      <c r="J229" s="3">
        <f>[1]sens_0_spec_90_PSA!J229</f>
        <v>196369.065767986</v>
      </c>
      <c r="K229" s="3">
        <f>[1]sens_0_spec_90_PSA!K229</f>
        <v>115358.24660989099</v>
      </c>
      <c r="L229">
        <f>[1]sens_0_spec_90_PSA!L229</f>
        <v>1</v>
      </c>
      <c r="M229">
        <f>[1]sens_0_spec_90_PSA!M229</f>
        <v>0</v>
      </c>
    </row>
    <row r="230" spans="1:13" x14ac:dyDescent="0.25">
      <c r="A230">
        <v>229</v>
      </c>
      <c r="B230">
        <f>[1]sens_0_spec_90_PSA!B230</f>
        <v>0</v>
      </c>
      <c r="C230" t="str">
        <f>[1]sens_0_spec_90_PSA!C230</f>
        <v>NA</v>
      </c>
      <c r="D230">
        <f>[1]sens_0_spec_90_PSA!D230</f>
        <v>0</v>
      </c>
      <c r="E230" s="1">
        <f>[1]sens_0_spec_90_PSA!E230</f>
        <v>0.1482</v>
      </c>
      <c r="F230" s="1">
        <f>[1]sens_0_spec_90_PSA!F230</f>
        <v>4.0599999999999997E-2</v>
      </c>
      <c r="G230" s="2">
        <f>[1]sens_0_spec_90_PSA!G230</f>
        <v>17.630195472126399</v>
      </c>
      <c r="H230" s="2">
        <f>[1]sens_0_spec_90_PSA!H230</f>
        <v>12.6684343047248</v>
      </c>
      <c r="I230" s="2">
        <f>[1]sens_0_spec_90_PSA!I230</f>
        <v>7.7323582488747302</v>
      </c>
      <c r="J230" s="3">
        <f>[1]sens_0_spec_90_PSA!J230</f>
        <v>195986.66251999</v>
      </c>
      <c r="K230" s="3">
        <f>[1]sens_0_spec_90_PSA!K230</f>
        <v>119356.506274949</v>
      </c>
      <c r="L230">
        <f>[1]sens_0_spec_90_PSA!L230</f>
        <v>1</v>
      </c>
      <c r="M230">
        <f>[1]sens_0_spec_90_PSA!M230</f>
        <v>0</v>
      </c>
    </row>
    <row r="231" spans="1:13" x14ac:dyDescent="0.25">
      <c r="A231">
        <v>230</v>
      </c>
      <c r="B231">
        <f>[1]sens_0_spec_90_PSA!B231</f>
        <v>0</v>
      </c>
      <c r="C231" t="str">
        <f>[1]sens_0_spec_90_PSA!C231</f>
        <v>NA</v>
      </c>
      <c r="D231">
        <f>[1]sens_0_spec_90_PSA!D231</f>
        <v>0</v>
      </c>
      <c r="E231" s="1">
        <f>[1]sens_0_spec_90_PSA!E231</f>
        <v>0.16550000000000001</v>
      </c>
      <c r="F231" s="1">
        <f>[1]sens_0_spec_90_PSA!F231</f>
        <v>3.3799999999999997E-2</v>
      </c>
      <c r="G231" s="2">
        <f>[1]sens_0_spec_90_PSA!G231</f>
        <v>18.680242672985202</v>
      </c>
      <c r="H231" s="2">
        <f>[1]sens_0_spec_90_PSA!H231</f>
        <v>14.4966143836543</v>
      </c>
      <c r="I231" s="2">
        <f>[1]sens_0_spec_90_PSA!I231</f>
        <v>8.6797151170668307</v>
      </c>
      <c r="J231" s="3">
        <f>[1]sens_0_spec_90_PSA!J231</f>
        <v>263914.87252568098</v>
      </c>
      <c r="K231" s="3">
        <f>[1]sens_0_spec_90_PSA!K231</f>
        <v>154352.49860312199</v>
      </c>
      <c r="L231">
        <f>[1]sens_0_spec_90_PSA!L231</f>
        <v>1</v>
      </c>
      <c r="M231">
        <f>[1]sens_0_spec_90_PSA!M231</f>
        <v>0</v>
      </c>
    </row>
    <row r="232" spans="1:13" x14ac:dyDescent="0.25">
      <c r="A232">
        <v>231</v>
      </c>
      <c r="B232">
        <f>[1]sens_0_spec_90_PSA!B232</f>
        <v>0</v>
      </c>
      <c r="C232" t="str">
        <f>[1]sens_0_spec_90_PSA!C232</f>
        <v>NA</v>
      </c>
      <c r="D232">
        <f>[1]sens_0_spec_90_PSA!D232</f>
        <v>0</v>
      </c>
      <c r="E232" s="1">
        <f>[1]sens_0_spec_90_PSA!E232</f>
        <v>0.12620000000000001</v>
      </c>
      <c r="F232" s="1">
        <f>[1]sens_0_spec_90_PSA!F232</f>
        <v>4.8899999999999999E-2</v>
      </c>
      <c r="G232" s="2">
        <f>[1]sens_0_spec_90_PSA!G232</f>
        <v>18.189162052989499</v>
      </c>
      <c r="H232" s="2">
        <f>[1]sens_0_spec_90_PSA!H232</f>
        <v>11.426601011611099</v>
      </c>
      <c r="I232" s="2">
        <f>[1]sens_0_spec_90_PSA!I232</f>
        <v>6.9412261357961498</v>
      </c>
      <c r="J232" s="3">
        <f>[1]sens_0_spec_90_PSA!J232</f>
        <v>217519.38229629101</v>
      </c>
      <c r="K232" s="3">
        <f>[1]sens_0_spec_90_PSA!K232</f>
        <v>130896.954294152</v>
      </c>
      <c r="L232">
        <f>[1]sens_0_spec_90_PSA!L232</f>
        <v>1</v>
      </c>
      <c r="M232">
        <f>[1]sens_0_spec_90_PSA!M232</f>
        <v>0</v>
      </c>
    </row>
    <row r="233" spans="1:13" x14ac:dyDescent="0.25">
      <c r="A233">
        <v>232</v>
      </c>
      <c r="B233">
        <f>[1]sens_0_spec_90_PSA!B233</f>
        <v>0</v>
      </c>
      <c r="C233" t="str">
        <f>[1]sens_0_spec_90_PSA!C233</f>
        <v>NA</v>
      </c>
      <c r="D233">
        <f>[1]sens_0_spec_90_PSA!D233</f>
        <v>0</v>
      </c>
      <c r="E233" s="1">
        <f>[1]sens_0_spec_90_PSA!E233</f>
        <v>0.1457</v>
      </c>
      <c r="F233" s="1">
        <f>[1]sens_0_spec_90_PSA!F233</f>
        <v>5.21E-2</v>
      </c>
      <c r="G233" s="2">
        <f>[1]sens_0_spec_90_PSA!G233</f>
        <v>18.8099925372372</v>
      </c>
      <c r="H233" s="2">
        <f>[1]sens_0_spec_90_PSA!H233</f>
        <v>12.3893122555061</v>
      </c>
      <c r="I233" s="2">
        <f>[1]sens_0_spec_90_PSA!I233</f>
        <v>7.4213220067726198</v>
      </c>
      <c r="J233" s="3">
        <f>[1]sens_0_spec_90_PSA!J233</f>
        <v>201343.64839661101</v>
      </c>
      <c r="K233" s="3">
        <f>[1]sens_0_spec_90_PSA!K233</f>
        <v>119405.424201442</v>
      </c>
      <c r="L233">
        <f>[1]sens_0_spec_90_PSA!L233</f>
        <v>1</v>
      </c>
      <c r="M233">
        <f>[1]sens_0_spec_90_PSA!M233</f>
        <v>0</v>
      </c>
    </row>
    <row r="234" spans="1:13" x14ac:dyDescent="0.25">
      <c r="A234">
        <v>233</v>
      </c>
      <c r="B234">
        <f>[1]sens_0_spec_90_PSA!B234</f>
        <v>0</v>
      </c>
      <c r="C234" t="str">
        <f>[1]sens_0_spec_90_PSA!C234</f>
        <v>NA</v>
      </c>
      <c r="D234">
        <f>[1]sens_0_spec_90_PSA!D234</f>
        <v>0</v>
      </c>
      <c r="E234" s="1">
        <f>[1]sens_0_spec_90_PSA!E234</f>
        <v>0.2404</v>
      </c>
      <c r="F234" s="1">
        <f>[1]sens_0_spec_90_PSA!F234</f>
        <v>3.0300000000000001E-2</v>
      </c>
      <c r="G234" s="2">
        <f>[1]sens_0_spec_90_PSA!G234</f>
        <v>16.098603668312801</v>
      </c>
      <c r="H234" s="2">
        <f>[1]sens_0_spec_90_PSA!H234</f>
        <v>10.709361234831899</v>
      </c>
      <c r="I234" s="2">
        <f>[1]sens_0_spec_90_PSA!I234</f>
        <v>6.5411866257799796</v>
      </c>
      <c r="J234" s="3">
        <f>[1]sens_0_spec_90_PSA!J234</f>
        <v>160885.39012350701</v>
      </c>
      <c r="K234" s="3">
        <f>[1]sens_0_spec_90_PSA!K234</f>
        <v>98915.743045077499</v>
      </c>
      <c r="L234">
        <f>[1]sens_0_spec_90_PSA!L234</f>
        <v>1</v>
      </c>
      <c r="M234">
        <f>[1]sens_0_spec_90_PSA!M234</f>
        <v>0</v>
      </c>
    </row>
    <row r="235" spans="1:13" x14ac:dyDescent="0.25">
      <c r="A235">
        <v>234</v>
      </c>
      <c r="B235">
        <f>[1]sens_0_spec_90_PSA!B235</f>
        <v>0</v>
      </c>
      <c r="C235" t="str">
        <f>[1]sens_0_spec_90_PSA!C235</f>
        <v>NA</v>
      </c>
      <c r="D235">
        <f>[1]sens_0_spec_90_PSA!D235</f>
        <v>0</v>
      </c>
      <c r="E235" s="1">
        <f>[1]sens_0_spec_90_PSA!E235</f>
        <v>0.21729999999999999</v>
      </c>
      <c r="F235" s="1">
        <f>[1]sens_0_spec_90_PSA!F235</f>
        <v>4.5499999999999999E-2</v>
      </c>
      <c r="G235" s="2">
        <f>[1]sens_0_spec_90_PSA!G235</f>
        <v>17.718866959748901</v>
      </c>
      <c r="H235" s="2">
        <f>[1]sens_0_spec_90_PSA!H235</f>
        <v>12.089096408966901</v>
      </c>
      <c r="I235" s="2">
        <f>[1]sens_0_spec_90_PSA!I235</f>
        <v>7.2003981946280202</v>
      </c>
      <c r="J235" s="3">
        <f>[1]sens_0_spec_90_PSA!J235</f>
        <v>201222.579297205</v>
      </c>
      <c r="K235" s="3">
        <f>[1]sens_0_spec_90_PSA!K235</f>
        <v>118326.212154443</v>
      </c>
      <c r="L235">
        <f>[1]sens_0_spec_90_PSA!L235</f>
        <v>1</v>
      </c>
      <c r="M235">
        <f>[1]sens_0_spec_90_PSA!M235</f>
        <v>0</v>
      </c>
    </row>
    <row r="236" spans="1:13" x14ac:dyDescent="0.25">
      <c r="A236">
        <v>235</v>
      </c>
      <c r="B236">
        <f>[1]sens_0_spec_90_PSA!B236</f>
        <v>0</v>
      </c>
      <c r="C236" t="str">
        <f>[1]sens_0_spec_90_PSA!C236</f>
        <v>NA</v>
      </c>
      <c r="D236">
        <f>[1]sens_0_spec_90_PSA!D236</f>
        <v>0</v>
      </c>
      <c r="E236" s="1">
        <f>[1]sens_0_spec_90_PSA!E236</f>
        <v>0.15310000000000001</v>
      </c>
      <c r="F236" s="1">
        <f>[1]sens_0_spec_90_PSA!F236</f>
        <v>3.5200000000000002E-2</v>
      </c>
      <c r="G236" s="2">
        <f>[1]sens_0_spec_90_PSA!G236</f>
        <v>18.562326190005901</v>
      </c>
      <c r="H236" s="2">
        <f>[1]sens_0_spec_90_PSA!H236</f>
        <v>14.3027228606765</v>
      </c>
      <c r="I236" s="2">
        <f>[1]sens_0_spec_90_PSA!I236</f>
        <v>8.6234126370483004</v>
      </c>
      <c r="J236" s="3">
        <f>[1]sens_0_spec_90_PSA!J236</f>
        <v>143580.08550735799</v>
      </c>
      <c r="K236" s="3">
        <f>[1]sens_0_spec_90_PSA!K236</f>
        <v>88116.4399831927</v>
      </c>
      <c r="L236">
        <f>[1]sens_0_spec_90_PSA!L236</f>
        <v>1</v>
      </c>
      <c r="M236">
        <f>[1]sens_0_spec_90_PSA!M236</f>
        <v>0</v>
      </c>
    </row>
    <row r="237" spans="1:13" x14ac:dyDescent="0.25">
      <c r="A237">
        <v>236</v>
      </c>
      <c r="B237">
        <f>[1]sens_0_spec_90_PSA!B237</f>
        <v>0</v>
      </c>
      <c r="C237" t="str">
        <f>[1]sens_0_spec_90_PSA!C237</f>
        <v>NA</v>
      </c>
      <c r="D237">
        <f>[1]sens_0_spec_90_PSA!D237</f>
        <v>0</v>
      </c>
      <c r="E237" s="1">
        <f>[1]sens_0_spec_90_PSA!E237</f>
        <v>0.1893</v>
      </c>
      <c r="F237" s="1">
        <f>[1]sens_0_spec_90_PSA!F237</f>
        <v>2.8799999999999999E-2</v>
      </c>
      <c r="G237" s="2">
        <f>[1]sens_0_spec_90_PSA!G237</f>
        <v>18.178099756552299</v>
      </c>
      <c r="H237" s="2">
        <f>[1]sens_0_spec_90_PSA!H237</f>
        <v>11.0563838230974</v>
      </c>
      <c r="I237" s="2">
        <f>[1]sens_0_spec_90_PSA!I237</f>
        <v>6.6325144191543401</v>
      </c>
      <c r="J237" s="3">
        <f>[1]sens_0_spec_90_PSA!J237</f>
        <v>187771.566649799</v>
      </c>
      <c r="K237" s="3">
        <f>[1]sens_0_spec_90_PSA!K237</f>
        <v>111983.524320988</v>
      </c>
      <c r="L237">
        <f>[1]sens_0_spec_90_PSA!L237</f>
        <v>1</v>
      </c>
      <c r="M237">
        <f>[1]sens_0_spec_90_PSA!M237</f>
        <v>0</v>
      </c>
    </row>
    <row r="238" spans="1:13" x14ac:dyDescent="0.25">
      <c r="A238">
        <v>237</v>
      </c>
      <c r="B238">
        <f>[1]sens_0_spec_90_PSA!B238</f>
        <v>0</v>
      </c>
      <c r="C238" t="str">
        <f>[1]sens_0_spec_90_PSA!C238</f>
        <v>NA</v>
      </c>
      <c r="D238">
        <f>[1]sens_0_spec_90_PSA!D238</f>
        <v>0</v>
      </c>
      <c r="E238" s="1">
        <f>[1]sens_0_spec_90_PSA!E238</f>
        <v>0.13420000000000001</v>
      </c>
      <c r="F238" s="1">
        <f>[1]sens_0_spec_90_PSA!F238</f>
        <v>4.0300000000000002E-2</v>
      </c>
      <c r="G238" s="2">
        <f>[1]sens_0_spec_90_PSA!G238</f>
        <v>18.8191474187092</v>
      </c>
      <c r="H238" s="2">
        <f>[1]sens_0_spec_90_PSA!H238</f>
        <v>13.438772775305999</v>
      </c>
      <c r="I238" s="2">
        <f>[1]sens_0_spec_90_PSA!I238</f>
        <v>8.1179608219868893</v>
      </c>
      <c r="J238" s="3">
        <f>[1]sens_0_spec_90_PSA!J238</f>
        <v>263323.69319318398</v>
      </c>
      <c r="K238" s="3">
        <f>[1]sens_0_spec_90_PSA!K238</f>
        <v>155643.55763193601</v>
      </c>
      <c r="L238">
        <f>[1]sens_0_spec_90_PSA!L238</f>
        <v>1</v>
      </c>
      <c r="M238">
        <f>[1]sens_0_spec_90_PSA!M238</f>
        <v>0</v>
      </c>
    </row>
    <row r="239" spans="1:13" x14ac:dyDescent="0.25">
      <c r="A239">
        <v>238</v>
      </c>
      <c r="B239">
        <f>[1]sens_0_spec_90_PSA!B239</f>
        <v>0</v>
      </c>
      <c r="C239" t="str">
        <f>[1]sens_0_spec_90_PSA!C239</f>
        <v>NA</v>
      </c>
      <c r="D239">
        <f>[1]sens_0_spec_90_PSA!D239</f>
        <v>0</v>
      </c>
      <c r="E239" s="1">
        <f>[1]sens_0_spec_90_PSA!E239</f>
        <v>0.20799999999999999</v>
      </c>
      <c r="F239" s="1">
        <f>[1]sens_0_spec_90_PSA!F239</f>
        <v>3.9E-2</v>
      </c>
      <c r="G239" s="2">
        <f>[1]sens_0_spec_90_PSA!G239</f>
        <v>17.785155363790299</v>
      </c>
      <c r="H239" s="2">
        <f>[1]sens_0_spec_90_PSA!H239</f>
        <v>12.761497713256199</v>
      </c>
      <c r="I239" s="2">
        <f>[1]sens_0_spec_90_PSA!I239</f>
        <v>7.6084908877536099</v>
      </c>
      <c r="J239" s="3">
        <f>[1]sens_0_spec_90_PSA!J239</f>
        <v>167095.37397677801</v>
      </c>
      <c r="K239" s="3">
        <f>[1]sens_0_spec_90_PSA!K239</f>
        <v>99756.795459293106</v>
      </c>
      <c r="L239">
        <f>[1]sens_0_spec_90_PSA!L239</f>
        <v>1</v>
      </c>
      <c r="M239">
        <f>[1]sens_0_spec_90_PSA!M239</f>
        <v>0</v>
      </c>
    </row>
    <row r="240" spans="1:13" x14ac:dyDescent="0.25">
      <c r="A240">
        <v>239</v>
      </c>
      <c r="B240">
        <f>[1]sens_0_spec_90_PSA!B240</f>
        <v>0</v>
      </c>
      <c r="C240" t="str">
        <f>[1]sens_0_spec_90_PSA!C240</f>
        <v>NA</v>
      </c>
      <c r="D240">
        <f>[1]sens_0_spec_90_PSA!D240</f>
        <v>0</v>
      </c>
      <c r="E240" s="1">
        <f>[1]sens_0_spec_90_PSA!E240</f>
        <v>0.21179999999999999</v>
      </c>
      <c r="F240" s="1">
        <f>[1]sens_0_spec_90_PSA!F240</f>
        <v>4.1700000000000001E-2</v>
      </c>
      <c r="G240" s="2">
        <f>[1]sens_0_spec_90_PSA!G240</f>
        <v>16.375622700369899</v>
      </c>
      <c r="H240" s="2">
        <f>[1]sens_0_spec_90_PSA!H240</f>
        <v>13.007039786968299</v>
      </c>
      <c r="I240" s="2">
        <f>[1]sens_0_spec_90_PSA!I240</f>
        <v>7.9258060562580397</v>
      </c>
      <c r="J240" s="3">
        <f>[1]sens_0_spec_90_PSA!J240</f>
        <v>213203.03217255199</v>
      </c>
      <c r="K240" s="3">
        <f>[1]sens_0_spec_90_PSA!K240</f>
        <v>128615.327261835</v>
      </c>
      <c r="L240">
        <f>[1]sens_0_spec_90_PSA!L240</f>
        <v>1</v>
      </c>
      <c r="M240">
        <f>[1]sens_0_spec_90_PSA!M240</f>
        <v>0</v>
      </c>
    </row>
    <row r="241" spans="1:13" x14ac:dyDescent="0.25">
      <c r="A241">
        <v>240</v>
      </c>
      <c r="B241">
        <f>[1]sens_0_spec_90_PSA!B241</f>
        <v>0</v>
      </c>
      <c r="C241" t="str">
        <f>[1]sens_0_spec_90_PSA!C241</f>
        <v>NA</v>
      </c>
      <c r="D241">
        <f>[1]sens_0_spec_90_PSA!D241</f>
        <v>0</v>
      </c>
      <c r="E241" s="1">
        <f>[1]sens_0_spec_90_PSA!E241</f>
        <v>0.1363</v>
      </c>
      <c r="F241" s="1">
        <f>[1]sens_0_spec_90_PSA!F241</f>
        <v>3.6400000000000002E-2</v>
      </c>
      <c r="G241" s="2">
        <f>[1]sens_0_spec_90_PSA!G241</f>
        <v>19.106313934069501</v>
      </c>
      <c r="H241" s="2">
        <f>[1]sens_0_spec_90_PSA!H241</f>
        <v>13.384204921835201</v>
      </c>
      <c r="I241" s="2">
        <f>[1]sens_0_spec_90_PSA!I241</f>
        <v>8.0097153313739096</v>
      </c>
      <c r="J241" s="3">
        <f>[1]sens_0_spec_90_PSA!J241</f>
        <v>249359.60709425999</v>
      </c>
      <c r="K241" s="3">
        <f>[1]sens_0_spec_90_PSA!K241</f>
        <v>146299.80685899299</v>
      </c>
      <c r="L241">
        <f>[1]sens_0_spec_90_PSA!L241</f>
        <v>1</v>
      </c>
      <c r="M241">
        <f>[1]sens_0_spec_90_PSA!M241</f>
        <v>0</v>
      </c>
    </row>
    <row r="242" spans="1:13" x14ac:dyDescent="0.25">
      <c r="A242">
        <v>241</v>
      </c>
      <c r="B242">
        <f>[1]sens_0_spec_90_PSA!B242</f>
        <v>0</v>
      </c>
      <c r="C242" t="str">
        <f>[1]sens_0_spec_90_PSA!C242</f>
        <v>NA</v>
      </c>
      <c r="D242">
        <f>[1]sens_0_spec_90_PSA!D242</f>
        <v>0</v>
      </c>
      <c r="E242" s="1">
        <f>[1]sens_0_spec_90_PSA!E242</f>
        <v>0.1231</v>
      </c>
      <c r="F242" s="1">
        <f>[1]sens_0_spec_90_PSA!F242</f>
        <v>4.1399999999999999E-2</v>
      </c>
      <c r="G242" s="2">
        <f>[1]sens_0_spec_90_PSA!G242</f>
        <v>20.051054276876801</v>
      </c>
      <c r="H242" s="2">
        <f>[1]sens_0_spec_90_PSA!H242</f>
        <v>13.1851632036573</v>
      </c>
      <c r="I242" s="2">
        <f>[1]sens_0_spec_90_PSA!I242</f>
        <v>7.8349680379495696</v>
      </c>
      <c r="J242" s="3">
        <f>[1]sens_0_spec_90_PSA!J242</f>
        <v>152292.649916428</v>
      </c>
      <c r="K242" s="3">
        <f>[1]sens_0_spec_90_PSA!K242</f>
        <v>91338.149718350498</v>
      </c>
      <c r="L242">
        <f>[1]sens_0_spec_90_PSA!L242</f>
        <v>1</v>
      </c>
      <c r="M242">
        <f>[1]sens_0_spec_90_PSA!M242</f>
        <v>0</v>
      </c>
    </row>
    <row r="243" spans="1:13" x14ac:dyDescent="0.25">
      <c r="A243">
        <v>242</v>
      </c>
      <c r="B243">
        <f>[1]sens_0_spec_90_PSA!B243</f>
        <v>0</v>
      </c>
      <c r="C243" t="str">
        <f>[1]sens_0_spec_90_PSA!C243</f>
        <v>NA</v>
      </c>
      <c r="D243">
        <f>[1]sens_0_spec_90_PSA!D243</f>
        <v>0</v>
      </c>
      <c r="E243" s="1">
        <f>[1]sens_0_spec_90_PSA!E243</f>
        <v>0.1694</v>
      </c>
      <c r="F243" s="1">
        <f>[1]sens_0_spec_90_PSA!F243</f>
        <v>3.15E-2</v>
      </c>
      <c r="G243" s="2">
        <f>[1]sens_0_spec_90_PSA!G243</f>
        <v>19.152685449124998</v>
      </c>
      <c r="H243" s="2">
        <f>[1]sens_0_spec_90_PSA!H243</f>
        <v>13.9823815325363</v>
      </c>
      <c r="I243" s="2">
        <f>[1]sens_0_spec_90_PSA!I243</f>
        <v>8.3228584709708304</v>
      </c>
      <c r="J243" s="3">
        <f>[1]sens_0_spec_90_PSA!J243</f>
        <v>160178.22923997499</v>
      </c>
      <c r="K243" s="3">
        <f>[1]sens_0_spec_90_PSA!K243</f>
        <v>95978.474100593899</v>
      </c>
      <c r="L243">
        <f>[1]sens_0_spec_90_PSA!L243</f>
        <v>1</v>
      </c>
      <c r="M243">
        <f>[1]sens_0_spec_90_PSA!M243</f>
        <v>0</v>
      </c>
    </row>
    <row r="244" spans="1:13" x14ac:dyDescent="0.25">
      <c r="A244">
        <v>243</v>
      </c>
      <c r="B244">
        <f>[1]sens_0_spec_90_PSA!B244</f>
        <v>0</v>
      </c>
      <c r="C244" t="str">
        <f>[1]sens_0_spec_90_PSA!C244</f>
        <v>NA</v>
      </c>
      <c r="D244">
        <f>[1]sens_0_spec_90_PSA!D244</f>
        <v>0</v>
      </c>
      <c r="E244" s="1">
        <f>[1]sens_0_spec_90_PSA!E244</f>
        <v>0.25109999999999999</v>
      </c>
      <c r="F244" s="1">
        <f>[1]sens_0_spec_90_PSA!F244</f>
        <v>3.15E-2</v>
      </c>
      <c r="G244" s="2">
        <f>[1]sens_0_spec_90_PSA!G244</f>
        <v>15.2186679394134</v>
      </c>
      <c r="H244" s="2">
        <f>[1]sens_0_spec_90_PSA!H244</f>
        <v>11.460537942916501</v>
      </c>
      <c r="I244" s="2">
        <f>[1]sens_0_spec_90_PSA!I244</f>
        <v>7.1101501260378503</v>
      </c>
      <c r="J244" s="3">
        <f>[1]sens_0_spec_90_PSA!J244</f>
        <v>152725.90650460901</v>
      </c>
      <c r="K244" s="3">
        <f>[1]sens_0_spec_90_PSA!K244</f>
        <v>95776.124569497406</v>
      </c>
      <c r="L244">
        <f>[1]sens_0_spec_90_PSA!L244</f>
        <v>1</v>
      </c>
      <c r="M244">
        <f>[1]sens_0_spec_90_PSA!M244</f>
        <v>0</v>
      </c>
    </row>
    <row r="245" spans="1:13" x14ac:dyDescent="0.25">
      <c r="A245">
        <v>244</v>
      </c>
      <c r="B245">
        <f>[1]sens_0_spec_90_PSA!B245</f>
        <v>0</v>
      </c>
      <c r="C245" t="str">
        <f>[1]sens_0_spec_90_PSA!C245</f>
        <v>NA</v>
      </c>
      <c r="D245">
        <f>[1]sens_0_spec_90_PSA!D245</f>
        <v>0</v>
      </c>
      <c r="E245" s="1">
        <f>[1]sens_0_spec_90_PSA!E245</f>
        <v>0.13739999999999999</v>
      </c>
      <c r="F245" s="1">
        <f>[1]sens_0_spec_90_PSA!F245</f>
        <v>4.6699999999999998E-2</v>
      </c>
      <c r="G245" s="2">
        <f>[1]sens_0_spec_90_PSA!G245</f>
        <v>18.1888600858973</v>
      </c>
      <c r="H245" s="2">
        <f>[1]sens_0_spec_90_PSA!H245</f>
        <v>13.314656244543301</v>
      </c>
      <c r="I245" s="2">
        <f>[1]sens_0_spec_90_PSA!I245</f>
        <v>8.0720650225936801</v>
      </c>
      <c r="J245" s="3">
        <f>[1]sens_0_spec_90_PSA!J245</f>
        <v>170341.20371777701</v>
      </c>
      <c r="K245" s="3">
        <f>[1]sens_0_spec_90_PSA!K245</f>
        <v>103677.910894922</v>
      </c>
      <c r="L245">
        <f>[1]sens_0_spec_90_PSA!L245</f>
        <v>1</v>
      </c>
      <c r="M245">
        <f>[1]sens_0_spec_90_PSA!M245</f>
        <v>0</v>
      </c>
    </row>
    <row r="246" spans="1:13" x14ac:dyDescent="0.25">
      <c r="A246">
        <v>245</v>
      </c>
      <c r="B246">
        <f>[1]sens_0_spec_90_PSA!B246</f>
        <v>0</v>
      </c>
      <c r="C246" t="str">
        <f>[1]sens_0_spec_90_PSA!C246</f>
        <v>NA</v>
      </c>
      <c r="D246">
        <f>[1]sens_0_spec_90_PSA!D246</f>
        <v>0</v>
      </c>
      <c r="E246" s="1">
        <f>[1]sens_0_spec_90_PSA!E246</f>
        <v>0.1101</v>
      </c>
      <c r="F246" s="1">
        <f>[1]sens_0_spec_90_PSA!F246</f>
        <v>4.7E-2</v>
      </c>
      <c r="G246" s="2">
        <f>[1]sens_0_spec_90_PSA!G246</f>
        <v>18.167370383526599</v>
      </c>
      <c r="H246" s="2">
        <f>[1]sens_0_spec_90_PSA!H246</f>
        <v>11.640333177823299</v>
      </c>
      <c r="I246" s="2">
        <f>[1]sens_0_spec_90_PSA!I246</f>
        <v>7.1171931530503203</v>
      </c>
      <c r="J246" s="3">
        <f>[1]sens_0_spec_90_PSA!J246</f>
        <v>185722.16343098501</v>
      </c>
      <c r="K246" s="3">
        <f>[1]sens_0_spec_90_PSA!K246</f>
        <v>113535.98879753699</v>
      </c>
      <c r="L246">
        <f>[1]sens_0_spec_90_PSA!L246</f>
        <v>1</v>
      </c>
      <c r="M246">
        <f>[1]sens_0_spec_90_PSA!M246</f>
        <v>0</v>
      </c>
    </row>
    <row r="247" spans="1:13" x14ac:dyDescent="0.25">
      <c r="A247">
        <v>246</v>
      </c>
      <c r="B247">
        <f>[1]sens_0_spec_90_PSA!B247</f>
        <v>0</v>
      </c>
      <c r="C247" t="str">
        <f>[1]sens_0_spec_90_PSA!C247</f>
        <v>NA</v>
      </c>
      <c r="D247">
        <f>[1]sens_0_spec_90_PSA!D247</f>
        <v>0</v>
      </c>
      <c r="E247" s="1">
        <f>[1]sens_0_spec_90_PSA!E247</f>
        <v>0.20449999999999999</v>
      </c>
      <c r="F247" s="1">
        <f>[1]sens_0_spec_90_PSA!F247</f>
        <v>4.3400000000000001E-2</v>
      </c>
      <c r="G247" s="2">
        <f>[1]sens_0_spec_90_PSA!G247</f>
        <v>17.294643373829199</v>
      </c>
      <c r="H247" s="2">
        <f>[1]sens_0_spec_90_PSA!H247</f>
        <v>12.319798795178899</v>
      </c>
      <c r="I247" s="2">
        <f>[1]sens_0_spec_90_PSA!I247</f>
        <v>7.42082723557479</v>
      </c>
      <c r="J247" s="3">
        <f>[1]sens_0_spec_90_PSA!J247</f>
        <v>203963.26849583499</v>
      </c>
      <c r="K247" s="3">
        <f>[1]sens_0_spec_90_PSA!K247</f>
        <v>121533.93809106501</v>
      </c>
      <c r="L247">
        <f>[1]sens_0_spec_90_PSA!L247</f>
        <v>1</v>
      </c>
      <c r="M247">
        <f>[1]sens_0_spec_90_PSA!M247</f>
        <v>0</v>
      </c>
    </row>
    <row r="248" spans="1:13" x14ac:dyDescent="0.25">
      <c r="A248">
        <v>247</v>
      </c>
      <c r="B248">
        <f>[1]sens_0_spec_90_PSA!B248</f>
        <v>0</v>
      </c>
      <c r="C248" t="str">
        <f>[1]sens_0_spec_90_PSA!C248</f>
        <v>NA</v>
      </c>
      <c r="D248">
        <f>[1]sens_0_spec_90_PSA!D248</f>
        <v>0</v>
      </c>
      <c r="E248" s="1">
        <f>[1]sens_0_spec_90_PSA!E248</f>
        <v>0.2399</v>
      </c>
      <c r="F248" s="1">
        <f>[1]sens_0_spec_90_PSA!F248</f>
        <v>4.2000000000000003E-2</v>
      </c>
      <c r="G248" s="2">
        <f>[1]sens_0_spec_90_PSA!G248</f>
        <v>16.856078244816999</v>
      </c>
      <c r="H248" s="2">
        <f>[1]sens_0_spec_90_PSA!H248</f>
        <v>11.934808028466501</v>
      </c>
      <c r="I248" s="2">
        <f>[1]sens_0_spec_90_PSA!I248</f>
        <v>7.1909177470088101</v>
      </c>
      <c r="J248" s="3">
        <f>[1]sens_0_spec_90_PSA!J248</f>
        <v>137622.576101332</v>
      </c>
      <c r="K248" s="3">
        <f>[1]sens_0_spec_90_PSA!K248</f>
        <v>84126.007851749993</v>
      </c>
      <c r="L248">
        <f>[1]sens_0_spec_90_PSA!L248</f>
        <v>1</v>
      </c>
      <c r="M248">
        <f>[1]sens_0_spec_90_PSA!M248</f>
        <v>0</v>
      </c>
    </row>
    <row r="249" spans="1:13" x14ac:dyDescent="0.25">
      <c r="A249">
        <v>248</v>
      </c>
      <c r="B249">
        <f>[1]sens_0_spec_90_PSA!B249</f>
        <v>0</v>
      </c>
      <c r="C249" t="str">
        <f>[1]sens_0_spec_90_PSA!C249</f>
        <v>NA</v>
      </c>
      <c r="D249">
        <f>[1]sens_0_spec_90_PSA!D249</f>
        <v>0</v>
      </c>
      <c r="E249" s="1">
        <f>[1]sens_0_spec_90_PSA!E249</f>
        <v>0.19639999999999999</v>
      </c>
      <c r="F249" s="1">
        <f>[1]sens_0_spec_90_PSA!F249</f>
        <v>3.1E-2</v>
      </c>
      <c r="G249" s="2">
        <f>[1]sens_0_spec_90_PSA!G249</f>
        <v>18.006315131405199</v>
      </c>
      <c r="H249" s="2">
        <f>[1]sens_0_spec_90_PSA!H249</f>
        <v>14.5374745489107</v>
      </c>
      <c r="I249" s="2">
        <f>[1]sens_0_spec_90_PSA!I249</f>
        <v>8.7475019651583104</v>
      </c>
      <c r="J249" s="3">
        <f>[1]sens_0_spec_90_PSA!J249</f>
        <v>206685.9886518</v>
      </c>
      <c r="K249" s="3">
        <f>[1]sens_0_spec_90_PSA!K249</f>
        <v>123114.300713783</v>
      </c>
      <c r="L249">
        <f>[1]sens_0_spec_90_PSA!L249</f>
        <v>1</v>
      </c>
      <c r="M249">
        <f>[1]sens_0_spec_90_PSA!M249</f>
        <v>0</v>
      </c>
    </row>
    <row r="250" spans="1:13" x14ac:dyDescent="0.25">
      <c r="A250">
        <v>249</v>
      </c>
      <c r="B250">
        <f>[1]sens_0_spec_90_PSA!B250</f>
        <v>0</v>
      </c>
      <c r="C250" t="str">
        <f>[1]sens_0_spec_90_PSA!C250</f>
        <v>NA</v>
      </c>
      <c r="D250">
        <f>[1]sens_0_spec_90_PSA!D250</f>
        <v>0</v>
      </c>
      <c r="E250" s="1">
        <f>[1]sens_0_spec_90_PSA!E250</f>
        <v>0.15190000000000001</v>
      </c>
      <c r="F250" s="1">
        <f>[1]sens_0_spec_90_PSA!F250</f>
        <v>5.6599999999999998E-2</v>
      </c>
      <c r="G250" s="2">
        <f>[1]sens_0_spec_90_PSA!G250</f>
        <v>17.3702546808736</v>
      </c>
      <c r="H250" s="2">
        <f>[1]sens_0_spec_90_PSA!H250</f>
        <v>12.126389307853</v>
      </c>
      <c r="I250" s="2">
        <f>[1]sens_0_spec_90_PSA!I250</f>
        <v>7.4108768529898503</v>
      </c>
      <c r="J250" s="3">
        <f>[1]sens_0_spec_90_PSA!J250</f>
        <v>144694.64177290199</v>
      </c>
      <c r="K250" s="3">
        <f>[1]sens_0_spec_90_PSA!K250</f>
        <v>90069.223870702001</v>
      </c>
      <c r="L250">
        <f>[1]sens_0_spec_90_PSA!L250</f>
        <v>1</v>
      </c>
      <c r="M250">
        <f>[1]sens_0_spec_90_PSA!M250</f>
        <v>0</v>
      </c>
    </row>
    <row r="251" spans="1:13" x14ac:dyDescent="0.25">
      <c r="A251">
        <v>250</v>
      </c>
      <c r="B251">
        <f>[1]sens_0_spec_90_PSA!B251</f>
        <v>0</v>
      </c>
      <c r="C251" t="str">
        <f>[1]sens_0_spec_90_PSA!C251</f>
        <v>NA</v>
      </c>
      <c r="D251">
        <f>[1]sens_0_spec_90_PSA!D251</f>
        <v>0</v>
      </c>
      <c r="E251" s="1">
        <f>[1]sens_0_spec_90_PSA!E251</f>
        <v>0.19120000000000001</v>
      </c>
      <c r="F251" s="1">
        <f>[1]sens_0_spec_90_PSA!F251</f>
        <v>5.5199999999999999E-2</v>
      </c>
      <c r="G251" s="2">
        <f>[1]sens_0_spec_90_PSA!G251</f>
        <v>18.724142698437301</v>
      </c>
      <c r="H251" s="2">
        <f>[1]sens_0_spec_90_PSA!H251</f>
        <v>13.6837763824541</v>
      </c>
      <c r="I251" s="2">
        <f>[1]sens_0_spec_90_PSA!I251</f>
        <v>8.0798283993856508</v>
      </c>
      <c r="J251" s="3">
        <f>[1]sens_0_spec_90_PSA!J251</f>
        <v>190747.44811128601</v>
      </c>
      <c r="K251" s="3">
        <f>[1]sens_0_spec_90_PSA!K251</f>
        <v>111298.09003294499</v>
      </c>
      <c r="L251">
        <f>[1]sens_0_spec_90_PSA!L251</f>
        <v>1</v>
      </c>
      <c r="M251">
        <f>[1]sens_0_spec_90_PSA!M251</f>
        <v>0</v>
      </c>
    </row>
    <row r="252" spans="1:13" x14ac:dyDescent="0.25">
      <c r="A252">
        <v>251</v>
      </c>
      <c r="B252">
        <f>[1]sens_0_spec_90_PSA!B252</f>
        <v>0</v>
      </c>
      <c r="C252" t="str">
        <f>[1]sens_0_spec_90_PSA!C252</f>
        <v>NA</v>
      </c>
      <c r="D252">
        <f>[1]sens_0_spec_90_PSA!D252</f>
        <v>0</v>
      </c>
      <c r="E252" s="1">
        <f>[1]sens_0_spec_90_PSA!E252</f>
        <v>0.1769</v>
      </c>
      <c r="F252" s="1">
        <f>[1]sens_0_spec_90_PSA!F252</f>
        <v>3.5700000000000003E-2</v>
      </c>
      <c r="G252" s="2">
        <f>[1]sens_0_spec_90_PSA!G252</f>
        <v>17.761985568581402</v>
      </c>
      <c r="H252" s="2">
        <f>[1]sens_0_spec_90_PSA!H252</f>
        <v>12.2820908172147</v>
      </c>
      <c r="I252" s="2">
        <f>[1]sens_0_spec_90_PSA!I252</f>
        <v>7.44520393958285</v>
      </c>
      <c r="J252" s="3">
        <f>[1]sens_0_spec_90_PSA!J252</f>
        <v>170903.830698773</v>
      </c>
      <c r="K252" s="3">
        <f>[1]sens_0_spec_90_PSA!K252</f>
        <v>103980.155503063</v>
      </c>
      <c r="L252">
        <f>[1]sens_0_spec_90_PSA!L252</f>
        <v>1</v>
      </c>
      <c r="M252">
        <f>[1]sens_0_spec_90_PSA!M252</f>
        <v>0</v>
      </c>
    </row>
    <row r="253" spans="1:13" x14ac:dyDescent="0.25">
      <c r="A253">
        <v>252</v>
      </c>
      <c r="B253">
        <f>[1]sens_0_spec_90_PSA!B253</f>
        <v>0</v>
      </c>
      <c r="C253" t="str">
        <f>[1]sens_0_spec_90_PSA!C253</f>
        <v>NA</v>
      </c>
      <c r="D253">
        <f>[1]sens_0_spec_90_PSA!D253</f>
        <v>0</v>
      </c>
      <c r="E253" s="1">
        <f>[1]sens_0_spec_90_PSA!E253</f>
        <v>0.18790000000000001</v>
      </c>
      <c r="F253" s="1">
        <f>[1]sens_0_spec_90_PSA!F253</f>
        <v>4.1000000000000002E-2</v>
      </c>
      <c r="G253" s="2">
        <f>[1]sens_0_spec_90_PSA!G253</f>
        <v>19.203080691300698</v>
      </c>
      <c r="H253" s="2">
        <f>[1]sens_0_spec_90_PSA!H253</f>
        <v>11.7820813947977</v>
      </c>
      <c r="I253" s="2">
        <f>[1]sens_0_spec_90_PSA!I253</f>
        <v>6.9477779379917903</v>
      </c>
      <c r="J253" s="3">
        <f>[1]sens_0_spec_90_PSA!J253</f>
        <v>269667.49629691598</v>
      </c>
      <c r="K253" s="3">
        <f>[1]sens_0_spec_90_PSA!K253</f>
        <v>154039.619703587</v>
      </c>
      <c r="L253">
        <f>[1]sens_0_spec_90_PSA!L253</f>
        <v>1</v>
      </c>
      <c r="M253">
        <f>[1]sens_0_spec_90_PSA!M253</f>
        <v>0</v>
      </c>
    </row>
    <row r="254" spans="1:13" x14ac:dyDescent="0.25">
      <c r="A254">
        <v>253</v>
      </c>
      <c r="B254">
        <f>[1]sens_0_spec_90_PSA!B254</f>
        <v>0</v>
      </c>
      <c r="C254" t="str">
        <f>[1]sens_0_spec_90_PSA!C254</f>
        <v>NA</v>
      </c>
      <c r="D254">
        <f>[1]sens_0_spec_90_PSA!D254</f>
        <v>0</v>
      </c>
      <c r="E254" s="1">
        <f>[1]sens_0_spec_90_PSA!E254</f>
        <v>0.22600000000000001</v>
      </c>
      <c r="F254" s="1">
        <f>[1]sens_0_spec_90_PSA!F254</f>
        <v>3.6700000000000003E-2</v>
      </c>
      <c r="G254" s="2">
        <f>[1]sens_0_spec_90_PSA!G254</f>
        <v>17.468018436797699</v>
      </c>
      <c r="H254" s="2">
        <f>[1]sens_0_spec_90_PSA!H254</f>
        <v>12.1387467031842</v>
      </c>
      <c r="I254" s="2">
        <f>[1]sens_0_spec_90_PSA!I254</f>
        <v>7.2704948078126002</v>
      </c>
      <c r="J254" s="3">
        <f>[1]sens_0_spec_90_PSA!J254</f>
        <v>164710.44550560799</v>
      </c>
      <c r="K254" s="3">
        <f>[1]sens_0_spec_90_PSA!K254</f>
        <v>98689.536692877198</v>
      </c>
      <c r="L254">
        <f>[1]sens_0_spec_90_PSA!L254</f>
        <v>1</v>
      </c>
      <c r="M254">
        <f>[1]sens_0_spec_90_PSA!M254</f>
        <v>0</v>
      </c>
    </row>
    <row r="255" spans="1:13" x14ac:dyDescent="0.25">
      <c r="A255">
        <v>254</v>
      </c>
      <c r="B255">
        <f>[1]sens_0_spec_90_PSA!B255</f>
        <v>0</v>
      </c>
      <c r="C255" t="str">
        <f>[1]sens_0_spec_90_PSA!C255</f>
        <v>NA</v>
      </c>
      <c r="D255">
        <f>[1]sens_0_spec_90_PSA!D255</f>
        <v>0</v>
      </c>
      <c r="E255" s="1">
        <f>[1]sens_0_spec_90_PSA!E255</f>
        <v>0.1545</v>
      </c>
      <c r="F255" s="1">
        <f>[1]sens_0_spec_90_PSA!F255</f>
        <v>4.3400000000000001E-2</v>
      </c>
      <c r="G255" s="2">
        <f>[1]sens_0_spec_90_PSA!G255</f>
        <v>20.311847754812199</v>
      </c>
      <c r="H255" s="2">
        <f>[1]sens_0_spec_90_PSA!H255</f>
        <v>13.556270044478</v>
      </c>
      <c r="I255" s="2">
        <f>[1]sens_0_spec_90_PSA!I255</f>
        <v>7.9454101364088796</v>
      </c>
      <c r="J255" s="3">
        <f>[1]sens_0_spec_90_PSA!J255</f>
        <v>190249.405975275</v>
      </c>
      <c r="K255" s="3">
        <f>[1]sens_0_spec_90_PSA!K255</f>
        <v>110475.431666912</v>
      </c>
      <c r="L255">
        <f>[1]sens_0_spec_90_PSA!L255</f>
        <v>1</v>
      </c>
      <c r="M255">
        <f>[1]sens_0_spec_90_PSA!M255</f>
        <v>0</v>
      </c>
    </row>
    <row r="256" spans="1:13" x14ac:dyDescent="0.25">
      <c r="A256">
        <v>255</v>
      </c>
      <c r="B256">
        <f>[1]sens_0_spec_90_PSA!B256</f>
        <v>0</v>
      </c>
      <c r="C256" t="str">
        <f>[1]sens_0_spec_90_PSA!C256</f>
        <v>NA</v>
      </c>
      <c r="D256">
        <f>[1]sens_0_spec_90_PSA!D256</f>
        <v>0</v>
      </c>
      <c r="E256" s="1">
        <f>[1]sens_0_spec_90_PSA!E256</f>
        <v>0.2114</v>
      </c>
      <c r="F256" s="1">
        <f>[1]sens_0_spec_90_PSA!F256</f>
        <v>3.1600000000000003E-2</v>
      </c>
      <c r="G256" s="2">
        <f>[1]sens_0_spec_90_PSA!G256</f>
        <v>19.0295229376134</v>
      </c>
      <c r="H256" s="2">
        <f>[1]sens_0_spec_90_PSA!H256</f>
        <v>11.122766385492801</v>
      </c>
      <c r="I256" s="2">
        <f>[1]sens_0_spec_90_PSA!I256</f>
        <v>6.5615522729537599</v>
      </c>
      <c r="J256" s="3">
        <f>[1]sens_0_spec_90_PSA!J256</f>
        <v>219945.28955718601</v>
      </c>
      <c r="K256" s="3">
        <f>[1]sens_0_spec_90_PSA!K256</f>
        <v>127108.95458536599</v>
      </c>
      <c r="L256">
        <f>[1]sens_0_spec_90_PSA!L256</f>
        <v>1</v>
      </c>
      <c r="M256">
        <f>[1]sens_0_spec_90_PSA!M256</f>
        <v>0</v>
      </c>
    </row>
    <row r="257" spans="1:13" x14ac:dyDescent="0.25">
      <c r="A257">
        <v>256</v>
      </c>
      <c r="B257">
        <f>[1]sens_0_spec_90_PSA!B257</f>
        <v>0</v>
      </c>
      <c r="C257" t="str">
        <f>[1]sens_0_spec_90_PSA!C257</f>
        <v>NA</v>
      </c>
      <c r="D257">
        <f>[1]sens_0_spec_90_PSA!D257</f>
        <v>0</v>
      </c>
      <c r="E257" s="1">
        <f>[1]sens_0_spec_90_PSA!E257</f>
        <v>0.17780000000000001</v>
      </c>
      <c r="F257" s="1">
        <f>[1]sens_0_spec_90_PSA!F257</f>
        <v>3.1300000000000001E-2</v>
      </c>
      <c r="G257" s="2">
        <f>[1]sens_0_spec_90_PSA!G257</f>
        <v>17.503660685396898</v>
      </c>
      <c r="H257" s="2">
        <f>[1]sens_0_spec_90_PSA!H257</f>
        <v>11.6776565234816</v>
      </c>
      <c r="I257" s="2">
        <f>[1]sens_0_spec_90_PSA!I257</f>
        <v>7.1170990207697598</v>
      </c>
      <c r="J257" s="3">
        <f>[1]sens_0_spec_90_PSA!J257</f>
        <v>192736.399983874</v>
      </c>
      <c r="K257" s="3">
        <f>[1]sens_0_spec_90_PSA!K257</f>
        <v>117117.400283745</v>
      </c>
      <c r="L257">
        <f>[1]sens_0_spec_90_PSA!L257</f>
        <v>1</v>
      </c>
      <c r="M257">
        <f>[1]sens_0_spec_90_PSA!M257</f>
        <v>0</v>
      </c>
    </row>
    <row r="258" spans="1:13" x14ac:dyDescent="0.25">
      <c r="A258">
        <v>257</v>
      </c>
      <c r="B258">
        <f>[1]sens_0_spec_90_PSA!B258</f>
        <v>0</v>
      </c>
      <c r="C258" t="str">
        <f>[1]sens_0_spec_90_PSA!C258</f>
        <v>NA</v>
      </c>
      <c r="D258">
        <f>[1]sens_0_spec_90_PSA!D258</f>
        <v>0</v>
      </c>
      <c r="E258" s="1">
        <f>[1]sens_0_spec_90_PSA!E258</f>
        <v>0.1124</v>
      </c>
      <c r="F258" s="1">
        <f>[1]sens_0_spec_90_PSA!F258</f>
        <v>5.16E-2</v>
      </c>
      <c r="G258" s="2">
        <f>[1]sens_0_spec_90_PSA!G258</f>
        <v>18.352940907929099</v>
      </c>
      <c r="H258" s="2">
        <f>[1]sens_0_spec_90_PSA!H258</f>
        <v>10.4339305076233</v>
      </c>
      <c r="I258" s="2">
        <f>[1]sens_0_spec_90_PSA!I258</f>
        <v>6.3529957729448299</v>
      </c>
      <c r="J258" s="3">
        <f>[1]sens_0_spec_90_PSA!J258</f>
        <v>160110.70710418301</v>
      </c>
      <c r="K258" s="3">
        <f>[1]sens_0_spec_90_PSA!K258</f>
        <v>98333.837401702694</v>
      </c>
      <c r="L258">
        <f>[1]sens_0_spec_90_PSA!L258</f>
        <v>1</v>
      </c>
      <c r="M258">
        <f>[1]sens_0_spec_90_PSA!M258</f>
        <v>0</v>
      </c>
    </row>
    <row r="259" spans="1:13" x14ac:dyDescent="0.25">
      <c r="A259">
        <v>258</v>
      </c>
      <c r="B259">
        <f>[1]sens_0_spec_90_PSA!B259</f>
        <v>0</v>
      </c>
      <c r="C259" t="str">
        <f>[1]sens_0_spec_90_PSA!C259</f>
        <v>NA</v>
      </c>
      <c r="D259">
        <f>[1]sens_0_spec_90_PSA!D259</f>
        <v>0</v>
      </c>
      <c r="E259" s="1">
        <f>[1]sens_0_spec_90_PSA!E259</f>
        <v>0.1706</v>
      </c>
      <c r="F259" s="1">
        <f>[1]sens_0_spec_90_PSA!F259</f>
        <v>3.09E-2</v>
      </c>
      <c r="G259" s="2">
        <f>[1]sens_0_spec_90_PSA!G259</f>
        <v>17.631386178915601</v>
      </c>
      <c r="H259" s="2">
        <f>[1]sens_0_spec_90_PSA!H259</f>
        <v>13.257213737403999</v>
      </c>
      <c r="I259" s="2">
        <f>[1]sens_0_spec_90_PSA!I259</f>
        <v>8.0599852619033392</v>
      </c>
      <c r="J259" s="3">
        <f>[1]sens_0_spec_90_PSA!J259</f>
        <v>241539.714697471</v>
      </c>
      <c r="K259" s="3">
        <f>[1]sens_0_spec_90_PSA!K259</f>
        <v>144615.774182705</v>
      </c>
      <c r="L259">
        <f>[1]sens_0_spec_90_PSA!L259</f>
        <v>1</v>
      </c>
      <c r="M259">
        <f>[1]sens_0_spec_90_PSA!M259</f>
        <v>0</v>
      </c>
    </row>
    <row r="260" spans="1:13" x14ac:dyDescent="0.25">
      <c r="A260">
        <v>259</v>
      </c>
      <c r="B260">
        <f>[1]sens_0_spec_90_PSA!B260</f>
        <v>0</v>
      </c>
      <c r="C260" t="str">
        <f>[1]sens_0_spec_90_PSA!C260</f>
        <v>NA</v>
      </c>
      <c r="D260">
        <f>[1]sens_0_spec_90_PSA!D260</f>
        <v>0</v>
      </c>
      <c r="E260" s="1">
        <f>[1]sens_0_spec_90_PSA!E260</f>
        <v>0.17130000000000001</v>
      </c>
      <c r="F260" s="1">
        <f>[1]sens_0_spec_90_PSA!F260</f>
        <v>2.7900000000000001E-2</v>
      </c>
      <c r="G260" s="2">
        <f>[1]sens_0_spec_90_PSA!G260</f>
        <v>17.954129056454299</v>
      </c>
      <c r="H260" s="2">
        <f>[1]sens_0_spec_90_PSA!H260</f>
        <v>13.326525686724899</v>
      </c>
      <c r="I260" s="2">
        <f>[1]sens_0_spec_90_PSA!I260</f>
        <v>8.0504111523078503</v>
      </c>
      <c r="J260" s="3">
        <f>[1]sens_0_spec_90_PSA!J260</f>
        <v>207737.68471252601</v>
      </c>
      <c r="K260" s="3">
        <f>[1]sens_0_spec_90_PSA!K260</f>
        <v>124656.33504135501</v>
      </c>
      <c r="L260">
        <f>[1]sens_0_spec_90_PSA!L260</f>
        <v>1</v>
      </c>
      <c r="M260">
        <f>[1]sens_0_spec_90_PSA!M260</f>
        <v>0</v>
      </c>
    </row>
    <row r="261" spans="1:13" x14ac:dyDescent="0.25">
      <c r="A261">
        <v>260</v>
      </c>
      <c r="B261">
        <f>[1]sens_0_spec_90_PSA!B261</f>
        <v>0</v>
      </c>
      <c r="C261" t="str">
        <f>[1]sens_0_spec_90_PSA!C261</f>
        <v>NA</v>
      </c>
      <c r="D261">
        <f>[1]sens_0_spec_90_PSA!D261</f>
        <v>0</v>
      </c>
      <c r="E261" s="1">
        <f>[1]sens_0_spec_90_PSA!E261</f>
        <v>0.18140000000000001</v>
      </c>
      <c r="F261" s="1">
        <f>[1]sens_0_spec_90_PSA!F261</f>
        <v>5.9700000000000003E-2</v>
      </c>
      <c r="G261" s="2">
        <f>[1]sens_0_spec_90_PSA!G261</f>
        <v>19.350004885577398</v>
      </c>
      <c r="H261" s="2">
        <f>[1]sens_0_spec_90_PSA!H261</f>
        <v>11.6680141138129</v>
      </c>
      <c r="I261" s="2">
        <f>[1]sens_0_spec_90_PSA!I261</f>
        <v>6.8335240398315404</v>
      </c>
      <c r="J261" s="3">
        <f>[1]sens_0_spec_90_PSA!J261</f>
        <v>176225.07601600201</v>
      </c>
      <c r="K261" s="3">
        <f>[1]sens_0_spec_90_PSA!K261</f>
        <v>102903.078657526</v>
      </c>
      <c r="L261">
        <f>[1]sens_0_spec_90_PSA!L261</f>
        <v>1</v>
      </c>
      <c r="M261">
        <f>[1]sens_0_spec_90_PSA!M261</f>
        <v>0</v>
      </c>
    </row>
    <row r="262" spans="1:13" x14ac:dyDescent="0.25">
      <c r="A262">
        <v>261</v>
      </c>
      <c r="B262">
        <f>[1]sens_0_spec_90_PSA!B262</f>
        <v>0</v>
      </c>
      <c r="C262" t="str">
        <f>[1]sens_0_spec_90_PSA!C262</f>
        <v>NA</v>
      </c>
      <c r="D262">
        <f>[1]sens_0_spec_90_PSA!D262</f>
        <v>0</v>
      </c>
      <c r="E262" s="1">
        <f>[1]sens_0_spec_90_PSA!E262</f>
        <v>0.20330000000000001</v>
      </c>
      <c r="F262" s="1">
        <f>[1]sens_0_spec_90_PSA!F262</f>
        <v>4.82E-2</v>
      </c>
      <c r="G262" s="2">
        <f>[1]sens_0_spec_90_PSA!G262</f>
        <v>17.167670465509701</v>
      </c>
      <c r="H262" s="2">
        <f>[1]sens_0_spec_90_PSA!H262</f>
        <v>13.019097496929</v>
      </c>
      <c r="I262" s="2">
        <f>[1]sens_0_spec_90_PSA!I262</f>
        <v>7.8816405040518802</v>
      </c>
      <c r="J262" s="3">
        <f>[1]sens_0_spec_90_PSA!J262</f>
        <v>178233.73008570599</v>
      </c>
      <c r="K262" s="3">
        <f>[1]sens_0_spec_90_PSA!K262</f>
        <v>107907.094870806</v>
      </c>
      <c r="L262">
        <f>[1]sens_0_spec_90_PSA!L262</f>
        <v>1</v>
      </c>
      <c r="M262">
        <f>[1]sens_0_spec_90_PSA!M262</f>
        <v>0</v>
      </c>
    </row>
    <row r="263" spans="1:13" x14ac:dyDescent="0.25">
      <c r="A263">
        <v>262</v>
      </c>
      <c r="B263">
        <f>[1]sens_0_spec_90_PSA!B263</f>
        <v>0</v>
      </c>
      <c r="C263" t="str">
        <f>[1]sens_0_spec_90_PSA!C263</f>
        <v>NA</v>
      </c>
      <c r="D263">
        <f>[1]sens_0_spec_90_PSA!D263</f>
        <v>0</v>
      </c>
      <c r="E263" s="1">
        <f>[1]sens_0_spec_90_PSA!E263</f>
        <v>0.24360000000000001</v>
      </c>
      <c r="F263" s="1">
        <f>[1]sens_0_spec_90_PSA!F263</f>
        <v>4.8399999999999999E-2</v>
      </c>
      <c r="G263" s="2">
        <f>[1]sens_0_spec_90_PSA!G263</f>
        <v>16.632248142336401</v>
      </c>
      <c r="H263" s="2">
        <f>[1]sens_0_spec_90_PSA!H263</f>
        <v>12.310777604369999</v>
      </c>
      <c r="I263" s="2">
        <f>[1]sens_0_spec_90_PSA!I263</f>
        <v>7.3968035571864696</v>
      </c>
      <c r="J263" s="3">
        <f>[1]sens_0_spec_90_PSA!J263</f>
        <v>184819.872421084</v>
      </c>
      <c r="K263" s="3">
        <f>[1]sens_0_spec_90_PSA!K263</f>
        <v>110184.862758806</v>
      </c>
      <c r="L263">
        <f>[1]sens_0_spec_90_PSA!L263</f>
        <v>1</v>
      </c>
      <c r="M263">
        <f>[1]sens_0_spec_90_PSA!M263</f>
        <v>0</v>
      </c>
    </row>
    <row r="264" spans="1:13" x14ac:dyDescent="0.25">
      <c r="A264">
        <v>263</v>
      </c>
      <c r="B264">
        <f>[1]sens_0_spec_90_PSA!B264</f>
        <v>0</v>
      </c>
      <c r="C264" t="str">
        <f>[1]sens_0_spec_90_PSA!C264</f>
        <v>NA</v>
      </c>
      <c r="D264">
        <f>[1]sens_0_spec_90_PSA!D264</f>
        <v>0</v>
      </c>
      <c r="E264" s="1">
        <f>[1]sens_0_spec_90_PSA!E264</f>
        <v>0.16059999999999999</v>
      </c>
      <c r="F264" s="1">
        <f>[1]sens_0_spec_90_PSA!F264</f>
        <v>5.45E-2</v>
      </c>
      <c r="G264" s="2">
        <f>[1]sens_0_spec_90_PSA!G264</f>
        <v>18.027726969656001</v>
      </c>
      <c r="H264" s="2">
        <f>[1]sens_0_spec_90_PSA!H264</f>
        <v>13.501599196217599</v>
      </c>
      <c r="I264" s="2">
        <f>[1]sens_0_spec_90_PSA!I264</f>
        <v>8.1312343771225102</v>
      </c>
      <c r="J264" s="3">
        <f>[1]sens_0_spec_90_PSA!J264</f>
        <v>159994.62058968301</v>
      </c>
      <c r="K264" s="3">
        <f>[1]sens_0_spec_90_PSA!K264</f>
        <v>97060.606141817101</v>
      </c>
      <c r="L264">
        <f>[1]sens_0_spec_90_PSA!L264</f>
        <v>1</v>
      </c>
      <c r="M264">
        <f>[1]sens_0_spec_90_PSA!M264</f>
        <v>0</v>
      </c>
    </row>
    <row r="265" spans="1:13" x14ac:dyDescent="0.25">
      <c r="A265">
        <v>264</v>
      </c>
      <c r="B265">
        <f>[1]sens_0_spec_90_PSA!B265</f>
        <v>0</v>
      </c>
      <c r="C265" t="str">
        <f>[1]sens_0_spec_90_PSA!C265</f>
        <v>NA</v>
      </c>
      <c r="D265">
        <f>[1]sens_0_spec_90_PSA!D265</f>
        <v>0</v>
      </c>
      <c r="E265" s="1">
        <f>[1]sens_0_spec_90_PSA!E265</f>
        <v>0.1522</v>
      </c>
      <c r="F265" s="1">
        <f>[1]sens_0_spec_90_PSA!F265</f>
        <v>4.4200000000000003E-2</v>
      </c>
      <c r="G265" s="2">
        <f>[1]sens_0_spec_90_PSA!G265</f>
        <v>19.285002467618401</v>
      </c>
      <c r="H265" s="2">
        <f>[1]sens_0_spec_90_PSA!H265</f>
        <v>14.593943513701999</v>
      </c>
      <c r="I265" s="2">
        <f>[1]sens_0_spec_90_PSA!I265</f>
        <v>8.6608796221834901</v>
      </c>
      <c r="J265" s="3">
        <f>[1]sens_0_spec_90_PSA!J265</f>
        <v>198341.17955368699</v>
      </c>
      <c r="K265" s="3">
        <f>[1]sens_0_spec_90_PSA!K265</f>
        <v>116352.913571659</v>
      </c>
      <c r="L265">
        <f>[1]sens_0_spec_90_PSA!L265</f>
        <v>1</v>
      </c>
      <c r="M265">
        <f>[1]sens_0_spec_90_PSA!M265</f>
        <v>0</v>
      </c>
    </row>
    <row r="266" spans="1:13" x14ac:dyDescent="0.25">
      <c r="A266">
        <v>265</v>
      </c>
      <c r="B266">
        <f>[1]sens_0_spec_90_PSA!B266</f>
        <v>0</v>
      </c>
      <c r="C266" t="str">
        <f>[1]sens_0_spec_90_PSA!C266</f>
        <v>NA</v>
      </c>
      <c r="D266">
        <f>[1]sens_0_spec_90_PSA!D266</f>
        <v>0</v>
      </c>
      <c r="E266" s="1">
        <f>[1]sens_0_spec_90_PSA!E266</f>
        <v>0.28889999999999999</v>
      </c>
      <c r="F266" s="1">
        <f>[1]sens_0_spec_90_PSA!F266</f>
        <v>2.4899999999999999E-2</v>
      </c>
      <c r="G266" s="2">
        <f>[1]sens_0_spec_90_PSA!G266</f>
        <v>16.677080550917601</v>
      </c>
      <c r="H266" s="2">
        <f>[1]sens_0_spec_90_PSA!H266</f>
        <v>11.2747616481922</v>
      </c>
      <c r="I266" s="2">
        <f>[1]sens_0_spec_90_PSA!I266</f>
        <v>6.7032071033611</v>
      </c>
      <c r="J266" s="3">
        <f>[1]sens_0_spec_90_PSA!J266</f>
        <v>192771.755677429</v>
      </c>
      <c r="K266" s="3">
        <f>[1]sens_0_spec_90_PSA!K266</f>
        <v>113178.32313735</v>
      </c>
      <c r="L266">
        <f>[1]sens_0_spec_90_PSA!L266</f>
        <v>1</v>
      </c>
      <c r="M266">
        <f>[1]sens_0_spec_90_PSA!M266</f>
        <v>0</v>
      </c>
    </row>
    <row r="267" spans="1:13" x14ac:dyDescent="0.25">
      <c r="A267">
        <v>266</v>
      </c>
      <c r="B267">
        <f>[1]sens_0_spec_90_PSA!B267</f>
        <v>0</v>
      </c>
      <c r="C267" t="str">
        <f>[1]sens_0_spec_90_PSA!C267</f>
        <v>NA</v>
      </c>
      <c r="D267">
        <f>[1]sens_0_spec_90_PSA!D267</f>
        <v>0</v>
      </c>
      <c r="E267" s="1">
        <f>[1]sens_0_spec_90_PSA!E267</f>
        <v>0.21079999999999999</v>
      </c>
      <c r="F267" s="1">
        <f>[1]sens_0_spec_90_PSA!F267</f>
        <v>5.5500000000000001E-2</v>
      </c>
      <c r="G267" s="2">
        <f>[1]sens_0_spec_90_PSA!G267</f>
        <v>17.1260167179402</v>
      </c>
      <c r="H267" s="2">
        <f>[1]sens_0_spec_90_PSA!H267</f>
        <v>13.5669002833231</v>
      </c>
      <c r="I267" s="2">
        <f>[1]sens_0_spec_90_PSA!I267</f>
        <v>8.1700449173737297</v>
      </c>
      <c r="J267" s="3">
        <f>[1]sens_0_spec_90_PSA!J267</f>
        <v>191171.277719779</v>
      </c>
      <c r="K267" s="3">
        <f>[1]sens_0_spec_90_PSA!K267</f>
        <v>113934.873775227</v>
      </c>
      <c r="L267">
        <f>[1]sens_0_spec_90_PSA!L267</f>
        <v>1</v>
      </c>
      <c r="M267">
        <f>[1]sens_0_spec_90_PSA!M267</f>
        <v>0</v>
      </c>
    </row>
    <row r="268" spans="1:13" x14ac:dyDescent="0.25">
      <c r="A268">
        <v>267</v>
      </c>
      <c r="B268">
        <f>[1]sens_0_spec_90_PSA!B268</f>
        <v>0</v>
      </c>
      <c r="C268" t="str">
        <f>[1]sens_0_spec_90_PSA!C268</f>
        <v>NA</v>
      </c>
      <c r="D268">
        <f>[1]sens_0_spec_90_PSA!D268</f>
        <v>0</v>
      </c>
      <c r="E268" s="1">
        <f>[1]sens_0_spec_90_PSA!E268</f>
        <v>0.2064</v>
      </c>
      <c r="F268" s="1">
        <f>[1]sens_0_spec_90_PSA!F268</f>
        <v>2.8299999999999999E-2</v>
      </c>
      <c r="G268" s="2">
        <f>[1]sens_0_spec_90_PSA!G268</f>
        <v>18.3904414314365</v>
      </c>
      <c r="H268" s="2">
        <f>[1]sens_0_spec_90_PSA!H268</f>
        <v>12.6208944593906</v>
      </c>
      <c r="I268" s="2">
        <f>[1]sens_0_spec_90_PSA!I268</f>
        <v>7.5136723732869397</v>
      </c>
      <c r="J268" s="3">
        <f>[1]sens_0_spec_90_PSA!J268</f>
        <v>180450.92927516301</v>
      </c>
      <c r="K268" s="3">
        <f>[1]sens_0_spec_90_PSA!K268</f>
        <v>107067.047241751</v>
      </c>
      <c r="L268">
        <f>[1]sens_0_spec_90_PSA!L268</f>
        <v>1</v>
      </c>
      <c r="M268">
        <f>[1]sens_0_spec_90_PSA!M268</f>
        <v>0</v>
      </c>
    </row>
    <row r="269" spans="1:13" x14ac:dyDescent="0.25">
      <c r="A269">
        <v>268</v>
      </c>
      <c r="B269">
        <f>[1]sens_0_spec_90_PSA!B269</f>
        <v>0</v>
      </c>
      <c r="C269" t="str">
        <f>[1]sens_0_spec_90_PSA!C269</f>
        <v>NA</v>
      </c>
      <c r="D269">
        <f>[1]sens_0_spec_90_PSA!D269</f>
        <v>0</v>
      </c>
      <c r="E269" s="1">
        <f>[1]sens_0_spec_90_PSA!E269</f>
        <v>0.1366</v>
      </c>
      <c r="F269" s="1">
        <f>[1]sens_0_spec_90_PSA!F269</f>
        <v>4.5100000000000001E-2</v>
      </c>
      <c r="G269" s="2">
        <f>[1]sens_0_spec_90_PSA!G269</f>
        <v>19.0796361030587</v>
      </c>
      <c r="H269" s="2">
        <f>[1]sens_0_spec_90_PSA!H269</f>
        <v>15.062671824971</v>
      </c>
      <c r="I269" s="2">
        <f>[1]sens_0_spec_90_PSA!I269</f>
        <v>9.0149000866977307</v>
      </c>
      <c r="J269" s="3">
        <f>[1]sens_0_spec_90_PSA!J269</f>
        <v>234811.483507553</v>
      </c>
      <c r="K269" s="3">
        <f>[1]sens_0_spec_90_PSA!K269</f>
        <v>138149.248194313</v>
      </c>
      <c r="L269">
        <f>[1]sens_0_spec_90_PSA!L269</f>
        <v>1</v>
      </c>
      <c r="M269">
        <f>[1]sens_0_spec_90_PSA!M269</f>
        <v>0</v>
      </c>
    </row>
    <row r="270" spans="1:13" x14ac:dyDescent="0.25">
      <c r="A270">
        <v>269</v>
      </c>
      <c r="B270">
        <f>[1]sens_0_spec_90_PSA!B270</f>
        <v>0</v>
      </c>
      <c r="C270" t="str">
        <f>[1]sens_0_spec_90_PSA!C270</f>
        <v>NA</v>
      </c>
      <c r="D270">
        <f>[1]sens_0_spec_90_PSA!D270</f>
        <v>0</v>
      </c>
      <c r="E270" s="1">
        <f>[1]sens_0_spec_90_PSA!E270</f>
        <v>0.1653</v>
      </c>
      <c r="F270" s="1">
        <f>[1]sens_0_spec_90_PSA!F270</f>
        <v>3.5400000000000001E-2</v>
      </c>
      <c r="G270" s="2">
        <f>[1]sens_0_spec_90_PSA!G270</f>
        <v>18.991061988970799</v>
      </c>
      <c r="H270" s="2">
        <f>[1]sens_0_spec_90_PSA!H270</f>
        <v>10.843249094501401</v>
      </c>
      <c r="I270" s="2">
        <f>[1]sens_0_spec_90_PSA!I270</f>
        <v>6.4627651894063698</v>
      </c>
      <c r="J270" s="3">
        <f>[1]sens_0_spec_90_PSA!J270</f>
        <v>191652.85524072201</v>
      </c>
      <c r="K270" s="3">
        <f>[1]sens_0_spec_90_PSA!K270</f>
        <v>113489.854959395</v>
      </c>
      <c r="L270">
        <f>[1]sens_0_spec_90_PSA!L270</f>
        <v>1</v>
      </c>
      <c r="M270">
        <f>[1]sens_0_spec_90_PSA!M270</f>
        <v>0</v>
      </c>
    </row>
    <row r="271" spans="1:13" x14ac:dyDescent="0.25">
      <c r="A271">
        <v>270</v>
      </c>
      <c r="B271">
        <f>[1]sens_0_spec_90_PSA!B271</f>
        <v>0</v>
      </c>
      <c r="C271" t="str">
        <f>[1]sens_0_spec_90_PSA!C271</f>
        <v>NA</v>
      </c>
      <c r="D271">
        <f>[1]sens_0_spec_90_PSA!D271</f>
        <v>0</v>
      </c>
      <c r="E271" s="1">
        <f>[1]sens_0_spec_90_PSA!E271</f>
        <v>0.1963</v>
      </c>
      <c r="F271" s="1">
        <f>[1]sens_0_spec_90_PSA!F271</f>
        <v>3.5200000000000002E-2</v>
      </c>
      <c r="G271" s="2">
        <f>[1]sens_0_spec_90_PSA!G271</f>
        <v>18.2467224723631</v>
      </c>
      <c r="H271" s="2">
        <f>[1]sens_0_spec_90_PSA!H271</f>
        <v>12.927329956687601</v>
      </c>
      <c r="I271" s="2">
        <f>[1]sens_0_spec_90_PSA!I271</f>
        <v>7.7164473690808402</v>
      </c>
      <c r="J271" s="3">
        <f>[1]sens_0_spec_90_PSA!J271</f>
        <v>186236.23472556999</v>
      </c>
      <c r="K271" s="3">
        <f>[1]sens_0_spec_90_PSA!K271</f>
        <v>110511.72902920299</v>
      </c>
      <c r="L271">
        <f>[1]sens_0_spec_90_PSA!L271</f>
        <v>1</v>
      </c>
      <c r="M271">
        <f>[1]sens_0_spec_90_PSA!M271</f>
        <v>0</v>
      </c>
    </row>
    <row r="272" spans="1:13" x14ac:dyDescent="0.25">
      <c r="A272">
        <v>271</v>
      </c>
      <c r="B272">
        <f>[1]sens_0_spec_90_PSA!B272</f>
        <v>0</v>
      </c>
      <c r="C272" t="str">
        <f>[1]sens_0_spec_90_PSA!C272</f>
        <v>NA</v>
      </c>
      <c r="D272">
        <f>[1]sens_0_spec_90_PSA!D272</f>
        <v>0</v>
      </c>
      <c r="E272" s="1">
        <f>[1]sens_0_spec_90_PSA!E272</f>
        <v>0.25969999999999999</v>
      </c>
      <c r="F272" s="1">
        <f>[1]sens_0_spec_90_PSA!F272</f>
        <v>4.53E-2</v>
      </c>
      <c r="G272" s="2">
        <f>[1]sens_0_spec_90_PSA!G272</f>
        <v>17.562322727385599</v>
      </c>
      <c r="H272" s="2">
        <f>[1]sens_0_spec_90_PSA!H272</f>
        <v>11.770511454192199</v>
      </c>
      <c r="I272" s="2">
        <f>[1]sens_0_spec_90_PSA!I272</f>
        <v>6.9302074717656996</v>
      </c>
      <c r="J272" s="3">
        <f>[1]sens_0_spec_90_PSA!J272</f>
        <v>202486.04512799601</v>
      </c>
      <c r="K272" s="3">
        <f>[1]sens_0_spec_90_PSA!K272</f>
        <v>117319.890486738</v>
      </c>
      <c r="L272">
        <f>[1]sens_0_spec_90_PSA!L272</f>
        <v>1</v>
      </c>
      <c r="M272">
        <f>[1]sens_0_spec_90_PSA!M272</f>
        <v>0</v>
      </c>
    </row>
    <row r="273" spans="1:13" x14ac:dyDescent="0.25">
      <c r="A273">
        <v>272</v>
      </c>
      <c r="B273">
        <f>[1]sens_0_spec_90_PSA!B273</f>
        <v>0</v>
      </c>
      <c r="C273" t="str">
        <f>[1]sens_0_spec_90_PSA!C273</f>
        <v>NA</v>
      </c>
      <c r="D273">
        <f>[1]sens_0_spec_90_PSA!D273</f>
        <v>0</v>
      </c>
      <c r="E273" s="1">
        <f>[1]sens_0_spec_90_PSA!E273</f>
        <v>0.13089999999999999</v>
      </c>
      <c r="F273" s="1">
        <f>[1]sens_0_spec_90_PSA!F273</f>
        <v>3.9199999999999999E-2</v>
      </c>
      <c r="G273" s="2">
        <f>[1]sens_0_spec_90_PSA!G273</f>
        <v>19.413982810236199</v>
      </c>
      <c r="H273" s="2">
        <f>[1]sens_0_spec_90_PSA!H273</f>
        <v>15.052606211650099</v>
      </c>
      <c r="I273" s="2">
        <f>[1]sens_0_spec_90_PSA!I273</f>
        <v>8.9994152196137307</v>
      </c>
      <c r="J273" s="3">
        <f>[1]sens_0_spec_90_PSA!J273</f>
        <v>242352.96607427401</v>
      </c>
      <c r="K273" s="3">
        <f>[1]sens_0_spec_90_PSA!K273</f>
        <v>142367.233526942</v>
      </c>
      <c r="L273">
        <f>[1]sens_0_spec_90_PSA!L273</f>
        <v>1</v>
      </c>
      <c r="M273">
        <f>[1]sens_0_spec_90_PSA!M273</f>
        <v>0</v>
      </c>
    </row>
    <row r="274" spans="1:13" x14ac:dyDescent="0.25">
      <c r="A274">
        <v>273</v>
      </c>
      <c r="B274">
        <f>[1]sens_0_spec_90_PSA!B274</f>
        <v>0</v>
      </c>
      <c r="C274" t="str">
        <f>[1]sens_0_spec_90_PSA!C274</f>
        <v>NA</v>
      </c>
      <c r="D274">
        <f>[1]sens_0_spec_90_PSA!D274</f>
        <v>0</v>
      </c>
      <c r="E274" s="1">
        <f>[1]sens_0_spec_90_PSA!E274</f>
        <v>0.11</v>
      </c>
      <c r="F274" s="1">
        <f>[1]sens_0_spec_90_PSA!F274</f>
        <v>5.6500000000000002E-2</v>
      </c>
      <c r="G274" s="2">
        <f>[1]sens_0_spec_90_PSA!G274</f>
        <v>19.611846086566299</v>
      </c>
      <c r="H274" s="2">
        <f>[1]sens_0_spec_90_PSA!H274</f>
        <v>14.0633886910157</v>
      </c>
      <c r="I274" s="2">
        <f>[1]sens_0_spec_90_PSA!I274</f>
        <v>8.4228755184852595</v>
      </c>
      <c r="J274" s="3">
        <f>[1]sens_0_spec_90_PSA!J274</f>
        <v>210522.454335861</v>
      </c>
      <c r="K274" s="3">
        <f>[1]sens_0_spec_90_PSA!K274</f>
        <v>124693.349163256</v>
      </c>
      <c r="L274">
        <f>[1]sens_0_spec_90_PSA!L274</f>
        <v>1</v>
      </c>
      <c r="M274">
        <f>[1]sens_0_spec_90_PSA!M274</f>
        <v>0</v>
      </c>
    </row>
    <row r="275" spans="1:13" x14ac:dyDescent="0.25">
      <c r="A275">
        <v>274</v>
      </c>
      <c r="B275">
        <f>[1]sens_0_spec_90_PSA!B275</f>
        <v>0</v>
      </c>
      <c r="C275" t="str">
        <f>[1]sens_0_spec_90_PSA!C275</f>
        <v>NA</v>
      </c>
      <c r="D275">
        <f>[1]sens_0_spec_90_PSA!D275</f>
        <v>0</v>
      </c>
      <c r="E275" s="1">
        <f>[1]sens_0_spec_90_PSA!E275</f>
        <v>0.27750000000000002</v>
      </c>
      <c r="F275" s="1">
        <f>[1]sens_0_spec_90_PSA!F275</f>
        <v>4.2700000000000002E-2</v>
      </c>
      <c r="G275" s="2">
        <f>[1]sens_0_spec_90_PSA!G275</f>
        <v>16.7773327143213</v>
      </c>
      <c r="H275" s="2">
        <f>[1]sens_0_spec_90_PSA!H275</f>
        <v>13.523808169994499</v>
      </c>
      <c r="I275" s="2">
        <f>[1]sens_0_spec_90_PSA!I275</f>
        <v>8.0565836193638507</v>
      </c>
      <c r="J275" s="3">
        <f>[1]sens_0_spec_90_PSA!J275</f>
        <v>178811.23166632</v>
      </c>
      <c r="K275" s="3">
        <f>[1]sens_0_spec_90_PSA!K275</f>
        <v>105798.400756804</v>
      </c>
      <c r="L275">
        <f>[1]sens_0_spec_90_PSA!L275</f>
        <v>1</v>
      </c>
      <c r="M275">
        <f>[1]sens_0_spec_90_PSA!M275</f>
        <v>0</v>
      </c>
    </row>
    <row r="276" spans="1:13" x14ac:dyDescent="0.25">
      <c r="A276">
        <v>275</v>
      </c>
      <c r="B276">
        <f>[1]sens_0_spec_90_PSA!B276</f>
        <v>0</v>
      </c>
      <c r="C276" t="str">
        <f>[1]sens_0_spec_90_PSA!C276</f>
        <v>NA</v>
      </c>
      <c r="D276">
        <f>[1]sens_0_spec_90_PSA!D276</f>
        <v>0</v>
      </c>
      <c r="E276" s="1">
        <f>[1]sens_0_spec_90_PSA!E276</f>
        <v>0.22800000000000001</v>
      </c>
      <c r="F276" s="1">
        <f>[1]sens_0_spec_90_PSA!F276</f>
        <v>3.3399999999999999E-2</v>
      </c>
      <c r="G276" s="2">
        <f>[1]sens_0_spec_90_PSA!G276</f>
        <v>17.476052236703499</v>
      </c>
      <c r="H276" s="2">
        <f>[1]sens_0_spec_90_PSA!H276</f>
        <v>10.515779673734601</v>
      </c>
      <c r="I276" s="2">
        <f>[1]sens_0_spec_90_PSA!I276</f>
        <v>6.3098763720086604</v>
      </c>
      <c r="J276" s="3">
        <f>[1]sens_0_spec_90_PSA!J276</f>
        <v>189252.24779910999</v>
      </c>
      <c r="K276" s="3">
        <f>[1]sens_0_spec_90_PSA!K276</f>
        <v>112839.335422798</v>
      </c>
      <c r="L276">
        <f>[1]sens_0_spec_90_PSA!L276</f>
        <v>1</v>
      </c>
      <c r="M276">
        <f>[1]sens_0_spec_90_PSA!M276</f>
        <v>0</v>
      </c>
    </row>
    <row r="277" spans="1:13" x14ac:dyDescent="0.25">
      <c r="A277">
        <v>276</v>
      </c>
      <c r="B277">
        <f>[1]sens_0_spec_90_PSA!B277</f>
        <v>0</v>
      </c>
      <c r="C277" t="str">
        <f>[1]sens_0_spec_90_PSA!C277</f>
        <v>NA</v>
      </c>
      <c r="D277">
        <f>[1]sens_0_spec_90_PSA!D277</f>
        <v>0</v>
      </c>
      <c r="E277" s="1">
        <f>[1]sens_0_spec_90_PSA!E277</f>
        <v>0.30709999999999998</v>
      </c>
      <c r="F277" s="1">
        <f>[1]sens_0_spec_90_PSA!F277</f>
        <v>2.5499999999999998E-2</v>
      </c>
      <c r="G277" s="2">
        <f>[1]sens_0_spec_90_PSA!G277</f>
        <v>15.659445771758801</v>
      </c>
      <c r="H277" s="2">
        <f>[1]sens_0_spec_90_PSA!H277</f>
        <v>11.101045426288399</v>
      </c>
      <c r="I277" s="2">
        <f>[1]sens_0_spec_90_PSA!I277</f>
        <v>6.6775340727062096</v>
      </c>
      <c r="J277" s="3">
        <f>[1]sens_0_spec_90_PSA!J277</f>
        <v>158010.72317367001</v>
      </c>
      <c r="K277" s="3">
        <f>[1]sens_0_spec_90_PSA!K277</f>
        <v>95540.954492944104</v>
      </c>
      <c r="L277">
        <f>[1]sens_0_spec_90_PSA!L277</f>
        <v>1</v>
      </c>
      <c r="M277">
        <f>[1]sens_0_spec_90_PSA!M277</f>
        <v>0</v>
      </c>
    </row>
    <row r="278" spans="1:13" x14ac:dyDescent="0.25">
      <c r="A278">
        <v>277</v>
      </c>
      <c r="B278">
        <f>[1]sens_0_spec_90_PSA!B278</f>
        <v>0</v>
      </c>
      <c r="C278" t="str">
        <f>[1]sens_0_spec_90_PSA!C278</f>
        <v>NA</v>
      </c>
      <c r="D278">
        <f>[1]sens_0_spec_90_PSA!D278</f>
        <v>0</v>
      </c>
      <c r="E278" s="1">
        <f>[1]sens_0_spec_90_PSA!E278</f>
        <v>0.26469999999999999</v>
      </c>
      <c r="F278" s="1">
        <f>[1]sens_0_spec_90_PSA!F278</f>
        <v>3.3300000000000003E-2</v>
      </c>
      <c r="G278" s="2">
        <f>[1]sens_0_spec_90_PSA!G278</f>
        <v>16.264960824953501</v>
      </c>
      <c r="H278" s="2">
        <f>[1]sens_0_spec_90_PSA!H278</f>
        <v>12.582675946868299</v>
      </c>
      <c r="I278" s="2">
        <f>[1]sens_0_spec_90_PSA!I278</f>
        <v>7.59283121585276</v>
      </c>
      <c r="J278" s="3">
        <f>[1]sens_0_spec_90_PSA!J278</f>
        <v>175616.86882150799</v>
      </c>
      <c r="K278" s="3">
        <f>[1]sens_0_spec_90_PSA!K278</f>
        <v>105650.014219934</v>
      </c>
      <c r="L278">
        <f>[1]sens_0_spec_90_PSA!L278</f>
        <v>1</v>
      </c>
      <c r="M278">
        <f>[1]sens_0_spec_90_PSA!M278</f>
        <v>0</v>
      </c>
    </row>
    <row r="279" spans="1:13" x14ac:dyDescent="0.25">
      <c r="A279">
        <v>278</v>
      </c>
      <c r="B279">
        <f>[1]sens_0_spec_90_PSA!B279</f>
        <v>0</v>
      </c>
      <c r="C279" t="str">
        <f>[1]sens_0_spec_90_PSA!C279</f>
        <v>NA</v>
      </c>
      <c r="D279">
        <f>[1]sens_0_spec_90_PSA!D279</f>
        <v>0</v>
      </c>
      <c r="E279" s="1">
        <f>[1]sens_0_spec_90_PSA!E279</f>
        <v>0.16619999999999999</v>
      </c>
      <c r="F279" s="1">
        <f>[1]sens_0_spec_90_PSA!F279</f>
        <v>4.1599999999999998E-2</v>
      </c>
      <c r="G279" s="2">
        <f>[1]sens_0_spec_90_PSA!G279</f>
        <v>18.777349862724598</v>
      </c>
      <c r="H279" s="2">
        <f>[1]sens_0_spec_90_PSA!H279</f>
        <v>12.683750496321601</v>
      </c>
      <c r="I279" s="2">
        <f>[1]sens_0_spec_90_PSA!I279</f>
        <v>7.5583805475407404</v>
      </c>
      <c r="J279" s="3">
        <f>[1]sens_0_spec_90_PSA!J279</f>
        <v>234655.46436226901</v>
      </c>
      <c r="K279" s="3">
        <f>[1]sens_0_spec_90_PSA!K279</f>
        <v>137097.898202382</v>
      </c>
      <c r="L279">
        <f>[1]sens_0_spec_90_PSA!L279</f>
        <v>1</v>
      </c>
      <c r="M279">
        <f>[1]sens_0_spec_90_PSA!M279</f>
        <v>0</v>
      </c>
    </row>
    <row r="280" spans="1:13" x14ac:dyDescent="0.25">
      <c r="A280">
        <v>279</v>
      </c>
      <c r="B280">
        <f>[1]sens_0_spec_90_PSA!B280</f>
        <v>0</v>
      </c>
      <c r="C280" t="str">
        <f>[1]sens_0_spec_90_PSA!C280</f>
        <v>NA</v>
      </c>
      <c r="D280">
        <f>[1]sens_0_spec_90_PSA!D280</f>
        <v>0</v>
      </c>
      <c r="E280" s="1">
        <f>[1]sens_0_spec_90_PSA!E280</f>
        <v>0.15090000000000001</v>
      </c>
      <c r="F280" s="1">
        <f>[1]sens_0_spec_90_PSA!F280</f>
        <v>3.4599999999999999E-2</v>
      </c>
      <c r="G280" s="2">
        <f>[1]sens_0_spec_90_PSA!G280</f>
        <v>19.745263568247399</v>
      </c>
      <c r="H280" s="2">
        <f>[1]sens_0_spec_90_PSA!H280</f>
        <v>15.1612382593945</v>
      </c>
      <c r="I280" s="2">
        <f>[1]sens_0_spec_90_PSA!I280</f>
        <v>8.9875017794129608</v>
      </c>
      <c r="J280" s="3">
        <f>[1]sens_0_spec_90_PSA!J280</f>
        <v>187605.74903537199</v>
      </c>
      <c r="K280" s="3">
        <f>[1]sens_0_spec_90_PSA!K280</f>
        <v>110708.86843536999</v>
      </c>
      <c r="L280">
        <f>[1]sens_0_spec_90_PSA!L280</f>
        <v>1</v>
      </c>
      <c r="M280">
        <f>[1]sens_0_spec_90_PSA!M280</f>
        <v>0</v>
      </c>
    </row>
    <row r="281" spans="1:13" x14ac:dyDescent="0.25">
      <c r="A281">
        <v>280</v>
      </c>
      <c r="B281">
        <f>[1]sens_0_spec_90_PSA!B281</f>
        <v>0</v>
      </c>
      <c r="C281" t="str">
        <f>[1]sens_0_spec_90_PSA!C281</f>
        <v>NA</v>
      </c>
      <c r="D281">
        <f>[1]sens_0_spec_90_PSA!D281</f>
        <v>0</v>
      </c>
      <c r="E281" s="1">
        <f>[1]sens_0_spec_90_PSA!E281</f>
        <v>0.127</v>
      </c>
      <c r="F281" s="1">
        <f>[1]sens_0_spec_90_PSA!F281</f>
        <v>4.6600000000000003E-2</v>
      </c>
      <c r="G281" s="2">
        <f>[1]sens_0_spec_90_PSA!G281</f>
        <v>20.28979995033</v>
      </c>
      <c r="H281" s="2">
        <f>[1]sens_0_spec_90_PSA!H281</f>
        <v>15.051768073263</v>
      </c>
      <c r="I281" s="2">
        <f>[1]sens_0_spec_90_PSA!I281</f>
        <v>8.8604703872804098</v>
      </c>
      <c r="J281" s="3">
        <f>[1]sens_0_spec_90_PSA!J281</f>
        <v>269428.30626935902</v>
      </c>
      <c r="K281" s="3">
        <f>[1]sens_0_spec_90_PSA!K281</f>
        <v>154272.57382512401</v>
      </c>
      <c r="L281">
        <f>[1]sens_0_spec_90_PSA!L281</f>
        <v>1</v>
      </c>
      <c r="M281">
        <f>[1]sens_0_spec_90_PSA!M281</f>
        <v>0</v>
      </c>
    </row>
    <row r="282" spans="1:13" x14ac:dyDescent="0.25">
      <c r="A282">
        <v>281</v>
      </c>
      <c r="B282">
        <f>[1]sens_0_spec_90_PSA!B282</f>
        <v>0</v>
      </c>
      <c r="C282" t="str">
        <f>[1]sens_0_spec_90_PSA!C282</f>
        <v>NA</v>
      </c>
      <c r="D282">
        <f>[1]sens_0_spec_90_PSA!D282</f>
        <v>0</v>
      </c>
      <c r="E282" s="1">
        <f>[1]sens_0_spec_90_PSA!E282</f>
        <v>0.15190000000000001</v>
      </c>
      <c r="F282" s="1">
        <f>[1]sens_0_spec_90_PSA!F282</f>
        <v>4.8599999999999997E-2</v>
      </c>
      <c r="G282" s="2">
        <f>[1]sens_0_spec_90_PSA!G282</f>
        <v>19.016656018004401</v>
      </c>
      <c r="H282" s="2">
        <f>[1]sens_0_spec_90_PSA!H282</f>
        <v>12.8429810052086</v>
      </c>
      <c r="I282" s="2">
        <f>[1]sens_0_spec_90_PSA!I282</f>
        <v>7.6239431042529802</v>
      </c>
      <c r="J282" s="3">
        <f>[1]sens_0_spec_90_PSA!J282</f>
        <v>193323.26101056399</v>
      </c>
      <c r="K282" s="3">
        <f>[1]sens_0_spec_90_PSA!K282</f>
        <v>113696.68660982</v>
      </c>
      <c r="L282">
        <f>[1]sens_0_spec_90_PSA!L282</f>
        <v>1</v>
      </c>
      <c r="M282">
        <f>[1]sens_0_spec_90_PSA!M282</f>
        <v>0</v>
      </c>
    </row>
    <row r="283" spans="1:13" x14ac:dyDescent="0.25">
      <c r="A283">
        <v>282</v>
      </c>
      <c r="B283">
        <f>[1]sens_0_spec_90_PSA!B283</f>
        <v>0</v>
      </c>
      <c r="C283" t="str">
        <f>[1]sens_0_spec_90_PSA!C283</f>
        <v>NA</v>
      </c>
      <c r="D283">
        <f>[1]sens_0_spec_90_PSA!D283</f>
        <v>0</v>
      </c>
      <c r="E283" s="1">
        <f>[1]sens_0_spec_90_PSA!E283</f>
        <v>0.22570000000000001</v>
      </c>
      <c r="F283" s="1">
        <f>[1]sens_0_spec_90_PSA!F283</f>
        <v>2.23E-2</v>
      </c>
      <c r="G283" s="2">
        <f>[1]sens_0_spec_90_PSA!G283</f>
        <v>18.562360673748302</v>
      </c>
      <c r="H283" s="2">
        <f>[1]sens_0_spec_90_PSA!H283</f>
        <v>12.5550984717154</v>
      </c>
      <c r="I283" s="2">
        <f>[1]sens_0_spec_90_PSA!I283</f>
        <v>7.4137854446171803</v>
      </c>
      <c r="J283" s="3">
        <f>[1]sens_0_spec_90_PSA!J283</f>
        <v>181688.78368767301</v>
      </c>
      <c r="K283" s="3">
        <f>[1]sens_0_spec_90_PSA!K283</f>
        <v>106795.212286799</v>
      </c>
      <c r="L283">
        <f>[1]sens_0_spec_90_PSA!L283</f>
        <v>1</v>
      </c>
      <c r="M283">
        <f>[1]sens_0_spec_90_PSA!M283</f>
        <v>0</v>
      </c>
    </row>
    <row r="284" spans="1:13" x14ac:dyDescent="0.25">
      <c r="A284">
        <v>283</v>
      </c>
      <c r="B284">
        <f>[1]sens_0_spec_90_PSA!B284</f>
        <v>0</v>
      </c>
      <c r="C284" t="str">
        <f>[1]sens_0_spec_90_PSA!C284</f>
        <v>NA</v>
      </c>
      <c r="D284">
        <f>[1]sens_0_spec_90_PSA!D284</f>
        <v>0</v>
      </c>
      <c r="E284" s="1">
        <f>[1]sens_0_spec_90_PSA!E284</f>
        <v>0.153</v>
      </c>
      <c r="F284" s="1">
        <f>[1]sens_0_spec_90_PSA!F284</f>
        <v>3.7600000000000001E-2</v>
      </c>
      <c r="G284" s="2">
        <f>[1]sens_0_spec_90_PSA!G284</f>
        <v>18.935027168984899</v>
      </c>
      <c r="H284" s="2">
        <f>[1]sens_0_spec_90_PSA!H284</f>
        <v>13.280098184071701</v>
      </c>
      <c r="I284" s="2">
        <f>[1]sens_0_spec_90_PSA!I284</f>
        <v>7.9208556505967502</v>
      </c>
      <c r="J284" s="3">
        <f>[1]sens_0_spec_90_PSA!J284</f>
        <v>205540.93999136699</v>
      </c>
      <c r="K284" s="3">
        <f>[1]sens_0_spec_90_PSA!K284</f>
        <v>121259.110654666</v>
      </c>
      <c r="L284">
        <f>[1]sens_0_spec_90_PSA!L284</f>
        <v>1</v>
      </c>
      <c r="M284">
        <f>[1]sens_0_spec_90_PSA!M284</f>
        <v>0</v>
      </c>
    </row>
    <row r="285" spans="1:13" x14ac:dyDescent="0.25">
      <c r="A285">
        <v>284</v>
      </c>
      <c r="B285">
        <f>[1]sens_0_spec_90_PSA!B285</f>
        <v>0</v>
      </c>
      <c r="C285" t="str">
        <f>[1]sens_0_spec_90_PSA!C285</f>
        <v>NA</v>
      </c>
      <c r="D285">
        <f>[1]sens_0_spec_90_PSA!D285</f>
        <v>0</v>
      </c>
      <c r="E285" s="1">
        <f>[1]sens_0_spec_90_PSA!E285</f>
        <v>0.16209999999999999</v>
      </c>
      <c r="F285" s="1">
        <f>[1]sens_0_spec_90_PSA!F285</f>
        <v>4.0500000000000001E-2</v>
      </c>
      <c r="G285" s="2">
        <f>[1]sens_0_spec_90_PSA!G285</f>
        <v>18.4987164979058</v>
      </c>
      <c r="H285" s="2">
        <f>[1]sens_0_spec_90_PSA!H285</f>
        <v>14.1413391552272</v>
      </c>
      <c r="I285" s="2">
        <f>[1]sens_0_spec_90_PSA!I285</f>
        <v>8.4658779579715393</v>
      </c>
      <c r="J285" s="3">
        <f>[1]sens_0_spec_90_PSA!J285</f>
        <v>286248.69596724701</v>
      </c>
      <c r="K285" s="3">
        <f>[1]sens_0_spec_90_PSA!K285</f>
        <v>166751.120485375</v>
      </c>
      <c r="L285">
        <f>[1]sens_0_spec_90_PSA!L285</f>
        <v>1</v>
      </c>
      <c r="M285">
        <f>[1]sens_0_spec_90_PSA!M285</f>
        <v>0</v>
      </c>
    </row>
    <row r="286" spans="1:13" x14ac:dyDescent="0.25">
      <c r="A286">
        <v>285</v>
      </c>
      <c r="B286">
        <f>[1]sens_0_spec_90_PSA!B286</f>
        <v>0</v>
      </c>
      <c r="C286" t="str">
        <f>[1]sens_0_spec_90_PSA!C286</f>
        <v>NA</v>
      </c>
      <c r="D286">
        <f>[1]sens_0_spec_90_PSA!D286</f>
        <v>0</v>
      </c>
      <c r="E286" s="1">
        <f>[1]sens_0_spec_90_PSA!E286</f>
        <v>0.19500000000000001</v>
      </c>
      <c r="F286" s="1">
        <f>[1]sens_0_spec_90_PSA!F286</f>
        <v>0.03</v>
      </c>
      <c r="G286" s="2">
        <f>[1]sens_0_spec_90_PSA!G286</f>
        <v>19.394290559259598</v>
      </c>
      <c r="H286" s="2">
        <f>[1]sens_0_spec_90_PSA!H286</f>
        <v>13.2359090943099</v>
      </c>
      <c r="I286" s="2">
        <f>[1]sens_0_spec_90_PSA!I286</f>
        <v>7.8079646644332099</v>
      </c>
      <c r="J286" s="3">
        <f>[1]sens_0_spec_90_PSA!J286</f>
        <v>223232.754896611</v>
      </c>
      <c r="K286" s="3">
        <f>[1]sens_0_spec_90_PSA!K286</f>
        <v>129115.754705017</v>
      </c>
      <c r="L286">
        <f>[1]sens_0_spec_90_PSA!L286</f>
        <v>1</v>
      </c>
      <c r="M286">
        <f>[1]sens_0_spec_90_PSA!M286</f>
        <v>0</v>
      </c>
    </row>
    <row r="287" spans="1:13" x14ac:dyDescent="0.25">
      <c r="A287">
        <v>286</v>
      </c>
      <c r="B287">
        <f>[1]sens_0_spec_90_PSA!B287</f>
        <v>0</v>
      </c>
      <c r="C287" t="str">
        <f>[1]sens_0_spec_90_PSA!C287</f>
        <v>NA</v>
      </c>
      <c r="D287">
        <f>[1]sens_0_spec_90_PSA!D287</f>
        <v>0</v>
      </c>
      <c r="E287" s="1">
        <f>[1]sens_0_spec_90_PSA!E287</f>
        <v>0.19020000000000001</v>
      </c>
      <c r="F287" s="1">
        <f>[1]sens_0_spec_90_PSA!F287</f>
        <v>2.4299999999999999E-2</v>
      </c>
      <c r="G287" s="2">
        <f>[1]sens_0_spec_90_PSA!G287</f>
        <v>18.065467070891899</v>
      </c>
      <c r="H287" s="2">
        <f>[1]sens_0_spec_90_PSA!H287</f>
        <v>13.5783766477856</v>
      </c>
      <c r="I287" s="2">
        <f>[1]sens_0_spec_90_PSA!I287</f>
        <v>8.1752090050995001</v>
      </c>
      <c r="J287" s="3">
        <f>[1]sens_0_spec_90_PSA!J287</f>
        <v>165635.23267732101</v>
      </c>
      <c r="K287" s="3">
        <f>[1]sens_0_spec_90_PSA!K287</f>
        <v>100040.45620288599</v>
      </c>
      <c r="L287">
        <f>[1]sens_0_spec_90_PSA!L287</f>
        <v>1</v>
      </c>
      <c r="M287">
        <f>[1]sens_0_spec_90_PSA!M287</f>
        <v>0</v>
      </c>
    </row>
    <row r="288" spans="1:13" x14ac:dyDescent="0.25">
      <c r="A288">
        <v>287</v>
      </c>
      <c r="B288">
        <f>[1]sens_0_spec_90_PSA!B288</f>
        <v>0</v>
      </c>
      <c r="C288" t="str">
        <f>[1]sens_0_spec_90_PSA!C288</f>
        <v>NA</v>
      </c>
      <c r="D288">
        <f>[1]sens_0_spec_90_PSA!D288</f>
        <v>0</v>
      </c>
      <c r="E288" s="1">
        <f>[1]sens_0_spec_90_PSA!E288</f>
        <v>0.23169999999999999</v>
      </c>
      <c r="F288" s="1">
        <f>[1]sens_0_spec_90_PSA!F288</f>
        <v>3.9100000000000003E-2</v>
      </c>
      <c r="G288" s="2">
        <f>[1]sens_0_spec_90_PSA!G288</f>
        <v>16.196878713708301</v>
      </c>
      <c r="H288" s="2">
        <f>[1]sens_0_spec_90_PSA!H288</f>
        <v>12.135149790824</v>
      </c>
      <c r="I288" s="2">
        <f>[1]sens_0_spec_90_PSA!I288</f>
        <v>7.4059278551962899</v>
      </c>
      <c r="J288" s="3">
        <f>[1]sens_0_spec_90_PSA!J288</f>
        <v>180857.631594848</v>
      </c>
      <c r="K288" s="3">
        <f>[1]sens_0_spec_90_PSA!K288</f>
        <v>110267.468459497</v>
      </c>
      <c r="L288">
        <f>[1]sens_0_spec_90_PSA!L288</f>
        <v>1</v>
      </c>
      <c r="M288">
        <f>[1]sens_0_spec_90_PSA!M288</f>
        <v>0</v>
      </c>
    </row>
    <row r="289" spans="1:13" x14ac:dyDescent="0.25">
      <c r="A289">
        <v>288</v>
      </c>
      <c r="B289">
        <f>[1]sens_0_spec_90_PSA!B289</f>
        <v>0</v>
      </c>
      <c r="C289" t="str">
        <f>[1]sens_0_spec_90_PSA!C289</f>
        <v>NA</v>
      </c>
      <c r="D289">
        <f>[1]sens_0_spec_90_PSA!D289</f>
        <v>0</v>
      </c>
      <c r="E289" s="1">
        <f>[1]sens_0_spec_90_PSA!E289</f>
        <v>0.19980000000000001</v>
      </c>
      <c r="F289" s="1">
        <f>[1]sens_0_spec_90_PSA!F289</f>
        <v>3.3099999999999997E-2</v>
      </c>
      <c r="G289" s="2">
        <f>[1]sens_0_spec_90_PSA!G289</f>
        <v>17.4106812598475</v>
      </c>
      <c r="H289" s="2">
        <f>[1]sens_0_spec_90_PSA!H289</f>
        <v>11.4642959748272</v>
      </c>
      <c r="I289" s="2">
        <f>[1]sens_0_spec_90_PSA!I289</f>
        <v>6.91425322692458</v>
      </c>
      <c r="J289" s="3">
        <f>[1]sens_0_spec_90_PSA!J289</f>
        <v>207508.470080395</v>
      </c>
      <c r="K289" s="3">
        <f>[1]sens_0_spec_90_PSA!K289</f>
        <v>124043.319202442</v>
      </c>
      <c r="L289">
        <f>[1]sens_0_spec_90_PSA!L289</f>
        <v>1</v>
      </c>
      <c r="M289">
        <f>[1]sens_0_spec_90_PSA!M289</f>
        <v>0</v>
      </c>
    </row>
    <row r="290" spans="1:13" x14ac:dyDescent="0.25">
      <c r="A290">
        <v>289</v>
      </c>
      <c r="B290">
        <f>[1]sens_0_spec_90_PSA!B290</f>
        <v>0</v>
      </c>
      <c r="C290" t="str">
        <f>[1]sens_0_spec_90_PSA!C290</f>
        <v>NA</v>
      </c>
      <c r="D290">
        <f>[1]sens_0_spec_90_PSA!D290</f>
        <v>0</v>
      </c>
      <c r="E290" s="1">
        <f>[1]sens_0_spec_90_PSA!E290</f>
        <v>0.1908</v>
      </c>
      <c r="F290" s="1">
        <f>[1]sens_0_spec_90_PSA!F290</f>
        <v>2.76E-2</v>
      </c>
      <c r="G290" s="2">
        <f>[1]sens_0_spec_90_PSA!G290</f>
        <v>18.148375173363899</v>
      </c>
      <c r="H290" s="2">
        <f>[1]sens_0_spec_90_PSA!H290</f>
        <v>11.8710731327979</v>
      </c>
      <c r="I290" s="2">
        <f>[1]sens_0_spec_90_PSA!I290</f>
        <v>7.1330073886790304</v>
      </c>
      <c r="J290" s="3">
        <f>[1]sens_0_spec_90_PSA!J290</f>
        <v>182788.97943211201</v>
      </c>
      <c r="K290" s="3">
        <f>[1]sens_0_spec_90_PSA!K290</f>
        <v>109579.778643446</v>
      </c>
      <c r="L290">
        <f>[1]sens_0_spec_90_PSA!L290</f>
        <v>1</v>
      </c>
      <c r="M290">
        <f>[1]sens_0_spec_90_PSA!M290</f>
        <v>0</v>
      </c>
    </row>
    <row r="291" spans="1:13" x14ac:dyDescent="0.25">
      <c r="A291">
        <v>290</v>
      </c>
      <c r="B291">
        <f>[1]sens_0_spec_90_PSA!B291</f>
        <v>0</v>
      </c>
      <c r="C291" t="str">
        <f>[1]sens_0_spec_90_PSA!C291</f>
        <v>NA</v>
      </c>
      <c r="D291">
        <f>[1]sens_0_spec_90_PSA!D291</f>
        <v>0</v>
      </c>
      <c r="E291" s="1">
        <f>[1]sens_0_spec_90_PSA!E291</f>
        <v>0.20899999999999999</v>
      </c>
      <c r="F291" s="1">
        <f>[1]sens_0_spec_90_PSA!F291</f>
        <v>3.7900000000000003E-2</v>
      </c>
      <c r="G291" s="2">
        <f>[1]sens_0_spec_90_PSA!G291</f>
        <v>18.610386280875598</v>
      </c>
      <c r="H291" s="2">
        <f>[1]sens_0_spec_90_PSA!H291</f>
        <v>13.811475168545901</v>
      </c>
      <c r="I291" s="2">
        <f>[1]sens_0_spec_90_PSA!I291</f>
        <v>8.1787235848114506</v>
      </c>
      <c r="J291" s="3">
        <f>[1]sens_0_spec_90_PSA!J291</f>
        <v>182288.39208836999</v>
      </c>
      <c r="K291" s="3">
        <f>[1]sens_0_spec_90_PSA!K291</f>
        <v>107269.138792567</v>
      </c>
      <c r="L291">
        <f>[1]sens_0_spec_90_PSA!L291</f>
        <v>1</v>
      </c>
      <c r="M291">
        <f>[1]sens_0_spec_90_PSA!M291</f>
        <v>0</v>
      </c>
    </row>
    <row r="292" spans="1:13" x14ac:dyDescent="0.25">
      <c r="A292">
        <v>291</v>
      </c>
      <c r="B292">
        <f>[1]sens_0_spec_90_PSA!B292</f>
        <v>0</v>
      </c>
      <c r="C292" t="str">
        <f>[1]sens_0_spec_90_PSA!C292</f>
        <v>NA</v>
      </c>
      <c r="D292">
        <f>[1]sens_0_spec_90_PSA!D292</f>
        <v>0</v>
      </c>
      <c r="E292" s="1">
        <f>[1]sens_0_spec_90_PSA!E292</f>
        <v>0.2165</v>
      </c>
      <c r="F292" s="1">
        <f>[1]sens_0_spec_90_PSA!F292</f>
        <v>2.5999999999999999E-2</v>
      </c>
      <c r="G292" s="2">
        <f>[1]sens_0_spec_90_PSA!G292</f>
        <v>17.803274360679101</v>
      </c>
      <c r="H292" s="2">
        <f>[1]sens_0_spec_90_PSA!H292</f>
        <v>12.773359791957301</v>
      </c>
      <c r="I292" s="2">
        <f>[1]sens_0_spec_90_PSA!I292</f>
        <v>7.6684748074083497</v>
      </c>
      <c r="J292" s="3">
        <f>[1]sens_0_spec_90_PSA!J292</f>
        <v>197089.85763691101</v>
      </c>
      <c r="K292" s="3">
        <f>[1]sens_0_spec_90_PSA!K292</f>
        <v>117586.185742036</v>
      </c>
      <c r="L292">
        <f>[1]sens_0_spec_90_PSA!L292</f>
        <v>1</v>
      </c>
      <c r="M292">
        <f>[1]sens_0_spec_90_PSA!M292</f>
        <v>0</v>
      </c>
    </row>
    <row r="293" spans="1:13" x14ac:dyDescent="0.25">
      <c r="A293">
        <v>292</v>
      </c>
      <c r="B293">
        <f>[1]sens_0_spec_90_PSA!B293</f>
        <v>0</v>
      </c>
      <c r="C293" t="str">
        <f>[1]sens_0_spec_90_PSA!C293</f>
        <v>NA</v>
      </c>
      <c r="D293">
        <f>[1]sens_0_spec_90_PSA!D293</f>
        <v>0</v>
      </c>
      <c r="E293" s="1">
        <f>[1]sens_0_spec_90_PSA!E293</f>
        <v>0.19259999999999999</v>
      </c>
      <c r="F293" s="1">
        <f>[1]sens_0_spec_90_PSA!F293</f>
        <v>4.3299999999999998E-2</v>
      </c>
      <c r="G293" s="2">
        <f>[1]sens_0_spec_90_PSA!G293</f>
        <v>17.7908552132441</v>
      </c>
      <c r="H293" s="2">
        <f>[1]sens_0_spec_90_PSA!H293</f>
        <v>11.896399670609901</v>
      </c>
      <c r="I293" s="2">
        <f>[1]sens_0_spec_90_PSA!I293</f>
        <v>7.1495584662354004</v>
      </c>
      <c r="J293" s="3">
        <f>[1]sens_0_spec_90_PSA!J293</f>
        <v>203695.348092751</v>
      </c>
      <c r="K293" s="3">
        <f>[1]sens_0_spec_90_PSA!K293</f>
        <v>121086.557607361</v>
      </c>
      <c r="L293">
        <f>[1]sens_0_spec_90_PSA!L293</f>
        <v>1</v>
      </c>
      <c r="M293">
        <f>[1]sens_0_spec_90_PSA!M293</f>
        <v>0</v>
      </c>
    </row>
    <row r="294" spans="1:13" x14ac:dyDescent="0.25">
      <c r="A294">
        <v>293</v>
      </c>
      <c r="B294">
        <f>[1]sens_0_spec_90_PSA!B294</f>
        <v>0</v>
      </c>
      <c r="C294" t="str">
        <f>[1]sens_0_spec_90_PSA!C294</f>
        <v>NA</v>
      </c>
      <c r="D294">
        <f>[1]sens_0_spec_90_PSA!D294</f>
        <v>0</v>
      </c>
      <c r="E294" s="1">
        <f>[1]sens_0_spec_90_PSA!E294</f>
        <v>0.28010000000000002</v>
      </c>
      <c r="F294" s="1">
        <f>[1]sens_0_spec_90_PSA!F294</f>
        <v>4.3200000000000002E-2</v>
      </c>
      <c r="G294" s="2">
        <f>[1]sens_0_spec_90_PSA!G294</f>
        <v>16.381115202187001</v>
      </c>
      <c r="H294" s="2">
        <f>[1]sens_0_spec_90_PSA!H294</f>
        <v>10.9396277655884</v>
      </c>
      <c r="I294" s="2">
        <f>[1]sens_0_spec_90_PSA!I294</f>
        <v>6.5290266143293998</v>
      </c>
      <c r="J294" s="3">
        <f>[1]sens_0_spec_90_PSA!J294</f>
        <v>140530.301353413</v>
      </c>
      <c r="K294" s="3">
        <f>[1]sens_0_spec_90_PSA!K294</f>
        <v>84958.118897086606</v>
      </c>
      <c r="L294">
        <f>[1]sens_0_spec_90_PSA!L294</f>
        <v>1</v>
      </c>
      <c r="M294">
        <f>[1]sens_0_spec_90_PSA!M294</f>
        <v>0</v>
      </c>
    </row>
    <row r="295" spans="1:13" x14ac:dyDescent="0.25">
      <c r="A295">
        <v>294</v>
      </c>
      <c r="B295">
        <f>[1]sens_0_spec_90_PSA!B295</f>
        <v>0</v>
      </c>
      <c r="C295" t="str">
        <f>[1]sens_0_spec_90_PSA!C295</f>
        <v>NA</v>
      </c>
      <c r="D295">
        <f>[1]sens_0_spec_90_PSA!D295</f>
        <v>0</v>
      </c>
      <c r="E295" s="1">
        <f>[1]sens_0_spec_90_PSA!E295</f>
        <v>0.188</v>
      </c>
      <c r="F295" s="1">
        <f>[1]sens_0_spec_90_PSA!F295</f>
        <v>5.0099999999999999E-2</v>
      </c>
      <c r="G295" s="2">
        <f>[1]sens_0_spec_90_PSA!G295</f>
        <v>17.882710194853299</v>
      </c>
      <c r="H295" s="2">
        <f>[1]sens_0_spec_90_PSA!H295</f>
        <v>12.759082264876399</v>
      </c>
      <c r="I295" s="2">
        <f>[1]sens_0_spec_90_PSA!I295</f>
        <v>7.6462211574248196</v>
      </c>
      <c r="J295" s="3">
        <f>[1]sens_0_spec_90_PSA!J295</f>
        <v>197615.822052259</v>
      </c>
      <c r="K295" s="3">
        <f>[1]sens_0_spec_90_PSA!K295</f>
        <v>117446.227253683</v>
      </c>
      <c r="L295">
        <f>[1]sens_0_spec_90_PSA!L295</f>
        <v>1</v>
      </c>
      <c r="M295">
        <f>[1]sens_0_spec_90_PSA!M295</f>
        <v>0</v>
      </c>
    </row>
    <row r="296" spans="1:13" x14ac:dyDescent="0.25">
      <c r="A296">
        <v>295</v>
      </c>
      <c r="B296">
        <f>[1]sens_0_spec_90_PSA!B296</f>
        <v>0</v>
      </c>
      <c r="C296" t="str">
        <f>[1]sens_0_spec_90_PSA!C296</f>
        <v>NA</v>
      </c>
      <c r="D296">
        <f>[1]sens_0_spec_90_PSA!D296</f>
        <v>0</v>
      </c>
      <c r="E296" s="1">
        <f>[1]sens_0_spec_90_PSA!E296</f>
        <v>0.17219999999999999</v>
      </c>
      <c r="F296" s="1">
        <f>[1]sens_0_spec_90_PSA!F296</f>
        <v>4.1000000000000002E-2</v>
      </c>
      <c r="G296" s="2">
        <f>[1]sens_0_spec_90_PSA!G296</f>
        <v>17.6979072323489</v>
      </c>
      <c r="H296" s="2">
        <f>[1]sens_0_spec_90_PSA!H296</f>
        <v>13.287181699684499</v>
      </c>
      <c r="I296" s="2">
        <f>[1]sens_0_spec_90_PSA!I296</f>
        <v>8.0421416453951107</v>
      </c>
      <c r="J296" s="3">
        <f>[1]sens_0_spec_90_PSA!J296</f>
        <v>244579.92549716801</v>
      </c>
      <c r="K296" s="3">
        <f>[1]sens_0_spec_90_PSA!K296</f>
        <v>145564.34242102201</v>
      </c>
      <c r="L296">
        <f>[1]sens_0_spec_90_PSA!L296</f>
        <v>1</v>
      </c>
      <c r="M296">
        <f>[1]sens_0_spec_90_PSA!M296</f>
        <v>0</v>
      </c>
    </row>
    <row r="297" spans="1:13" x14ac:dyDescent="0.25">
      <c r="A297">
        <v>296</v>
      </c>
      <c r="B297">
        <f>[1]sens_0_spec_90_PSA!B297</f>
        <v>0</v>
      </c>
      <c r="C297" t="str">
        <f>[1]sens_0_spec_90_PSA!C297</f>
        <v>NA</v>
      </c>
      <c r="D297">
        <f>[1]sens_0_spec_90_PSA!D297</f>
        <v>0</v>
      </c>
      <c r="E297" s="1">
        <f>[1]sens_0_spec_90_PSA!E297</f>
        <v>0.2505</v>
      </c>
      <c r="F297" s="1">
        <f>[1]sens_0_spec_90_PSA!F297</f>
        <v>3.5499999999999997E-2</v>
      </c>
      <c r="G297" s="2">
        <f>[1]sens_0_spec_90_PSA!G297</f>
        <v>17.2644347982718</v>
      </c>
      <c r="H297" s="2">
        <f>[1]sens_0_spec_90_PSA!H297</f>
        <v>12.4022942837226</v>
      </c>
      <c r="I297" s="2">
        <f>[1]sens_0_spec_90_PSA!I297</f>
        <v>7.3847428621821303</v>
      </c>
      <c r="J297" s="3">
        <f>[1]sens_0_spec_90_PSA!J297</f>
        <v>175467.29447863999</v>
      </c>
      <c r="K297" s="3">
        <f>[1]sens_0_spec_90_PSA!K297</f>
        <v>104102.347383655</v>
      </c>
      <c r="L297">
        <f>[1]sens_0_spec_90_PSA!L297</f>
        <v>1</v>
      </c>
      <c r="M297">
        <f>[1]sens_0_spec_90_PSA!M297</f>
        <v>0</v>
      </c>
    </row>
    <row r="298" spans="1:13" x14ac:dyDescent="0.25">
      <c r="A298">
        <v>297</v>
      </c>
      <c r="B298">
        <f>[1]sens_0_spec_90_PSA!B298</f>
        <v>0</v>
      </c>
      <c r="C298" t="str">
        <f>[1]sens_0_spec_90_PSA!C298</f>
        <v>NA</v>
      </c>
      <c r="D298">
        <f>[1]sens_0_spec_90_PSA!D298</f>
        <v>0</v>
      </c>
      <c r="E298" s="1">
        <f>[1]sens_0_spec_90_PSA!E298</f>
        <v>0.18459999999999999</v>
      </c>
      <c r="F298" s="1">
        <f>[1]sens_0_spec_90_PSA!F298</f>
        <v>4.0399999999999998E-2</v>
      </c>
      <c r="G298" s="2">
        <f>[1]sens_0_spec_90_PSA!G298</f>
        <v>17.716043389626002</v>
      </c>
      <c r="H298" s="2">
        <f>[1]sens_0_spec_90_PSA!H298</f>
        <v>13.678996780836</v>
      </c>
      <c r="I298" s="2">
        <f>[1]sens_0_spec_90_PSA!I298</f>
        <v>8.2350639219541897</v>
      </c>
      <c r="J298" s="3">
        <f>[1]sens_0_spec_90_PSA!J298</f>
        <v>159009.771007314</v>
      </c>
      <c r="K298" s="3">
        <f>[1]sens_0_spec_90_PSA!K298</f>
        <v>96535.750612049305</v>
      </c>
      <c r="L298">
        <f>[1]sens_0_spec_90_PSA!L298</f>
        <v>1</v>
      </c>
      <c r="M298">
        <f>[1]sens_0_spec_90_PSA!M298</f>
        <v>0</v>
      </c>
    </row>
    <row r="299" spans="1:13" x14ac:dyDescent="0.25">
      <c r="A299">
        <v>298</v>
      </c>
      <c r="B299">
        <f>[1]sens_0_spec_90_PSA!B299</f>
        <v>0</v>
      </c>
      <c r="C299" t="str">
        <f>[1]sens_0_spec_90_PSA!C299</f>
        <v>NA</v>
      </c>
      <c r="D299">
        <f>[1]sens_0_spec_90_PSA!D299</f>
        <v>0</v>
      </c>
      <c r="E299" s="1">
        <f>[1]sens_0_spec_90_PSA!E299</f>
        <v>0.1452</v>
      </c>
      <c r="F299" s="1">
        <f>[1]sens_0_spec_90_PSA!F299</f>
        <v>4.2000000000000003E-2</v>
      </c>
      <c r="G299" s="2">
        <f>[1]sens_0_spec_90_PSA!G299</f>
        <v>18.6408174000907</v>
      </c>
      <c r="H299" s="2">
        <f>[1]sens_0_spec_90_PSA!H299</f>
        <v>15.6188288260223</v>
      </c>
      <c r="I299" s="2">
        <f>[1]sens_0_spec_90_PSA!I299</f>
        <v>9.3837717175921505</v>
      </c>
      <c r="J299" s="3">
        <f>[1]sens_0_spec_90_PSA!J299</f>
        <v>184964.563501575</v>
      </c>
      <c r="K299" s="3">
        <f>[1]sens_0_spec_90_PSA!K299</f>
        <v>110936.472635717</v>
      </c>
      <c r="L299">
        <f>[1]sens_0_spec_90_PSA!L299</f>
        <v>1</v>
      </c>
      <c r="M299">
        <f>[1]sens_0_spec_90_PSA!M299</f>
        <v>0</v>
      </c>
    </row>
    <row r="300" spans="1:13" x14ac:dyDescent="0.25">
      <c r="A300">
        <v>299</v>
      </c>
      <c r="B300">
        <f>[1]sens_0_spec_90_PSA!B300</f>
        <v>0</v>
      </c>
      <c r="C300" t="str">
        <f>[1]sens_0_spec_90_PSA!C300</f>
        <v>NA</v>
      </c>
      <c r="D300">
        <f>[1]sens_0_spec_90_PSA!D300</f>
        <v>0</v>
      </c>
      <c r="E300" s="1">
        <f>[1]sens_0_spec_90_PSA!E300</f>
        <v>0.17369999999999999</v>
      </c>
      <c r="F300" s="1">
        <f>[1]sens_0_spec_90_PSA!F300</f>
        <v>3.9800000000000002E-2</v>
      </c>
      <c r="G300" s="2">
        <f>[1]sens_0_spec_90_PSA!G300</f>
        <v>18.173184673402002</v>
      </c>
      <c r="H300" s="2">
        <f>[1]sens_0_spec_90_PSA!H300</f>
        <v>11.1763227793049</v>
      </c>
      <c r="I300" s="2">
        <f>[1]sens_0_spec_90_PSA!I300</f>
        <v>6.7121385975585701</v>
      </c>
      <c r="J300" s="3">
        <f>[1]sens_0_spec_90_PSA!J300</f>
        <v>204835.11581996799</v>
      </c>
      <c r="K300" s="3">
        <f>[1]sens_0_spec_90_PSA!K300</f>
        <v>121853.18056938</v>
      </c>
      <c r="L300">
        <f>[1]sens_0_spec_90_PSA!L300</f>
        <v>1</v>
      </c>
      <c r="M300">
        <f>[1]sens_0_spec_90_PSA!M300</f>
        <v>0</v>
      </c>
    </row>
    <row r="301" spans="1:13" x14ac:dyDescent="0.25">
      <c r="A301">
        <v>300</v>
      </c>
      <c r="B301">
        <f>[1]sens_0_spec_90_PSA!B301</f>
        <v>0</v>
      </c>
      <c r="C301" t="str">
        <f>[1]sens_0_spec_90_PSA!C301</f>
        <v>NA</v>
      </c>
      <c r="D301">
        <f>[1]sens_0_spec_90_PSA!D301</f>
        <v>0</v>
      </c>
      <c r="E301" s="1">
        <f>[1]sens_0_spec_90_PSA!E301</f>
        <v>0.16189999999999999</v>
      </c>
      <c r="F301" s="1">
        <f>[1]sens_0_spec_90_PSA!F301</f>
        <v>3.9199999999999999E-2</v>
      </c>
      <c r="G301" s="2">
        <f>[1]sens_0_spec_90_PSA!G301</f>
        <v>17.084582864978401</v>
      </c>
      <c r="H301" s="2">
        <f>[1]sens_0_spec_90_PSA!H301</f>
        <v>12.2715079373418</v>
      </c>
      <c r="I301" s="2">
        <f>[1]sens_0_spec_90_PSA!I301</f>
        <v>7.5299279089316498</v>
      </c>
      <c r="J301" s="3">
        <f>[1]sens_0_spec_90_PSA!J301</f>
        <v>206536.536762245</v>
      </c>
      <c r="K301" s="3">
        <f>[1]sens_0_spec_90_PSA!K301</f>
        <v>126012.173072808</v>
      </c>
      <c r="L301">
        <f>[1]sens_0_spec_90_PSA!L301</f>
        <v>1</v>
      </c>
      <c r="M301">
        <f>[1]sens_0_spec_90_PSA!M301</f>
        <v>0</v>
      </c>
    </row>
    <row r="302" spans="1:13" x14ac:dyDescent="0.25">
      <c r="A302">
        <v>301</v>
      </c>
      <c r="B302">
        <f>[1]sens_0_spec_90_PSA!B302</f>
        <v>0</v>
      </c>
      <c r="C302" t="str">
        <f>[1]sens_0_spec_90_PSA!C302</f>
        <v>NA</v>
      </c>
      <c r="D302">
        <f>[1]sens_0_spec_90_PSA!D302</f>
        <v>0</v>
      </c>
      <c r="E302" s="1">
        <f>[1]sens_0_spec_90_PSA!E302</f>
        <v>0.14610000000000001</v>
      </c>
      <c r="F302" s="1">
        <f>[1]sens_0_spec_90_PSA!F302</f>
        <v>4.1000000000000002E-2</v>
      </c>
      <c r="G302" s="2">
        <f>[1]sens_0_spec_90_PSA!G302</f>
        <v>20.147699488649099</v>
      </c>
      <c r="H302" s="2">
        <f>[1]sens_0_spec_90_PSA!H302</f>
        <v>13.7644637885343</v>
      </c>
      <c r="I302" s="2">
        <f>[1]sens_0_spec_90_PSA!I302</f>
        <v>8.0893217500168806</v>
      </c>
      <c r="J302" s="3">
        <f>[1]sens_0_spec_90_PSA!J302</f>
        <v>234365.81679729</v>
      </c>
      <c r="K302" s="3">
        <f>[1]sens_0_spec_90_PSA!K302</f>
        <v>134530.01270114499</v>
      </c>
      <c r="L302">
        <f>[1]sens_0_spec_90_PSA!L302</f>
        <v>1</v>
      </c>
      <c r="M302">
        <f>[1]sens_0_spec_90_PSA!M302</f>
        <v>0</v>
      </c>
    </row>
    <row r="303" spans="1:13" x14ac:dyDescent="0.25">
      <c r="A303">
        <v>302</v>
      </c>
      <c r="B303">
        <f>[1]sens_0_spec_90_PSA!B303</f>
        <v>0</v>
      </c>
      <c r="C303" t="str">
        <f>[1]sens_0_spec_90_PSA!C303</f>
        <v>NA</v>
      </c>
      <c r="D303">
        <f>[1]sens_0_spec_90_PSA!D303</f>
        <v>0</v>
      </c>
      <c r="E303" s="1">
        <f>[1]sens_0_spec_90_PSA!E303</f>
        <v>0.217</v>
      </c>
      <c r="F303" s="1">
        <f>[1]sens_0_spec_90_PSA!F303</f>
        <v>2.6700000000000002E-2</v>
      </c>
      <c r="G303" s="2">
        <f>[1]sens_0_spec_90_PSA!G303</f>
        <v>18.410705029289801</v>
      </c>
      <c r="H303" s="2">
        <f>[1]sens_0_spec_90_PSA!H303</f>
        <v>11.7076994825808</v>
      </c>
      <c r="I303" s="2">
        <f>[1]sens_0_spec_90_PSA!I303</f>
        <v>6.9419174071647998</v>
      </c>
      <c r="J303" s="3">
        <f>[1]sens_0_spec_90_PSA!J303</f>
        <v>174245.588367691</v>
      </c>
      <c r="K303" s="3">
        <f>[1]sens_0_spec_90_PSA!K303</f>
        <v>103221.460930516</v>
      </c>
      <c r="L303">
        <f>[1]sens_0_spec_90_PSA!L303</f>
        <v>1</v>
      </c>
      <c r="M303">
        <f>[1]sens_0_spec_90_PSA!M303</f>
        <v>0</v>
      </c>
    </row>
    <row r="304" spans="1:13" x14ac:dyDescent="0.25">
      <c r="A304">
        <v>303</v>
      </c>
      <c r="B304">
        <f>[1]sens_0_spec_90_PSA!B304</f>
        <v>0</v>
      </c>
      <c r="C304" t="str">
        <f>[1]sens_0_spec_90_PSA!C304</f>
        <v>NA</v>
      </c>
      <c r="D304">
        <f>[1]sens_0_spec_90_PSA!D304</f>
        <v>0</v>
      </c>
      <c r="E304" s="1">
        <f>[1]sens_0_spec_90_PSA!E304</f>
        <v>0.28539999999999999</v>
      </c>
      <c r="F304" s="1">
        <f>[1]sens_0_spec_90_PSA!F304</f>
        <v>2.29E-2</v>
      </c>
      <c r="G304" s="2">
        <f>[1]sens_0_spec_90_PSA!G304</f>
        <v>16.297005427962901</v>
      </c>
      <c r="H304" s="2">
        <f>[1]sens_0_spec_90_PSA!H304</f>
        <v>10.899089771268301</v>
      </c>
      <c r="I304" s="2">
        <f>[1]sens_0_spec_90_PSA!I304</f>
        <v>6.5567038217393403</v>
      </c>
      <c r="J304" s="3">
        <f>[1]sens_0_spec_90_PSA!J304</f>
        <v>234654.663561091</v>
      </c>
      <c r="K304" s="3">
        <f>[1]sens_0_spec_90_PSA!K304</f>
        <v>138446.33807023201</v>
      </c>
      <c r="L304">
        <f>[1]sens_0_spec_90_PSA!L304</f>
        <v>1</v>
      </c>
      <c r="M304">
        <f>[1]sens_0_spec_90_PSA!M304</f>
        <v>0</v>
      </c>
    </row>
    <row r="305" spans="1:13" x14ac:dyDescent="0.25">
      <c r="A305">
        <v>304</v>
      </c>
      <c r="B305">
        <f>[1]sens_0_spec_90_PSA!B305</f>
        <v>0</v>
      </c>
      <c r="C305" t="str">
        <f>[1]sens_0_spec_90_PSA!C305</f>
        <v>NA</v>
      </c>
      <c r="D305">
        <f>[1]sens_0_spec_90_PSA!D305</f>
        <v>0</v>
      </c>
      <c r="E305" s="1">
        <f>[1]sens_0_spec_90_PSA!E305</f>
        <v>0.25419999999999998</v>
      </c>
      <c r="F305" s="1">
        <f>[1]sens_0_spec_90_PSA!F305</f>
        <v>3.3700000000000001E-2</v>
      </c>
      <c r="G305" s="2">
        <f>[1]sens_0_spec_90_PSA!G305</f>
        <v>15.925019459734999</v>
      </c>
      <c r="H305" s="2">
        <f>[1]sens_0_spec_90_PSA!H305</f>
        <v>10.501070536926701</v>
      </c>
      <c r="I305" s="2">
        <f>[1]sens_0_spec_90_PSA!I305</f>
        <v>6.40464439401324</v>
      </c>
      <c r="J305" s="3">
        <f>[1]sens_0_spec_90_PSA!J305</f>
        <v>172101.71686122901</v>
      </c>
      <c r="K305" s="3">
        <f>[1]sens_0_spec_90_PSA!K305</f>
        <v>105139.78980206</v>
      </c>
      <c r="L305">
        <f>[1]sens_0_spec_90_PSA!L305</f>
        <v>1</v>
      </c>
      <c r="M305">
        <f>[1]sens_0_spec_90_PSA!M305</f>
        <v>0</v>
      </c>
    </row>
    <row r="306" spans="1:13" x14ac:dyDescent="0.25">
      <c r="A306">
        <v>305</v>
      </c>
      <c r="B306">
        <f>[1]sens_0_spec_90_PSA!B306</f>
        <v>0</v>
      </c>
      <c r="C306" t="str">
        <f>[1]sens_0_spec_90_PSA!C306</f>
        <v>NA</v>
      </c>
      <c r="D306">
        <f>[1]sens_0_spec_90_PSA!D306</f>
        <v>0</v>
      </c>
      <c r="E306" s="1">
        <f>[1]sens_0_spec_90_PSA!E306</f>
        <v>0.223</v>
      </c>
      <c r="F306" s="1">
        <f>[1]sens_0_spec_90_PSA!F306</f>
        <v>3.7400000000000003E-2</v>
      </c>
      <c r="G306" s="2">
        <f>[1]sens_0_spec_90_PSA!G306</f>
        <v>18.5527592848692</v>
      </c>
      <c r="H306" s="2">
        <f>[1]sens_0_spec_90_PSA!H306</f>
        <v>12.454883832284899</v>
      </c>
      <c r="I306" s="2">
        <f>[1]sens_0_spec_90_PSA!I306</f>
        <v>7.3458921961973802</v>
      </c>
      <c r="J306" s="3">
        <f>[1]sens_0_spec_90_PSA!J306</f>
        <v>227351.98247136301</v>
      </c>
      <c r="K306" s="3">
        <f>[1]sens_0_spec_90_PSA!K306</f>
        <v>131188.63433107999</v>
      </c>
      <c r="L306">
        <f>[1]sens_0_spec_90_PSA!L306</f>
        <v>1</v>
      </c>
      <c r="M306">
        <f>[1]sens_0_spec_90_PSA!M306</f>
        <v>0</v>
      </c>
    </row>
    <row r="307" spans="1:13" x14ac:dyDescent="0.25">
      <c r="A307">
        <v>306</v>
      </c>
      <c r="B307">
        <f>[1]sens_0_spec_90_PSA!B307</f>
        <v>0</v>
      </c>
      <c r="C307" t="str">
        <f>[1]sens_0_spec_90_PSA!C307</f>
        <v>NA</v>
      </c>
      <c r="D307">
        <f>[1]sens_0_spec_90_PSA!D307</f>
        <v>0</v>
      </c>
      <c r="E307" s="1">
        <f>[1]sens_0_spec_90_PSA!E307</f>
        <v>0.16839999999999999</v>
      </c>
      <c r="F307" s="1">
        <f>[1]sens_0_spec_90_PSA!F307</f>
        <v>3.1699999999999999E-2</v>
      </c>
      <c r="G307" s="2">
        <f>[1]sens_0_spec_90_PSA!G307</f>
        <v>18.302832800637798</v>
      </c>
      <c r="H307" s="2">
        <f>[1]sens_0_spec_90_PSA!H307</f>
        <v>11.8222064887259</v>
      </c>
      <c r="I307" s="2">
        <f>[1]sens_0_spec_90_PSA!I307</f>
        <v>7.1255133897478498</v>
      </c>
      <c r="J307" s="3">
        <f>[1]sens_0_spec_90_PSA!J307</f>
        <v>234308.17900731499</v>
      </c>
      <c r="K307" s="3">
        <f>[1]sens_0_spec_90_PSA!K307</f>
        <v>138718.65193924899</v>
      </c>
      <c r="L307">
        <f>[1]sens_0_spec_90_PSA!L307</f>
        <v>1</v>
      </c>
      <c r="M307">
        <f>[1]sens_0_spec_90_PSA!M307</f>
        <v>0</v>
      </c>
    </row>
    <row r="308" spans="1:13" x14ac:dyDescent="0.25">
      <c r="A308">
        <v>307</v>
      </c>
      <c r="B308">
        <f>[1]sens_0_spec_90_PSA!B308</f>
        <v>0</v>
      </c>
      <c r="C308" t="str">
        <f>[1]sens_0_spec_90_PSA!C308</f>
        <v>NA</v>
      </c>
      <c r="D308">
        <f>[1]sens_0_spec_90_PSA!D308</f>
        <v>0</v>
      </c>
      <c r="E308" s="1">
        <f>[1]sens_0_spec_90_PSA!E308</f>
        <v>0.15010000000000001</v>
      </c>
      <c r="F308" s="1">
        <f>[1]sens_0_spec_90_PSA!F308</f>
        <v>3.9800000000000002E-2</v>
      </c>
      <c r="G308" s="2">
        <f>[1]sens_0_spec_90_PSA!G308</f>
        <v>18.340618053797002</v>
      </c>
      <c r="H308" s="2">
        <f>[1]sens_0_spec_90_PSA!H308</f>
        <v>13.856320129798799</v>
      </c>
      <c r="I308" s="2">
        <f>[1]sens_0_spec_90_PSA!I308</f>
        <v>8.3461633265988002</v>
      </c>
      <c r="J308" s="3">
        <f>[1]sens_0_spec_90_PSA!J308</f>
        <v>176262.50686634099</v>
      </c>
      <c r="K308" s="3">
        <f>[1]sens_0_spec_90_PSA!K308</f>
        <v>106329.823658448</v>
      </c>
      <c r="L308">
        <f>[1]sens_0_spec_90_PSA!L308</f>
        <v>1</v>
      </c>
      <c r="M308">
        <f>[1]sens_0_spec_90_PSA!M308</f>
        <v>0</v>
      </c>
    </row>
    <row r="309" spans="1:13" x14ac:dyDescent="0.25">
      <c r="A309">
        <v>308</v>
      </c>
      <c r="B309">
        <f>[1]sens_0_spec_90_PSA!B309</f>
        <v>0</v>
      </c>
      <c r="C309" t="str">
        <f>[1]sens_0_spec_90_PSA!C309</f>
        <v>NA</v>
      </c>
      <c r="D309">
        <f>[1]sens_0_spec_90_PSA!D309</f>
        <v>0</v>
      </c>
      <c r="E309" s="1">
        <f>[1]sens_0_spec_90_PSA!E309</f>
        <v>0.28210000000000002</v>
      </c>
      <c r="F309" s="1">
        <f>[1]sens_0_spec_90_PSA!F309</f>
        <v>3.7699999999999997E-2</v>
      </c>
      <c r="G309" s="2">
        <f>[1]sens_0_spec_90_PSA!G309</f>
        <v>15.465021111212501</v>
      </c>
      <c r="H309" s="2">
        <f>[1]sens_0_spec_90_PSA!H309</f>
        <v>11.863110727036</v>
      </c>
      <c r="I309" s="2">
        <f>[1]sens_0_spec_90_PSA!I309</f>
        <v>7.1861237154584598</v>
      </c>
      <c r="J309" s="3">
        <f>[1]sens_0_spec_90_PSA!J309</f>
        <v>174972.45303130601</v>
      </c>
      <c r="K309" s="3">
        <f>[1]sens_0_spec_90_PSA!K309</f>
        <v>105871.36768485</v>
      </c>
      <c r="L309">
        <f>[1]sens_0_spec_90_PSA!L309</f>
        <v>1</v>
      </c>
      <c r="M309">
        <f>[1]sens_0_spec_90_PSA!M309</f>
        <v>0</v>
      </c>
    </row>
    <row r="310" spans="1:13" x14ac:dyDescent="0.25">
      <c r="A310">
        <v>309</v>
      </c>
      <c r="B310">
        <f>[1]sens_0_spec_90_PSA!B310</f>
        <v>0</v>
      </c>
      <c r="C310" t="str">
        <f>[1]sens_0_spec_90_PSA!C310</f>
        <v>NA</v>
      </c>
      <c r="D310">
        <f>[1]sens_0_spec_90_PSA!D310</f>
        <v>0</v>
      </c>
      <c r="E310" s="1">
        <f>[1]sens_0_spec_90_PSA!E310</f>
        <v>0.1474</v>
      </c>
      <c r="F310" s="1">
        <f>[1]sens_0_spec_90_PSA!F310</f>
        <v>7.1800000000000003E-2</v>
      </c>
      <c r="G310" s="2">
        <f>[1]sens_0_spec_90_PSA!G310</f>
        <v>19.303123395009798</v>
      </c>
      <c r="H310" s="2">
        <f>[1]sens_0_spec_90_PSA!H310</f>
        <v>15.174539862240501</v>
      </c>
      <c r="I310" s="2">
        <f>[1]sens_0_spec_90_PSA!I310</f>
        <v>8.9402323608062293</v>
      </c>
      <c r="J310" s="3">
        <f>[1]sens_0_spec_90_PSA!J310</f>
        <v>242219.942526909</v>
      </c>
      <c r="K310" s="3">
        <f>[1]sens_0_spec_90_PSA!K310</f>
        <v>139157.802434679</v>
      </c>
      <c r="L310">
        <f>[1]sens_0_spec_90_PSA!L310</f>
        <v>1</v>
      </c>
      <c r="M310">
        <f>[1]sens_0_spec_90_PSA!M310</f>
        <v>0</v>
      </c>
    </row>
    <row r="311" spans="1:13" x14ac:dyDescent="0.25">
      <c r="A311">
        <v>310</v>
      </c>
      <c r="B311">
        <f>[1]sens_0_spec_90_PSA!B311</f>
        <v>0</v>
      </c>
      <c r="C311" t="str">
        <f>[1]sens_0_spec_90_PSA!C311</f>
        <v>NA</v>
      </c>
      <c r="D311">
        <f>[1]sens_0_spec_90_PSA!D311</f>
        <v>0</v>
      </c>
      <c r="E311" s="1">
        <f>[1]sens_0_spec_90_PSA!E311</f>
        <v>0.19450000000000001</v>
      </c>
      <c r="F311" s="1">
        <f>[1]sens_0_spec_90_PSA!F311</f>
        <v>4.24E-2</v>
      </c>
      <c r="G311" s="2">
        <f>[1]sens_0_spec_90_PSA!G311</f>
        <v>18.165339340151</v>
      </c>
      <c r="H311" s="2">
        <f>[1]sens_0_spec_90_PSA!H311</f>
        <v>14.119982941675399</v>
      </c>
      <c r="I311" s="2">
        <f>[1]sens_0_spec_90_PSA!I311</f>
        <v>8.4288863325106007</v>
      </c>
      <c r="J311" s="3">
        <f>[1]sens_0_spec_90_PSA!J311</f>
        <v>255285.776028516</v>
      </c>
      <c r="K311" s="3">
        <f>[1]sens_0_spec_90_PSA!K311</f>
        <v>148577.80204184999</v>
      </c>
      <c r="L311">
        <f>[1]sens_0_spec_90_PSA!L311</f>
        <v>1</v>
      </c>
      <c r="M311">
        <f>[1]sens_0_spec_90_PSA!M311</f>
        <v>0</v>
      </c>
    </row>
    <row r="312" spans="1:13" x14ac:dyDescent="0.25">
      <c r="A312">
        <v>311</v>
      </c>
      <c r="B312">
        <f>[1]sens_0_spec_90_PSA!B312</f>
        <v>0</v>
      </c>
      <c r="C312" t="str">
        <f>[1]sens_0_spec_90_PSA!C312</f>
        <v>NA</v>
      </c>
      <c r="D312">
        <f>[1]sens_0_spec_90_PSA!D312</f>
        <v>0</v>
      </c>
      <c r="E312" s="1">
        <f>[1]sens_0_spec_90_PSA!E312</f>
        <v>0.19800000000000001</v>
      </c>
      <c r="F312" s="1">
        <f>[1]sens_0_spec_90_PSA!F312</f>
        <v>3.9399999999999998E-2</v>
      </c>
      <c r="G312" s="2">
        <f>[1]sens_0_spec_90_PSA!G312</f>
        <v>18.0512624101091</v>
      </c>
      <c r="H312" s="2">
        <f>[1]sens_0_spec_90_PSA!H312</f>
        <v>12.948725359757301</v>
      </c>
      <c r="I312" s="2">
        <f>[1]sens_0_spec_90_PSA!I312</f>
        <v>7.7272414849854698</v>
      </c>
      <c r="J312" s="3">
        <f>[1]sens_0_spec_90_PSA!J312</f>
        <v>241518.10047573899</v>
      </c>
      <c r="K312" s="3">
        <f>[1]sens_0_spec_90_PSA!K312</f>
        <v>140952.64321738901</v>
      </c>
      <c r="L312">
        <f>[1]sens_0_spec_90_PSA!L312</f>
        <v>1</v>
      </c>
      <c r="M312">
        <f>[1]sens_0_spec_90_PSA!M312</f>
        <v>0</v>
      </c>
    </row>
    <row r="313" spans="1:13" x14ac:dyDescent="0.25">
      <c r="A313">
        <v>312</v>
      </c>
      <c r="B313">
        <f>[1]sens_0_spec_90_PSA!B313</f>
        <v>0</v>
      </c>
      <c r="C313" t="str">
        <f>[1]sens_0_spec_90_PSA!C313</f>
        <v>NA</v>
      </c>
      <c r="D313">
        <f>[1]sens_0_spec_90_PSA!D313</f>
        <v>0</v>
      </c>
      <c r="E313" s="1">
        <f>[1]sens_0_spec_90_PSA!E313</f>
        <v>0.214</v>
      </c>
      <c r="F313" s="1">
        <f>[1]sens_0_spec_90_PSA!F313</f>
        <v>3.5499999999999997E-2</v>
      </c>
      <c r="G313" s="2">
        <f>[1]sens_0_spec_90_PSA!G313</f>
        <v>17.193933776811502</v>
      </c>
      <c r="H313" s="2">
        <f>[1]sens_0_spec_90_PSA!H313</f>
        <v>13.489122702242</v>
      </c>
      <c r="I313" s="2">
        <f>[1]sens_0_spec_90_PSA!I313</f>
        <v>8.1346913222090098</v>
      </c>
      <c r="J313" s="3">
        <f>[1]sens_0_spec_90_PSA!J313</f>
        <v>184921.065998448</v>
      </c>
      <c r="K313" s="3">
        <f>[1]sens_0_spec_90_PSA!K313</f>
        <v>110876.159731483</v>
      </c>
      <c r="L313">
        <f>[1]sens_0_spec_90_PSA!L313</f>
        <v>1</v>
      </c>
      <c r="M313">
        <f>[1]sens_0_spec_90_PSA!M313</f>
        <v>0</v>
      </c>
    </row>
    <row r="314" spans="1:13" x14ac:dyDescent="0.25">
      <c r="A314">
        <v>313</v>
      </c>
      <c r="B314">
        <f>[1]sens_0_spec_90_PSA!B314</f>
        <v>0</v>
      </c>
      <c r="C314" t="str">
        <f>[1]sens_0_spec_90_PSA!C314</f>
        <v>NA</v>
      </c>
      <c r="D314">
        <f>[1]sens_0_spec_90_PSA!D314</f>
        <v>0</v>
      </c>
      <c r="E314" s="1">
        <f>[1]sens_0_spec_90_PSA!E314</f>
        <v>0.17119999999999999</v>
      </c>
      <c r="F314" s="1">
        <f>[1]sens_0_spec_90_PSA!F314</f>
        <v>5.2900000000000003E-2</v>
      </c>
      <c r="G314" s="2">
        <f>[1]sens_0_spec_90_PSA!G314</f>
        <v>16.2564422970961</v>
      </c>
      <c r="H314" s="2">
        <f>[1]sens_0_spec_90_PSA!H314</f>
        <v>11.8914455837955</v>
      </c>
      <c r="I314" s="2">
        <f>[1]sens_0_spec_90_PSA!I314</f>
        <v>7.3486994314292602</v>
      </c>
      <c r="J314" s="3">
        <f>[1]sens_0_spec_90_PSA!J314</f>
        <v>153313.61249971</v>
      </c>
      <c r="K314" s="3">
        <f>[1]sens_0_spec_90_PSA!K314</f>
        <v>96170.027877289802</v>
      </c>
      <c r="L314">
        <f>[1]sens_0_spec_90_PSA!L314</f>
        <v>1</v>
      </c>
      <c r="M314">
        <f>[1]sens_0_spec_90_PSA!M314</f>
        <v>0</v>
      </c>
    </row>
    <row r="315" spans="1:13" x14ac:dyDescent="0.25">
      <c r="A315">
        <v>314</v>
      </c>
      <c r="B315">
        <f>[1]sens_0_spec_90_PSA!B315</f>
        <v>0</v>
      </c>
      <c r="C315" t="str">
        <f>[1]sens_0_spec_90_PSA!C315</f>
        <v>NA</v>
      </c>
      <c r="D315">
        <f>[1]sens_0_spec_90_PSA!D315</f>
        <v>0</v>
      </c>
      <c r="E315" s="1">
        <f>[1]sens_0_spec_90_PSA!E315</f>
        <v>0.18110000000000001</v>
      </c>
      <c r="F315" s="1">
        <f>[1]sens_0_spec_90_PSA!F315</f>
        <v>4.5900000000000003E-2</v>
      </c>
      <c r="G315" s="2">
        <f>[1]sens_0_spec_90_PSA!G315</f>
        <v>19.256869417417001</v>
      </c>
      <c r="H315" s="2">
        <f>[1]sens_0_spec_90_PSA!H315</f>
        <v>15.007232451096099</v>
      </c>
      <c r="I315" s="2">
        <f>[1]sens_0_spec_90_PSA!I315</f>
        <v>8.8172294553934094</v>
      </c>
      <c r="J315" s="3">
        <f>[1]sens_0_spec_90_PSA!J315</f>
        <v>181391.390764927</v>
      </c>
      <c r="K315" s="3">
        <f>[1]sens_0_spec_90_PSA!K315</f>
        <v>105915.922003984</v>
      </c>
      <c r="L315">
        <f>[1]sens_0_spec_90_PSA!L315</f>
        <v>1</v>
      </c>
      <c r="M315">
        <f>[1]sens_0_spec_90_PSA!M315</f>
        <v>0</v>
      </c>
    </row>
    <row r="316" spans="1:13" x14ac:dyDescent="0.25">
      <c r="A316">
        <v>315</v>
      </c>
      <c r="B316">
        <f>[1]sens_0_spec_90_PSA!B316</f>
        <v>0</v>
      </c>
      <c r="C316" t="str">
        <f>[1]sens_0_spec_90_PSA!C316</f>
        <v>NA</v>
      </c>
      <c r="D316">
        <f>[1]sens_0_spec_90_PSA!D316</f>
        <v>0</v>
      </c>
      <c r="E316" s="1">
        <f>[1]sens_0_spec_90_PSA!E316</f>
        <v>0.22520000000000001</v>
      </c>
      <c r="F316" s="1">
        <f>[1]sens_0_spec_90_PSA!F316</f>
        <v>3.5000000000000003E-2</v>
      </c>
      <c r="G316" s="2">
        <f>[1]sens_0_spec_90_PSA!G316</f>
        <v>16.295872565901799</v>
      </c>
      <c r="H316" s="2">
        <f>[1]sens_0_spec_90_PSA!H316</f>
        <v>12.4178647632649</v>
      </c>
      <c r="I316" s="2">
        <f>[1]sens_0_spec_90_PSA!I316</f>
        <v>7.6142115851070997</v>
      </c>
      <c r="J316" s="3">
        <f>[1]sens_0_spec_90_PSA!J316</f>
        <v>138916.69916442901</v>
      </c>
      <c r="K316" s="3">
        <f>[1]sens_0_spec_90_PSA!K316</f>
        <v>86985.842142641806</v>
      </c>
      <c r="L316">
        <f>[1]sens_0_spec_90_PSA!L316</f>
        <v>1</v>
      </c>
      <c r="M316">
        <f>[1]sens_0_spec_90_PSA!M316</f>
        <v>0</v>
      </c>
    </row>
    <row r="317" spans="1:13" x14ac:dyDescent="0.25">
      <c r="A317">
        <v>316</v>
      </c>
      <c r="B317">
        <f>[1]sens_0_spec_90_PSA!B317</f>
        <v>0</v>
      </c>
      <c r="C317" t="str">
        <f>[1]sens_0_spec_90_PSA!C317</f>
        <v>NA</v>
      </c>
      <c r="D317">
        <f>[1]sens_0_spec_90_PSA!D317</f>
        <v>0</v>
      </c>
      <c r="E317" s="1">
        <f>[1]sens_0_spec_90_PSA!E317</f>
        <v>0.1404</v>
      </c>
      <c r="F317" s="1">
        <f>[1]sens_0_spec_90_PSA!F317</f>
        <v>5.5599999999999997E-2</v>
      </c>
      <c r="G317" s="2">
        <f>[1]sens_0_spec_90_PSA!G317</f>
        <v>19.381186064293999</v>
      </c>
      <c r="H317" s="2">
        <f>[1]sens_0_spec_90_PSA!H317</f>
        <v>13.2470206670816</v>
      </c>
      <c r="I317" s="2">
        <f>[1]sens_0_spec_90_PSA!I317</f>
        <v>7.8555753355788402</v>
      </c>
      <c r="J317" s="3">
        <f>[1]sens_0_spec_90_PSA!J317</f>
        <v>227321.046057478</v>
      </c>
      <c r="K317" s="3">
        <f>[1]sens_0_spec_90_PSA!K317</f>
        <v>132183.332052015</v>
      </c>
      <c r="L317">
        <f>[1]sens_0_spec_90_PSA!L317</f>
        <v>1</v>
      </c>
      <c r="M317">
        <f>[1]sens_0_spec_90_PSA!M317</f>
        <v>0</v>
      </c>
    </row>
    <row r="318" spans="1:13" x14ac:dyDescent="0.25">
      <c r="A318">
        <v>317</v>
      </c>
      <c r="B318">
        <f>[1]sens_0_spec_90_PSA!B318</f>
        <v>0</v>
      </c>
      <c r="C318" t="str">
        <f>[1]sens_0_spec_90_PSA!C318</f>
        <v>NA</v>
      </c>
      <c r="D318">
        <f>[1]sens_0_spec_90_PSA!D318</f>
        <v>0</v>
      </c>
      <c r="E318" s="1">
        <f>[1]sens_0_spec_90_PSA!E318</f>
        <v>0.21679999999999999</v>
      </c>
      <c r="F318" s="1">
        <f>[1]sens_0_spec_90_PSA!F318</f>
        <v>3.56E-2</v>
      </c>
      <c r="G318" s="2">
        <f>[1]sens_0_spec_90_PSA!G318</f>
        <v>17.611275074738799</v>
      </c>
      <c r="H318" s="2">
        <f>[1]sens_0_spec_90_PSA!H318</f>
        <v>11.867324325038901</v>
      </c>
      <c r="I318" s="2">
        <f>[1]sens_0_spec_90_PSA!I318</f>
        <v>7.0988377857665901</v>
      </c>
      <c r="J318" s="3">
        <f>[1]sens_0_spec_90_PSA!J318</f>
        <v>215433.897518618</v>
      </c>
      <c r="K318" s="3">
        <f>[1]sens_0_spec_90_PSA!K318</f>
        <v>126980.162013273</v>
      </c>
      <c r="L318">
        <f>[1]sens_0_spec_90_PSA!L318</f>
        <v>1</v>
      </c>
      <c r="M318">
        <f>[1]sens_0_spec_90_PSA!M318</f>
        <v>0</v>
      </c>
    </row>
    <row r="319" spans="1:13" x14ac:dyDescent="0.25">
      <c r="A319">
        <v>318</v>
      </c>
      <c r="B319">
        <f>[1]sens_0_spec_90_PSA!B319</f>
        <v>0</v>
      </c>
      <c r="C319" t="str">
        <f>[1]sens_0_spec_90_PSA!C319</f>
        <v>NA</v>
      </c>
      <c r="D319">
        <f>[1]sens_0_spec_90_PSA!D319</f>
        <v>0</v>
      </c>
      <c r="E319" s="1">
        <f>[1]sens_0_spec_90_PSA!E319</f>
        <v>0.21929999999999999</v>
      </c>
      <c r="F319" s="1">
        <f>[1]sens_0_spec_90_PSA!F319</f>
        <v>2.69E-2</v>
      </c>
      <c r="G319" s="2">
        <f>[1]sens_0_spec_90_PSA!G319</f>
        <v>19.265169538025798</v>
      </c>
      <c r="H319" s="2">
        <f>[1]sens_0_spec_90_PSA!H319</f>
        <v>14.2719883655774</v>
      </c>
      <c r="I319" s="2">
        <f>[1]sens_0_spec_90_PSA!I319</f>
        <v>8.3451709937313296</v>
      </c>
      <c r="J319" s="3">
        <f>[1]sens_0_spec_90_PSA!J319</f>
        <v>202200.10535506901</v>
      </c>
      <c r="K319" s="3">
        <f>[1]sens_0_spec_90_PSA!K319</f>
        <v>116488.71695333</v>
      </c>
      <c r="L319">
        <f>[1]sens_0_spec_90_PSA!L319</f>
        <v>1</v>
      </c>
      <c r="M319">
        <f>[1]sens_0_spec_90_PSA!M319</f>
        <v>0</v>
      </c>
    </row>
    <row r="320" spans="1:13" x14ac:dyDescent="0.25">
      <c r="A320">
        <v>319</v>
      </c>
      <c r="B320">
        <f>[1]sens_0_spec_90_PSA!B320</f>
        <v>0</v>
      </c>
      <c r="C320" t="str">
        <f>[1]sens_0_spec_90_PSA!C320</f>
        <v>NA</v>
      </c>
      <c r="D320">
        <f>[1]sens_0_spec_90_PSA!D320</f>
        <v>0</v>
      </c>
      <c r="E320" s="1">
        <f>[1]sens_0_spec_90_PSA!E320</f>
        <v>0.22320000000000001</v>
      </c>
      <c r="F320" s="1">
        <f>[1]sens_0_spec_90_PSA!F320</f>
        <v>5.8799999999999998E-2</v>
      </c>
      <c r="G320" s="2">
        <f>[1]sens_0_spec_90_PSA!G320</f>
        <v>17.469888227441899</v>
      </c>
      <c r="H320" s="2">
        <f>[1]sens_0_spec_90_PSA!H320</f>
        <v>13.1445391354571</v>
      </c>
      <c r="I320" s="2">
        <f>[1]sens_0_spec_90_PSA!I320</f>
        <v>7.81855595559019</v>
      </c>
      <c r="J320" s="3">
        <f>[1]sens_0_spec_90_PSA!J320</f>
        <v>152769.510700827</v>
      </c>
      <c r="K320" s="3">
        <f>[1]sens_0_spec_90_PSA!K320</f>
        <v>91564.050110841505</v>
      </c>
      <c r="L320">
        <f>[1]sens_0_spec_90_PSA!L320</f>
        <v>1</v>
      </c>
      <c r="M320">
        <f>[1]sens_0_spec_90_PSA!M320</f>
        <v>0</v>
      </c>
    </row>
    <row r="321" spans="1:13" x14ac:dyDescent="0.25">
      <c r="A321">
        <v>320</v>
      </c>
      <c r="B321">
        <f>[1]sens_0_spec_90_PSA!B321</f>
        <v>0</v>
      </c>
      <c r="C321" t="str">
        <f>[1]sens_0_spec_90_PSA!C321</f>
        <v>NA</v>
      </c>
      <c r="D321">
        <f>[1]sens_0_spec_90_PSA!D321</f>
        <v>0</v>
      </c>
      <c r="E321" s="1">
        <f>[1]sens_0_spec_90_PSA!E321</f>
        <v>0.30170000000000002</v>
      </c>
      <c r="F321" s="1">
        <f>[1]sens_0_spec_90_PSA!F321</f>
        <v>1.7899999999999999E-2</v>
      </c>
      <c r="G321" s="2">
        <f>[1]sens_0_spec_90_PSA!G321</f>
        <v>16.304209850634798</v>
      </c>
      <c r="H321" s="2">
        <f>[1]sens_0_spec_90_PSA!H321</f>
        <v>12.5739638796808</v>
      </c>
      <c r="I321" s="2">
        <f>[1]sens_0_spec_90_PSA!I321</f>
        <v>7.5388734312302201</v>
      </c>
      <c r="J321" s="3">
        <f>[1]sens_0_spec_90_PSA!J321</f>
        <v>169730.915737779</v>
      </c>
      <c r="K321" s="3">
        <f>[1]sens_0_spec_90_PSA!K321</f>
        <v>101582.973634437</v>
      </c>
      <c r="L321">
        <f>[1]sens_0_spec_90_PSA!L321</f>
        <v>1</v>
      </c>
      <c r="M321">
        <f>[1]sens_0_spec_90_PSA!M321</f>
        <v>0</v>
      </c>
    </row>
    <row r="322" spans="1:13" x14ac:dyDescent="0.25">
      <c r="A322">
        <v>321</v>
      </c>
      <c r="B322">
        <f>[1]sens_0_spec_90_PSA!B322</f>
        <v>0</v>
      </c>
      <c r="C322" t="str">
        <f>[1]sens_0_spec_90_PSA!C322</f>
        <v>NA</v>
      </c>
      <c r="D322">
        <f>[1]sens_0_spec_90_PSA!D322</f>
        <v>0</v>
      </c>
      <c r="E322" s="1">
        <f>[1]sens_0_spec_90_PSA!E322</f>
        <v>0.27439999999999998</v>
      </c>
      <c r="F322" s="1">
        <f>[1]sens_0_spec_90_PSA!F322</f>
        <v>3.27E-2</v>
      </c>
      <c r="G322" s="2">
        <f>[1]sens_0_spec_90_PSA!G322</f>
        <v>16.019347251050601</v>
      </c>
      <c r="H322" s="2">
        <f>[1]sens_0_spec_90_PSA!H322</f>
        <v>12.202257757988001</v>
      </c>
      <c r="I322" s="2">
        <f>[1]sens_0_spec_90_PSA!I322</f>
        <v>7.3657769017692996</v>
      </c>
      <c r="J322" s="3">
        <f>[1]sens_0_spec_90_PSA!J322</f>
        <v>196609.04010511699</v>
      </c>
      <c r="K322" s="3">
        <f>[1]sens_0_spec_90_PSA!K322</f>
        <v>117755.854215531</v>
      </c>
      <c r="L322">
        <f>[1]sens_0_spec_90_PSA!L322</f>
        <v>1</v>
      </c>
      <c r="M322">
        <f>[1]sens_0_spec_90_PSA!M322</f>
        <v>0</v>
      </c>
    </row>
    <row r="323" spans="1:13" x14ac:dyDescent="0.25">
      <c r="A323">
        <v>322</v>
      </c>
      <c r="B323">
        <f>[1]sens_0_spec_90_PSA!B323</f>
        <v>0</v>
      </c>
      <c r="C323" t="str">
        <f>[1]sens_0_spec_90_PSA!C323</f>
        <v>NA</v>
      </c>
      <c r="D323">
        <f>[1]sens_0_spec_90_PSA!D323</f>
        <v>0</v>
      </c>
      <c r="E323" s="1">
        <f>[1]sens_0_spec_90_PSA!E323</f>
        <v>0.18590000000000001</v>
      </c>
      <c r="F323" s="1">
        <f>[1]sens_0_spec_90_PSA!F323</f>
        <v>5.0799999999999998E-2</v>
      </c>
      <c r="G323" s="2">
        <f>[1]sens_0_spec_90_PSA!G323</f>
        <v>17.9867838670651</v>
      </c>
      <c r="H323" s="2">
        <f>[1]sens_0_spec_90_PSA!H323</f>
        <v>13.187767563169899</v>
      </c>
      <c r="I323" s="2">
        <f>[1]sens_0_spec_90_PSA!I323</f>
        <v>7.8892464221167504</v>
      </c>
      <c r="J323" s="3">
        <f>[1]sens_0_spec_90_PSA!J323</f>
        <v>180961.32866263701</v>
      </c>
      <c r="K323" s="3">
        <f>[1]sens_0_spec_90_PSA!K323</f>
        <v>108008.26664447</v>
      </c>
      <c r="L323">
        <f>[1]sens_0_spec_90_PSA!L323</f>
        <v>1</v>
      </c>
      <c r="M323">
        <f>[1]sens_0_spec_90_PSA!M323</f>
        <v>0</v>
      </c>
    </row>
    <row r="324" spans="1:13" x14ac:dyDescent="0.25">
      <c r="A324">
        <v>323</v>
      </c>
      <c r="B324">
        <f>[1]sens_0_spec_90_PSA!B324</f>
        <v>0</v>
      </c>
      <c r="C324" t="str">
        <f>[1]sens_0_spec_90_PSA!C324</f>
        <v>NA</v>
      </c>
      <c r="D324">
        <f>[1]sens_0_spec_90_PSA!D324</f>
        <v>0</v>
      </c>
      <c r="E324" s="1">
        <f>[1]sens_0_spec_90_PSA!E324</f>
        <v>0.1454</v>
      </c>
      <c r="F324" s="1">
        <f>[1]sens_0_spec_90_PSA!F324</f>
        <v>3.8199999999999998E-2</v>
      </c>
      <c r="G324" s="2">
        <f>[1]sens_0_spec_90_PSA!G324</f>
        <v>18.251344807336999</v>
      </c>
      <c r="H324" s="2">
        <f>[1]sens_0_spec_90_PSA!H324</f>
        <v>12.1376440349832</v>
      </c>
      <c r="I324" s="2">
        <f>[1]sens_0_spec_90_PSA!I324</f>
        <v>7.3491863154735304</v>
      </c>
      <c r="J324" s="3">
        <f>[1]sens_0_spec_90_PSA!J324</f>
        <v>197549.38866924599</v>
      </c>
      <c r="K324" s="3">
        <f>[1]sens_0_spec_90_PSA!K324</f>
        <v>118959.829827614</v>
      </c>
      <c r="L324">
        <f>[1]sens_0_spec_90_PSA!L324</f>
        <v>1</v>
      </c>
      <c r="M324">
        <f>[1]sens_0_spec_90_PSA!M324</f>
        <v>0</v>
      </c>
    </row>
    <row r="325" spans="1:13" x14ac:dyDescent="0.25">
      <c r="A325">
        <v>324</v>
      </c>
      <c r="B325">
        <f>[1]sens_0_spec_90_PSA!B325</f>
        <v>0</v>
      </c>
      <c r="C325" t="str">
        <f>[1]sens_0_spec_90_PSA!C325</f>
        <v>NA</v>
      </c>
      <c r="D325">
        <f>[1]sens_0_spec_90_PSA!D325</f>
        <v>0</v>
      </c>
      <c r="E325" s="1">
        <f>[1]sens_0_spec_90_PSA!E325</f>
        <v>0.16550000000000001</v>
      </c>
      <c r="F325" s="1">
        <f>[1]sens_0_spec_90_PSA!F325</f>
        <v>3.32E-2</v>
      </c>
      <c r="G325" s="2">
        <f>[1]sens_0_spec_90_PSA!G325</f>
        <v>17.251233742341402</v>
      </c>
      <c r="H325" s="2">
        <f>[1]sens_0_spec_90_PSA!H325</f>
        <v>13.1247796609667</v>
      </c>
      <c r="I325" s="2">
        <f>[1]sens_0_spec_90_PSA!I325</f>
        <v>8.0529475978339207</v>
      </c>
      <c r="J325" s="3">
        <f>[1]sens_0_spec_90_PSA!J325</f>
        <v>245145.32710550801</v>
      </c>
      <c r="K325" s="3">
        <f>[1]sens_0_spec_90_PSA!K325</f>
        <v>148214.77899294099</v>
      </c>
      <c r="L325">
        <f>[1]sens_0_spec_90_PSA!L325</f>
        <v>1</v>
      </c>
      <c r="M325">
        <f>[1]sens_0_spec_90_PSA!M325</f>
        <v>0</v>
      </c>
    </row>
    <row r="326" spans="1:13" x14ac:dyDescent="0.25">
      <c r="A326">
        <v>325</v>
      </c>
      <c r="B326">
        <f>[1]sens_0_spec_90_PSA!B326</f>
        <v>0</v>
      </c>
      <c r="C326" t="str">
        <f>[1]sens_0_spec_90_PSA!C326</f>
        <v>NA</v>
      </c>
      <c r="D326">
        <f>[1]sens_0_spec_90_PSA!D326</f>
        <v>0</v>
      </c>
      <c r="E326" s="1">
        <f>[1]sens_0_spec_90_PSA!E326</f>
        <v>0.16270000000000001</v>
      </c>
      <c r="F326" s="1">
        <f>[1]sens_0_spec_90_PSA!F326</f>
        <v>6.0400000000000002E-2</v>
      </c>
      <c r="G326" s="2">
        <f>[1]sens_0_spec_90_PSA!G326</f>
        <v>19.382705255816202</v>
      </c>
      <c r="H326" s="2">
        <f>[1]sens_0_spec_90_PSA!H326</f>
        <v>15.431749304251101</v>
      </c>
      <c r="I326" s="2">
        <f>[1]sens_0_spec_90_PSA!I326</f>
        <v>9.0801425777247609</v>
      </c>
      <c r="J326" s="3">
        <f>[1]sens_0_spec_90_PSA!J326</f>
        <v>255105.88731715601</v>
      </c>
      <c r="K326" s="3">
        <f>[1]sens_0_spec_90_PSA!K326</f>
        <v>146030.41932011399</v>
      </c>
      <c r="L326">
        <f>[1]sens_0_spec_90_PSA!L326</f>
        <v>1</v>
      </c>
      <c r="M326">
        <f>[1]sens_0_spec_90_PSA!M326</f>
        <v>0</v>
      </c>
    </row>
    <row r="327" spans="1:13" x14ac:dyDescent="0.25">
      <c r="A327">
        <v>326</v>
      </c>
      <c r="B327">
        <f>[1]sens_0_spec_90_PSA!B327</f>
        <v>0</v>
      </c>
      <c r="C327" t="str">
        <f>[1]sens_0_spec_90_PSA!C327</f>
        <v>NA</v>
      </c>
      <c r="D327">
        <f>[1]sens_0_spec_90_PSA!D327</f>
        <v>0</v>
      </c>
      <c r="E327" s="1">
        <f>[1]sens_0_spec_90_PSA!E327</f>
        <v>0.124</v>
      </c>
      <c r="F327" s="1">
        <f>[1]sens_0_spec_90_PSA!F327</f>
        <v>3.6999999999999998E-2</v>
      </c>
      <c r="G327" s="2">
        <f>[1]sens_0_spec_90_PSA!G327</f>
        <v>17.721312356713401</v>
      </c>
      <c r="H327" s="2">
        <f>[1]sens_0_spec_90_PSA!H327</f>
        <v>11.9860167050977</v>
      </c>
      <c r="I327" s="2">
        <f>[1]sens_0_spec_90_PSA!I327</f>
        <v>7.35147277976455</v>
      </c>
      <c r="J327" s="3">
        <f>[1]sens_0_spec_90_PSA!J327</f>
        <v>154548.621623343</v>
      </c>
      <c r="K327" s="3">
        <f>[1]sens_0_spec_90_PSA!K327</f>
        <v>96245.696961528898</v>
      </c>
      <c r="L327">
        <f>[1]sens_0_spec_90_PSA!L327</f>
        <v>1</v>
      </c>
      <c r="M327">
        <f>[1]sens_0_spec_90_PSA!M327</f>
        <v>0</v>
      </c>
    </row>
    <row r="328" spans="1:13" x14ac:dyDescent="0.25">
      <c r="A328">
        <v>327</v>
      </c>
      <c r="B328">
        <f>[1]sens_0_spec_90_PSA!B328</f>
        <v>0</v>
      </c>
      <c r="C328" t="str">
        <f>[1]sens_0_spec_90_PSA!C328</f>
        <v>NA</v>
      </c>
      <c r="D328">
        <f>[1]sens_0_spec_90_PSA!D328</f>
        <v>0</v>
      </c>
      <c r="E328" s="1">
        <f>[1]sens_0_spec_90_PSA!E328</f>
        <v>0.20799999999999999</v>
      </c>
      <c r="F328" s="1">
        <f>[1]sens_0_spec_90_PSA!F328</f>
        <v>2.8199999999999999E-2</v>
      </c>
      <c r="G328" s="2">
        <f>[1]sens_0_spec_90_PSA!G328</f>
        <v>18.1193333193157</v>
      </c>
      <c r="H328" s="2">
        <f>[1]sens_0_spec_90_PSA!H328</f>
        <v>11.226849680566399</v>
      </c>
      <c r="I328" s="2">
        <f>[1]sens_0_spec_90_PSA!I328</f>
        <v>6.7045650097325202</v>
      </c>
      <c r="J328" s="3">
        <f>[1]sens_0_spec_90_PSA!J328</f>
        <v>232202.417444883</v>
      </c>
      <c r="K328" s="3">
        <f>[1]sens_0_spec_90_PSA!K328</f>
        <v>135676.02272642299</v>
      </c>
      <c r="L328">
        <f>[1]sens_0_spec_90_PSA!L328</f>
        <v>1</v>
      </c>
      <c r="M328">
        <f>[1]sens_0_spec_90_PSA!M328</f>
        <v>0</v>
      </c>
    </row>
    <row r="329" spans="1:13" x14ac:dyDescent="0.25">
      <c r="A329">
        <v>328</v>
      </c>
      <c r="B329">
        <f>[1]sens_0_spec_90_PSA!B329</f>
        <v>0</v>
      </c>
      <c r="C329" t="str">
        <f>[1]sens_0_spec_90_PSA!C329</f>
        <v>NA</v>
      </c>
      <c r="D329">
        <f>[1]sens_0_spec_90_PSA!D329</f>
        <v>0</v>
      </c>
      <c r="E329" s="1">
        <f>[1]sens_0_spec_90_PSA!E329</f>
        <v>0.2059</v>
      </c>
      <c r="F329" s="1">
        <f>[1]sens_0_spec_90_PSA!F329</f>
        <v>5.4100000000000002E-2</v>
      </c>
      <c r="G329" s="2">
        <f>[1]sens_0_spec_90_PSA!G329</f>
        <v>16.852264845284498</v>
      </c>
      <c r="H329" s="2">
        <f>[1]sens_0_spec_90_PSA!H329</f>
        <v>11.3099468178424</v>
      </c>
      <c r="I329" s="2">
        <f>[1]sens_0_spec_90_PSA!I329</f>
        <v>6.8437033262881002</v>
      </c>
      <c r="J329" s="3">
        <f>[1]sens_0_spec_90_PSA!J329</f>
        <v>173324.00587080201</v>
      </c>
      <c r="K329" s="3">
        <f>[1]sens_0_spec_90_PSA!K329</f>
        <v>104929.602364315</v>
      </c>
      <c r="L329">
        <f>[1]sens_0_spec_90_PSA!L329</f>
        <v>1</v>
      </c>
      <c r="M329">
        <f>[1]sens_0_spec_90_PSA!M329</f>
        <v>0</v>
      </c>
    </row>
    <row r="330" spans="1:13" x14ac:dyDescent="0.25">
      <c r="A330">
        <v>329</v>
      </c>
      <c r="B330">
        <f>[1]sens_0_spec_90_PSA!B330</f>
        <v>0</v>
      </c>
      <c r="C330" t="str">
        <f>[1]sens_0_spec_90_PSA!C330</f>
        <v>NA</v>
      </c>
      <c r="D330">
        <f>[1]sens_0_spec_90_PSA!D330</f>
        <v>0</v>
      </c>
      <c r="E330" s="1">
        <f>[1]sens_0_spec_90_PSA!E330</f>
        <v>0.20880000000000001</v>
      </c>
      <c r="F330" s="1">
        <f>[1]sens_0_spec_90_PSA!F330</f>
        <v>3.9199999999999999E-2</v>
      </c>
      <c r="G330" s="2">
        <f>[1]sens_0_spec_90_PSA!G330</f>
        <v>17.686624152161802</v>
      </c>
      <c r="H330" s="2">
        <f>[1]sens_0_spec_90_PSA!H330</f>
        <v>13.9642941702492</v>
      </c>
      <c r="I330" s="2">
        <f>[1]sens_0_spec_90_PSA!I330</f>
        <v>8.3884840436812098</v>
      </c>
      <c r="J330" s="3">
        <f>[1]sens_0_spec_90_PSA!J330</f>
        <v>193714.056715371</v>
      </c>
      <c r="K330" s="3">
        <f>[1]sens_0_spec_90_PSA!K330</f>
        <v>115495.542065499</v>
      </c>
      <c r="L330">
        <f>[1]sens_0_spec_90_PSA!L330</f>
        <v>1</v>
      </c>
      <c r="M330">
        <f>[1]sens_0_spec_90_PSA!M330</f>
        <v>0</v>
      </c>
    </row>
    <row r="331" spans="1:13" x14ac:dyDescent="0.25">
      <c r="A331">
        <v>330</v>
      </c>
      <c r="B331">
        <f>[1]sens_0_spec_90_PSA!B331</f>
        <v>0</v>
      </c>
      <c r="C331" t="str">
        <f>[1]sens_0_spec_90_PSA!C331</f>
        <v>NA</v>
      </c>
      <c r="D331">
        <f>[1]sens_0_spec_90_PSA!D331</f>
        <v>0</v>
      </c>
      <c r="E331" s="1">
        <f>[1]sens_0_spec_90_PSA!E331</f>
        <v>0.23480000000000001</v>
      </c>
      <c r="F331" s="1">
        <f>[1]sens_0_spec_90_PSA!F331</f>
        <v>3.8100000000000002E-2</v>
      </c>
      <c r="G331" s="2">
        <f>[1]sens_0_spec_90_PSA!G331</f>
        <v>18.1651096413791</v>
      </c>
      <c r="H331" s="2">
        <f>[1]sens_0_spec_90_PSA!H331</f>
        <v>13.4275961830851</v>
      </c>
      <c r="I331" s="2">
        <f>[1]sens_0_spec_90_PSA!I331</f>
        <v>7.9194091979694603</v>
      </c>
      <c r="J331" s="3">
        <f>[1]sens_0_spec_90_PSA!J331</f>
        <v>156100.43619820999</v>
      </c>
      <c r="K331" s="3">
        <f>[1]sens_0_spec_90_PSA!K331</f>
        <v>92420.365829985007</v>
      </c>
      <c r="L331">
        <f>[1]sens_0_spec_90_PSA!L331</f>
        <v>1</v>
      </c>
      <c r="M331">
        <f>[1]sens_0_spec_90_PSA!M331</f>
        <v>0</v>
      </c>
    </row>
    <row r="332" spans="1:13" x14ac:dyDescent="0.25">
      <c r="A332">
        <v>331</v>
      </c>
      <c r="B332">
        <f>[1]sens_0_spec_90_PSA!B332</f>
        <v>0</v>
      </c>
      <c r="C332" t="str">
        <f>[1]sens_0_spec_90_PSA!C332</f>
        <v>NA</v>
      </c>
      <c r="D332">
        <f>[1]sens_0_spec_90_PSA!D332</f>
        <v>0</v>
      </c>
      <c r="E332" s="1">
        <f>[1]sens_0_spec_90_PSA!E332</f>
        <v>0.18729999999999999</v>
      </c>
      <c r="F332" s="1">
        <f>[1]sens_0_spec_90_PSA!F332</f>
        <v>5.6899999999999999E-2</v>
      </c>
      <c r="G332" s="2">
        <f>[1]sens_0_spec_90_PSA!G332</f>
        <v>18.5738563920596</v>
      </c>
      <c r="H332" s="2">
        <f>[1]sens_0_spec_90_PSA!H332</f>
        <v>12.1007993665605</v>
      </c>
      <c r="I332" s="2">
        <f>[1]sens_0_spec_90_PSA!I332</f>
        <v>7.1644009653791896</v>
      </c>
      <c r="J332" s="3">
        <f>[1]sens_0_spec_90_PSA!J332</f>
        <v>172912.41307863701</v>
      </c>
      <c r="K332" s="3">
        <f>[1]sens_0_spec_90_PSA!K332</f>
        <v>102180.96608036599</v>
      </c>
      <c r="L332">
        <f>[1]sens_0_spec_90_PSA!L332</f>
        <v>1</v>
      </c>
      <c r="M332">
        <f>[1]sens_0_spec_90_PSA!M332</f>
        <v>0</v>
      </c>
    </row>
    <row r="333" spans="1:13" x14ac:dyDescent="0.25">
      <c r="A333">
        <v>332</v>
      </c>
      <c r="B333">
        <f>[1]sens_0_spec_90_PSA!B333</f>
        <v>0</v>
      </c>
      <c r="C333" t="str">
        <f>[1]sens_0_spec_90_PSA!C333</f>
        <v>NA</v>
      </c>
      <c r="D333">
        <f>[1]sens_0_spec_90_PSA!D333</f>
        <v>0</v>
      </c>
      <c r="E333" s="1">
        <f>[1]sens_0_spec_90_PSA!E333</f>
        <v>0.191</v>
      </c>
      <c r="F333" s="1">
        <f>[1]sens_0_spec_90_PSA!F333</f>
        <v>5.3100000000000001E-2</v>
      </c>
      <c r="G333" s="2">
        <f>[1]sens_0_spec_90_PSA!G333</f>
        <v>18.599896280555701</v>
      </c>
      <c r="H333" s="2">
        <f>[1]sens_0_spec_90_PSA!H333</f>
        <v>13.5015354642288</v>
      </c>
      <c r="I333" s="2">
        <f>[1]sens_0_spec_90_PSA!I333</f>
        <v>7.9775987546323801</v>
      </c>
      <c r="J333" s="3">
        <f>[1]sens_0_spec_90_PSA!J333</f>
        <v>213455.37840154301</v>
      </c>
      <c r="K333" s="3">
        <f>[1]sens_0_spec_90_PSA!K333</f>
        <v>124265.51474986</v>
      </c>
      <c r="L333">
        <f>[1]sens_0_spec_90_PSA!L333</f>
        <v>1</v>
      </c>
      <c r="M333">
        <f>[1]sens_0_spec_90_PSA!M333</f>
        <v>0</v>
      </c>
    </row>
    <row r="334" spans="1:13" x14ac:dyDescent="0.25">
      <c r="A334">
        <v>333</v>
      </c>
      <c r="B334">
        <f>[1]sens_0_spec_90_PSA!B334</f>
        <v>0</v>
      </c>
      <c r="C334" t="str">
        <f>[1]sens_0_spec_90_PSA!C334</f>
        <v>NA</v>
      </c>
      <c r="D334">
        <f>[1]sens_0_spec_90_PSA!D334</f>
        <v>0</v>
      </c>
      <c r="E334" s="1">
        <f>[1]sens_0_spec_90_PSA!E334</f>
        <v>0.12759999999999999</v>
      </c>
      <c r="F334" s="1">
        <f>[1]sens_0_spec_90_PSA!F334</f>
        <v>3.3399999999999999E-2</v>
      </c>
      <c r="G334" s="2">
        <f>[1]sens_0_spec_90_PSA!G334</f>
        <v>18.314135312112299</v>
      </c>
      <c r="H334" s="2">
        <f>[1]sens_0_spec_90_PSA!H334</f>
        <v>12.987270794078301</v>
      </c>
      <c r="I334" s="2">
        <f>[1]sens_0_spec_90_PSA!I334</f>
        <v>7.91448799036342</v>
      </c>
      <c r="J334" s="3">
        <f>[1]sens_0_spec_90_PSA!J334</f>
        <v>158083.698710456</v>
      </c>
      <c r="K334" s="3">
        <f>[1]sens_0_spec_90_PSA!K334</f>
        <v>97416.542370303301</v>
      </c>
      <c r="L334">
        <f>[1]sens_0_spec_90_PSA!L334</f>
        <v>1</v>
      </c>
      <c r="M334">
        <f>[1]sens_0_spec_90_PSA!M334</f>
        <v>0</v>
      </c>
    </row>
    <row r="335" spans="1:13" x14ac:dyDescent="0.25">
      <c r="A335">
        <v>334</v>
      </c>
      <c r="B335">
        <f>[1]sens_0_spec_90_PSA!B335</f>
        <v>0</v>
      </c>
      <c r="C335" t="str">
        <f>[1]sens_0_spec_90_PSA!C335</f>
        <v>NA</v>
      </c>
      <c r="D335">
        <f>[1]sens_0_spec_90_PSA!D335</f>
        <v>0</v>
      </c>
      <c r="E335" s="1">
        <f>[1]sens_0_spec_90_PSA!E335</f>
        <v>0.1215</v>
      </c>
      <c r="F335" s="1">
        <f>[1]sens_0_spec_90_PSA!F335</f>
        <v>4.9399999999999999E-2</v>
      </c>
      <c r="G335" s="2">
        <f>[1]sens_0_spec_90_PSA!G335</f>
        <v>19.806017168327799</v>
      </c>
      <c r="H335" s="2">
        <f>[1]sens_0_spec_90_PSA!H335</f>
        <v>14.5015792189952</v>
      </c>
      <c r="I335" s="2">
        <f>[1]sens_0_spec_90_PSA!I335</f>
        <v>8.6250227365165504</v>
      </c>
      <c r="J335" s="3">
        <f>[1]sens_0_spec_90_PSA!J335</f>
        <v>276399.93177519302</v>
      </c>
      <c r="K335" s="3">
        <f>[1]sens_0_spec_90_PSA!K335</f>
        <v>160020.04871681301</v>
      </c>
      <c r="L335">
        <f>[1]sens_0_spec_90_PSA!L335</f>
        <v>1</v>
      </c>
      <c r="M335">
        <f>[1]sens_0_spec_90_PSA!M335</f>
        <v>0</v>
      </c>
    </row>
    <row r="336" spans="1:13" x14ac:dyDescent="0.25">
      <c r="A336">
        <v>335</v>
      </c>
      <c r="B336">
        <f>[1]sens_0_spec_90_PSA!B336</f>
        <v>0</v>
      </c>
      <c r="C336" t="str">
        <f>[1]sens_0_spec_90_PSA!C336</f>
        <v>NA</v>
      </c>
      <c r="D336">
        <f>[1]sens_0_spec_90_PSA!D336</f>
        <v>0</v>
      </c>
      <c r="E336" s="1">
        <f>[1]sens_0_spec_90_PSA!E336</f>
        <v>0.17030000000000001</v>
      </c>
      <c r="F336" s="1">
        <f>[1]sens_0_spec_90_PSA!F336</f>
        <v>4.2000000000000003E-2</v>
      </c>
      <c r="G336" s="2">
        <f>[1]sens_0_spec_90_PSA!G336</f>
        <v>19.700261863762801</v>
      </c>
      <c r="H336" s="2">
        <f>[1]sens_0_spec_90_PSA!H336</f>
        <v>15.533278753618101</v>
      </c>
      <c r="I336" s="2">
        <f>[1]sens_0_spec_90_PSA!I336</f>
        <v>9.1169607324562705</v>
      </c>
      <c r="J336" s="3">
        <f>[1]sens_0_spec_90_PSA!J336</f>
        <v>238563.99253141799</v>
      </c>
      <c r="K336" s="3">
        <f>[1]sens_0_spec_90_PSA!K336</f>
        <v>136807.656355404</v>
      </c>
      <c r="L336">
        <f>[1]sens_0_spec_90_PSA!L336</f>
        <v>1</v>
      </c>
      <c r="M336">
        <f>[1]sens_0_spec_90_PSA!M336</f>
        <v>0</v>
      </c>
    </row>
    <row r="337" spans="1:13" x14ac:dyDescent="0.25">
      <c r="A337">
        <v>336</v>
      </c>
      <c r="B337">
        <f>[1]sens_0_spec_90_PSA!B337</f>
        <v>0</v>
      </c>
      <c r="C337" t="str">
        <f>[1]sens_0_spec_90_PSA!C337</f>
        <v>NA</v>
      </c>
      <c r="D337">
        <f>[1]sens_0_spec_90_PSA!D337</f>
        <v>0</v>
      </c>
      <c r="E337" s="1">
        <f>[1]sens_0_spec_90_PSA!E337</f>
        <v>0.23769999999999999</v>
      </c>
      <c r="F337" s="1">
        <f>[1]sens_0_spec_90_PSA!F337</f>
        <v>4.6899999999999997E-2</v>
      </c>
      <c r="G337" s="2">
        <f>[1]sens_0_spec_90_PSA!G337</f>
        <v>15.875565649921301</v>
      </c>
      <c r="H337" s="2">
        <f>[1]sens_0_spec_90_PSA!H337</f>
        <v>11.8057865029746</v>
      </c>
      <c r="I337" s="2">
        <f>[1]sens_0_spec_90_PSA!I337</f>
        <v>7.2164680364279397</v>
      </c>
      <c r="J337" s="3">
        <f>[1]sens_0_spec_90_PSA!J337</f>
        <v>144101.56892521199</v>
      </c>
      <c r="K337" s="3">
        <f>[1]sens_0_spec_90_PSA!K337</f>
        <v>89579.875111504007</v>
      </c>
      <c r="L337">
        <f>[1]sens_0_spec_90_PSA!L337</f>
        <v>1</v>
      </c>
      <c r="M337">
        <f>[1]sens_0_spec_90_PSA!M337</f>
        <v>0</v>
      </c>
    </row>
    <row r="338" spans="1:13" x14ac:dyDescent="0.25">
      <c r="A338">
        <v>337</v>
      </c>
      <c r="B338">
        <f>[1]sens_0_spec_90_PSA!B338</f>
        <v>0</v>
      </c>
      <c r="C338" t="str">
        <f>[1]sens_0_spec_90_PSA!C338</f>
        <v>NA</v>
      </c>
      <c r="D338">
        <f>[1]sens_0_spec_90_PSA!D338</f>
        <v>0</v>
      </c>
      <c r="E338" s="1">
        <f>[1]sens_0_spec_90_PSA!E338</f>
        <v>0.18149999999999999</v>
      </c>
      <c r="F338" s="1">
        <f>[1]sens_0_spec_90_PSA!F338</f>
        <v>5.28E-2</v>
      </c>
      <c r="G338" s="2">
        <f>[1]sens_0_spec_90_PSA!G338</f>
        <v>18.547290950257501</v>
      </c>
      <c r="H338" s="2">
        <f>[1]sens_0_spec_90_PSA!H338</f>
        <v>11.978071105828301</v>
      </c>
      <c r="I338" s="2">
        <f>[1]sens_0_spec_90_PSA!I338</f>
        <v>7.10905980556893</v>
      </c>
      <c r="J338" s="3">
        <f>[1]sens_0_spec_90_PSA!J338</f>
        <v>190317.74527375199</v>
      </c>
      <c r="K338" s="3">
        <f>[1]sens_0_spec_90_PSA!K338</f>
        <v>112085.199196817</v>
      </c>
      <c r="L338">
        <f>[1]sens_0_spec_90_PSA!L338</f>
        <v>1</v>
      </c>
      <c r="M338">
        <f>[1]sens_0_spec_90_PSA!M338</f>
        <v>0</v>
      </c>
    </row>
    <row r="339" spans="1:13" x14ac:dyDescent="0.25">
      <c r="A339">
        <v>338</v>
      </c>
      <c r="B339">
        <f>[1]sens_0_spec_90_PSA!B339</f>
        <v>0</v>
      </c>
      <c r="C339" t="str">
        <f>[1]sens_0_spec_90_PSA!C339</f>
        <v>NA</v>
      </c>
      <c r="D339">
        <f>[1]sens_0_spec_90_PSA!D339</f>
        <v>0</v>
      </c>
      <c r="E339" s="1">
        <f>[1]sens_0_spec_90_PSA!E339</f>
        <v>0.22850000000000001</v>
      </c>
      <c r="F339" s="1">
        <f>[1]sens_0_spec_90_PSA!F339</f>
        <v>3.4099999999999998E-2</v>
      </c>
      <c r="G339" s="2">
        <f>[1]sens_0_spec_90_PSA!G339</f>
        <v>17.335051199870598</v>
      </c>
      <c r="H339" s="2">
        <f>[1]sens_0_spec_90_PSA!H339</f>
        <v>13.2417831157313</v>
      </c>
      <c r="I339" s="2">
        <f>[1]sens_0_spec_90_PSA!I339</f>
        <v>7.9487625567221798</v>
      </c>
      <c r="J339" s="3">
        <f>[1]sens_0_spec_90_PSA!J339</f>
        <v>185827.153903734</v>
      </c>
      <c r="K339" s="3">
        <f>[1]sens_0_spec_90_PSA!K339</f>
        <v>111100.46046135999</v>
      </c>
      <c r="L339">
        <f>[1]sens_0_spec_90_PSA!L339</f>
        <v>1</v>
      </c>
      <c r="M339">
        <f>[1]sens_0_spec_90_PSA!M339</f>
        <v>0</v>
      </c>
    </row>
    <row r="340" spans="1:13" x14ac:dyDescent="0.25">
      <c r="A340">
        <v>339</v>
      </c>
      <c r="B340">
        <f>[1]sens_0_spec_90_PSA!B340</f>
        <v>0</v>
      </c>
      <c r="C340" t="str">
        <f>[1]sens_0_spec_90_PSA!C340</f>
        <v>NA</v>
      </c>
      <c r="D340">
        <f>[1]sens_0_spec_90_PSA!D340</f>
        <v>0</v>
      </c>
      <c r="E340" s="1">
        <f>[1]sens_0_spec_90_PSA!E340</f>
        <v>0.1731</v>
      </c>
      <c r="F340" s="1">
        <f>[1]sens_0_spec_90_PSA!F340</f>
        <v>2.7799999999999998E-2</v>
      </c>
      <c r="G340" s="2">
        <f>[1]sens_0_spec_90_PSA!G340</f>
        <v>18.038374318109</v>
      </c>
      <c r="H340" s="2">
        <f>[1]sens_0_spec_90_PSA!H340</f>
        <v>12.9708343547534</v>
      </c>
      <c r="I340" s="2">
        <f>[1]sens_0_spec_90_PSA!I340</f>
        <v>7.8442191608916403</v>
      </c>
      <c r="J340" s="3">
        <f>[1]sens_0_spec_90_PSA!J340</f>
        <v>249073.471528088</v>
      </c>
      <c r="K340" s="3">
        <f>[1]sens_0_spec_90_PSA!K340</f>
        <v>147802.573475143</v>
      </c>
      <c r="L340">
        <f>[1]sens_0_spec_90_PSA!L340</f>
        <v>1</v>
      </c>
      <c r="M340">
        <f>[1]sens_0_spec_90_PSA!M340</f>
        <v>0</v>
      </c>
    </row>
    <row r="341" spans="1:13" x14ac:dyDescent="0.25">
      <c r="A341">
        <v>340</v>
      </c>
      <c r="B341">
        <f>[1]sens_0_spec_90_PSA!B341</f>
        <v>0</v>
      </c>
      <c r="C341" t="str">
        <f>[1]sens_0_spec_90_PSA!C341</f>
        <v>NA</v>
      </c>
      <c r="D341">
        <f>[1]sens_0_spec_90_PSA!D341</f>
        <v>0</v>
      </c>
      <c r="E341" s="1">
        <f>[1]sens_0_spec_90_PSA!E341</f>
        <v>0.15840000000000001</v>
      </c>
      <c r="F341" s="1">
        <f>[1]sens_0_spec_90_PSA!F341</f>
        <v>4.7399999999999998E-2</v>
      </c>
      <c r="G341" s="2">
        <f>[1]sens_0_spec_90_PSA!G341</f>
        <v>18.044792370031299</v>
      </c>
      <c r="H341" s="2">
        <f>[1]sens_0_spec_90_PSA!H341</f>
        <v>13.5022252585226</v>
      </c>
      <c r="I341" s="2">
        <f>[1]sens_0_spec_90_PSA!I341</f>
        <v>8.1451396174916102</v>
      </c>
      <c r="J341" s="3">
        <f>[1]sens_0_spec_90_PSA!J341</f>
        <v>162348.252898946</v>
      </c>
      <c r="K341" s="3">
        <f>[1]sens_0_spec_90_PSA!K341</f>
        <v>98442.752158530493</v>
      </c>
      <c r="L341">
        <f>[1]sens_0_spec_90_PSA!L341</f>
        <v>1</v>
      </c>
      <c r="M341">
        <f>[1]sens_0_spec_90_PSA!M341</f>
        <v>0</v>
      </c>
    </row>
    <row r="342" spans="1:13" x14ac:dyDescent="0.25">
      <c r="A342">
        <v>341</v>
      </c>
      <c r="B342">
        <f>[1]sens_0_spec_90_PSA!B342</f>
        <v>0</v>
      </c>
      <c r="C342" t="str">
        <f>[1]sens_0_spec_90_PSA!C342</f>
        <v>NA</v>
      </c>
      <c r="D342">
        <f>[1]sens_0_spec_90_PSA!D342</f>
        <v>0</v>
      </c>
      <c r="E342" s="1">
        <f>[1]sens_0_spec_90_PSA!E342</f>
        <v>0.22700000000000001</v>
      </c>
      <c r="F342" s="1">
        <f>[1]sens_0_spec_90_PSA!F342</f>
        <v>4.9200000000000001E-2</v>
      </c>
      <c r="G342" s="2">
        <f>[1]sens_0_spec_90_PSA!G342</f>
        <v>17.5857497187645</v>
      </c>
      <c r="H342" s="2">
        <f>[1]sens_0_spec_90_PSA!H342</f>
        <v>12.4902922583339</v>
      </c>
      <c r="I342" s="2">
        <f>[1]sens_0_spec_90_PSA!I342</f>
        <v>7.4397354147885304</v>
      </c>
      <c r="J342" s="3">
        <f>[1]sens_0_spec_90_PSA!J342</f>
        <v>182020.01627751501</v>
      </c>
      <c r="K342" s="3">
        <f>[1]sens_0_spec_90_PSA!K342</f>
        <v>107696.237733085</v>
      </c>
      <c r="L342">
        <f>[1]sens_0_spec_90_PSA!L342</f>
        <v>1</v>
      </c>
      <c r="M342">
        <f>[1]sens_0_spec_90_PSA!M342</f>
        <v>0</v>
      </c>
    </row>
    <row r="343" spans="1:13" x14ac:dyDescent="0.25">
      <c r="A343">
        <v>342</v>
      </c>
      <c r="B343">
        <f>[1]sens_0_spec_90_PSA!B343</f>
        <v>0</v>
      </c>
      <c r="C343" t="str">
        <f>[1]sens_0_spec_90_PSA!C343</f>
        <v>NA</v>
      </c>
      <c r="D343">
        <f>[1]sens_0_spec_90_PSA!D343</f>
        <v>0</v>
      </c>
      <c r="E343" s="1">
        <f>[1]sens_0_spec_90_PSA!E343</f>
        <v>0.14130000000000001</v>
      </c>
      <c r="F343" s="1">
        <f>[1]sens_0_spec_90_PSA!F343</f>
        <v>4.1399999999999999E-2</v>
      </c>
      <c r="G343" s="2">
        <f>[1]sens_0_spec_90_PSA!G343</f>
        <v>18.447107879216301</v>
      </c>
      <c r="H343" s="2">
        <f>[1]sens_0_spec_90_PSA!H343</f>
        <v>12.865936921166201</v>
      </c>
      <c r="I343" s="2">
        <f>[1]sens_0_spec_90_PSA!I343</f>
        <v>7.7563797932159497</v>
      </c>
      <c r="J343" s="3">
        <f>[1]sens_0_spec_90_PSA!J343</f>
        <v>239637.69792343699</v>
      </c>
      <c r="K343" s="3">
        <f>[1]sens_0_spec_90_PSA!K343</f>
        <v>141747.727391422</v>
      </c>
      <c r="L343">
        <f>[1]sens_0_spec_90_PSA!L343</f>
        <v>1</v>
      </c>
      <c r="M343">
        <f>[1]sens_0_spec_90_PSA!M343</f>
        <v>0</v>
      </c>
    </row>
    <row r="344" spans="1:13" x14ac:dyDescent="0.25">
      <c r="A344">
        <v>343</v>
      </c>
      <c r="B344">
        <f>[1]sens_0_spec_90_PSA!B344</f>
        <v>0</v>
      </c>
      <c r="C344" t="str">
        <f>[1]sens_0_spec_90_PSA!C344</f>
        <v>NA</v>
      </c>
      <c r="D344">
        <f>[1]sens_0_spec_90_PSA!D344</f>
        <v>0</v>
      </c>
      <c r="E344" s="1">
        <f>[1]sens_0_spec_90_PSA!E344</f>
        <v>0.156</v>
      </c>
      <c r="F344" s="1">
        <f>[1]sens_0_spec_90_PSA!F344</f>
        <v>5.0500000000000003E-2</v>
      </c>
      <c r="G344" s="2">
        <f>[1]sens_0_spec_90_PSA!G344</f>
        <v>17.277030103295299</v>
      </c>
      <c r="H344" s="2">
        <f>[1]sens_0_spec_90_PSA!H344</f>
        <v>11.2817783460277</v>
      </c>
      <c r="I344" s="2">
        <f>[1]sens_0_spec_90_PSA!I344</f>
        <v>6.8601610025641904</v>
      </c>
      <c r="J344" s="3">
        <f>[1]sens_0_spec_90_PSA!J344</f>
        <v>193501.33904818801</v>
      </c>
      <c r="K344" s="3">
        <f>[1]sens_0_spec_90_PSA!K344</f>
        <v>117515.580140972</v>
      </c>
      <c r="L344">
        <f>[1]sens_0_spec_90_PSA!L344</f>
        <v>1</v>
      </c>
      <c r="M344">
        <f>[1]sens_0_spec_90_PSA!M344</f>
        <v>0</v>
      </c>
    </row>
    <row r="345" spans="1:13" x14ac:dyDescent="0.25">
      <c r="A345">
        <v>344</v>
      </c>
      <c r="B345">
        <f>[1]sens_0_spec_90_PSA!B345</f>
        <v>0</v>
      </c>
      <c r="C345" t="str">
        <f>[1]sens_0_spec_90_PSA!C345</f>
        <v>NA</v>
      </c>
      <c r="D345">
        <f>[1]sens_0_spec_90_PSA!D345</f>
        <v>0</v>
      </c>
      <c r="E345" s="1">
        <f>[1]sens_0_spec_90_PSA!E345</f>
        <v>0.29270000000000002</v>
      </c>
      <c r="F345" s="1">
        <f>[1]sens_0_spec_90_PSA!F345</f>
        <v>2.6100000000000002E-2</v>
      </c>
      <c r="G345" s="2">
        <f>[1]sens_0_spec_90_PSA!G345</f>
        <v>16.057042227693</v>
      </c>
      <c r="H345" s="2">
        <f>[1]sens_0_spec_90_PSA!H345</f>
        <v>11.659489993192899</v>
      </c>
      <c r="I345" s="2">
        <f>[1]sens_0_spec_90_PSA!I345</f>
        <v>7.0044116644979404</v>
      </c>
      <c r="J345" s="3">
        <f>[1]sens_0_spec_90_PSA!J345</f>
        <v>174191.71963754599</v>
      </c>
      <c r="K345" s="3">
        <f>[1]sens_0_spec_90_PSA!K345</f>
        <v>104138.073441649</v>
      </c>
      <c r="L345">
        <f>[1]sens_0_spec_90_PSA!L345</f>
        <v>1</v>
      </c>
      <c r="M345">
        <f>[1]sens_0_spec_90_PSA!M345</f>
        <v>0</v>
      </c>
    </row>
    <row r="346" spans="1:13" x14ac:dyDescent="0.25">
      <c r="A346">
        <v>345</v>
      </c>
      <c r="B346">
        <f>[1]sens_0_spec_90_PSA!B346</f>
        <v>0</v>
      </c>
      <c r="C346" t="str">
        <f>[1]sens_0_spec_90_PSA!C346</f>
        <v>NA</v>
      </c>
      <c r="D346">
        <f>[1]sens_0_spec_90_PSA!D346</f>
        <v>0</v>
      </c>
      <c r="E346" s="1">
        <f>[1]sens_0_spec_90_PSA!E346</f>
        <v>0.21149999999999999</v>
      </c>
      <c r="F346" s="1">
        <f>[1]sens_0_spec_90_PSA!F346</f>
        <v>3.6900000000000002E-2</v>
      </c>
      <c r="G346" s="2">
        <f>[1]sens_0_spec_90_PSA!G346</f>
        <v>18.187901280022</v>
      </c>
      <c r="H346" s="2">
        <f>[1]sens_0_spec_90_PSA!H346</f>
        <v>11.4860844674691</v>
      </c>
      <c r="I346" s="2">
        <f>[1]sens_0_spec_90_PSA!I346</f>
        <v>6.8457597125738703</v>
      </c>
      <c r="J346" s="3">
        <f>[1]sens_0_spec_90_PSA!J346</f>
        <v>200415.74816428201</v>
      </c>
      <c r="K346" s="3">
        <f>[1]sens_0_spec_90_PSA!K346</f>
        <v>118044.025346029</v>
      </c>
      <c r="L346">
        <f>[1]sens_0_spec_90_PSA!L346</f>
        <v>1</v>
      </c>
      <c r="M346">
        <f>[1]sens_0_spec_90_PSA!M346</f>
        <v>0</v>
      </c>
    </row>
    <row r="347" spans="1:13" x14ac:dyDescent="0.25">
      <c r="A347">
        <v>346</v>
      </c>
      <c r="B347">
        <f>[1]sens_0_spec_90_PSA!B347</f>
        <v>0</v>
      </c>
      <c r="C347" t="str">
        <f>[1]sens_0_spec_90_PSA!C347</f>
        <v>NA</v>
      </c>
      <c r="D347">
        <f>[1]sens_0_spec_90_PSA!D347</f>
        <v>0</v>
      </c>
      <c r="E347" s="1">
        <f>[1]sens_0_spec_90_PSA!E347</f>
        <v>0.1983</v>
      </c>
      <c r="F347" s="1">
        <f>[1]sens_0_spec_90_PSA!F347</f>
        <v>5.1499999999999997E-2</v>
      </c>
      <c r="G347" s="2">
        <f>[1]sens_0_spec_90_PSA!G347</f>
        <v>17.343522097982301</v>
      </c>
      <c r="H347" s="2">
        <f>[1]sens_0_spec_90_PSA!H347</f>
        <v>13.033276208791399</v>
      </c>
      <c r="I347" s="2">
        <f>[1]sens_0_spec_90_PSA!I347</f>
        <v>7.8392885725624399</v>
      </c>
      <c r="J347" s="3">
        <f>[1]sens_0_spec_90_PSA!J347</f>
        <v>199821.39125553801</v>
      </c>
      <c r="K347" s="3">
        <f>[1]sens_0_spec_90_PSA!K347</f>
        <v>119184.065084715</v>
      </c>
      <c r="L347">
        <f>[1]sens_0_spec_90_PSA!L347</f>
        <v>1</v>
      </c>
      <c r="M347">
        <f>[1]sens_0_spec_90_PSA!M347</f>
        <v>0</v>
      </c>
    </row>
    <row r="348" spans="1:13" x14ac:dyDescent="0.25">
      <c r="A348">
        <v>347</v>
      </c>
      <c r="B348">
        <f>[1]sens_0_spec_90_PSA!B348</f>
        <v>0</v>
      </c>
      <c r="C348" t="str">
        <f>[1]sens_0_spec_90_PSA!C348</f>
        <v>NA</v>
      </c>
      <c r="D348">
        <f>[1]sens_0_spec_90_PSA!D348</f>
        <v>0</v>
      </c>
      <c r="E348" s="1">
        <f>[1]sens_0_spec_90_PSA!E348</f>
        <v>0.14349999999999999</v>
      </c>
      <c r="F348" s="1">
        <f>[1]sens_0_spec_90_PSA!F348</f>
        <v>5.5800000000000002E-2</v>
      </c>
      <c r="G348" s="2">
        <f>[1]sens_0_spec_90_PSA!G348</f>
        <v>18.9858842236393</v>
      </c>
      <c r="H348" s="2">
        <f>[1]sens_0_spec_90_PSA!H348</f>
        <v>13.8294806679024</v>
      </c>
      <c r="I348" s="2">
        <f>[1]sens_0_spec_90_PSA!I348</f>
        <v>8.2418724689452407</v>
      </c>
      <c r="J348" s="3">
        <f>[1]sens_0_spec_90_PSA!J348</f>
        <v>185790.27372661099</v>
      </c>
      <c r="K348" s="3">
        <f>[1]sens_0_spec_90_PSA!K348</f>
        <v>110149.404221622</v>
      </c>
      <c r="L348">
        <f>[1]sens_0_spec_90_PSA!L348</f>
        <v>1</v>
      </c>
      <c r="M348">
        <f>[1]sens_0_spec_90_PSA!M348</f>
        <v>0</v>
      </c>
    </row>
    <row r="349" spans="1:13" x14ac:dyDescent="0.25">
      <c r="A349">
        <v>348</v>
      </c>
      <c r="B349">
        <f>[1]sens_0_spec_90_PSA!B349</f>
        <v>0</v>
      </c>
      <c r="C349" t="str">
        <f>[1]sens_0_spec_90_PSA!C349</f>
        <v>NA</v>
      </c>
      <c r="D349">
        <f>[1]sens_0_spec_90_PSA!D349</f>
        <v>0</v>
      </c>
      <c r="E349" s="1">
        <f>[1]sens_0_spec_90_PSA!E349</f>
        <v>0.13969999999999999</v>
      </c>
      <c r="F349" s="1">
        <f>[1]sens_0_spec_90_PSA!F349</f>
        <v>4.58E-2</v>
      </c>
      <c r="G349" s="2">
        <f>[1]sens_0_spec_90_PSA!G349</f>
        <v>16.896320616298599</v>
      </c>
      <c r="H349" s="2">
        <f>[1]sens_0_spec_90_PSA!H349</f>
        <v>11.4322370249401</v>
      </c>
      <c r="I349" s="2">
        <f>[1]sens_0_spec_90_PSA!I349</f>
        <v>7.0800311286741699</v>
      </c>
      <c r="J349" s="3">
        <f>[1]sens_0_spec_90_PSA!J349</f>
        <v>183251.97515440901</v>
      </c>
      <c r="K349" s="3">
        <f>[1]sens_0_spec_90_PSA!K349</f>
        <v>113550.417695379</v>
      </c>
      <c r="L349">
        <f>[1]sens_0_spec_90_PSA!L349</f>
        <v>1</v>
      </c>
      <c r="M349">
        <f>[1]sens_0_spec_90_PSA!M349</f>
        <v>0</v>
      </c>
    </row>
    <row r="350" spans="1:13" x14ac:dyDescent="0.25">
      <c r="A350">
        <v>349</v>
      </c>
      <c r="B350">
        <f>[1]sens_0_spec_90_PSA!B350</f>
        <v>0</v>
      </c>
      <c r="C350" t="str">
        <f>[1]sens_0_spec_90_PSA!C350</f>
        <v>NA</v>
      </c>
      <c r="D350">
        <f>[1]sens_0_spec_90_PSA!D350</f>
        <v>0</v>
      </c>
      <c r="E350" s="1">
        <f>[1]sens_0_spec_90_PSA!E350</f>
        <v>0.14050000000000001</v>
      </c>
      <c r="F350" s="1">
        <f>[1]sens_0_spec_90_PSA!F350</f>
        <v>4.3099999999999999E-2</v>
      </c>
      <c r="G350" s="2">
        <f>[1]sens_0_spec_90_PSA!G350</f>
        <v>18.0739692172526</v>
      </c>
      <c r="H350" s="2">
        <f>[1]sens_0_spec_90_PSA!H350</f>
        <v>12.2326049985422</v>
      </c>
      <c r="I350" s="2">
        <f>[1]sens_0_spec_90_PSA!I350</f>
        <v>7.4256696820686701</v>
      </c>
      <c r="J350" s="3">
        <f>[1]sens_0_spec_90_PSA!J350</f>
        <v>212812.52695340599</v>
      </c>
      <c r="K350" s="3">
        <f>[1]sens_0_spec_90_PSA!K350</f>
        <v>128382.052085776</v>
      </c>
      <c r="L350">
        <f>[1]sens_0_spec_90_PSA!L350</f>
        <v>1</v>
      </c>
      <c r="M350">
        <f>[1]sens_0_spec_90_PSA!M350</f>
        <v>0</v>
      </c>
    </row>
    <row r="351" spans="1:13" x14ac:dyDescent="0.25">
      <c r="A351">
        <v>350</v>
      </c>
      <c r="B351">
        <f>[1]sens_0_spec_90_PSA!B351</f>
        <v>0</v>
      </c>
      <c r="C351" t="str">
        <f>[1]sens_0_spec_90_PSA!C351</f>
        <v>NA</v>
      </c>
      <c r="D351">
        <f>[1]sens_0_spec_90_PSA!D351</f>
        <v>0</v>
      </c>
      <c r="E351" s="1">
        <f>[1]sens_0_spec_90_PSA!E351</f>
        <v>0.18679999999999999</v>
      </c>
      <c r="F351" s="1">
        <f>[1]sens_0_spec_90_PSA!F351</f>
        <v>2.52E-2</v>
      </c>
      <c r="G351" s="2">
        <f>[1]sens_0_spec_90_PSA!G351</f>
        <v>17.276225550443101</v>
      </c>
      <c r="H351" s="2">
        <f>[1]sens_0_spec_90_PSA!H351</f>
        <v>13.3203817011937</v>
      </c>
      <c r="I351" s="2">
        <f>[1]sens_0_spec_90_PSA!I351</f>
        <v>8.1189432541362407</v>
      </c>
      <c r="J351" s="3">
        <f>[1]sens_0_spec_90_PSA!J351</f>
        <v>169639.528122572</v>
      </c>
      <c r="K351" s="3">
        <f>[1]sens_0_spec_90_PSA!K351</f>
        <v>103884.22676852399</v>
      </c>
      <c r="L351">
        <f>[1]sens_0_spec_90_PSA!L351</f>
        <v>1</v>
      </c>
      <c r="M351">
        <f>[1]sens_0_spec_90_PSA!M351</f>
        <v>0</v>
      </c>
    </row>
    <row r="352" spans="1:13" x14ac:dyDescent="0.25">
      <c r="A352">
        <v>351</v>
      </c>
      <c r="B352">
        <f>[1]sens_0_spec_90_PSA!B352</f>
        <v>0</v>
      </c>
      <c r="C352" t="str">
        <f>[1]sens_0_spec_90_PSA!C352</f>
        <v>NA</v>
      </c>
      <c r="D352">
        <f>[1]sens_0_spec_90_PSA!D352</f>
        <v>0</v>
      </c>
      <c r="E352" s="1">
        <f>[1]sens_0_spec_90_PSA!E352</f>
        <v>0.1696</v>
      </c>
      <c r="F352" s="1">
        <f>[1]sens_0_spec_90_PSA!F352</f>
        <v>4.1099999999999998E-2</v>
      </c>
      <c r="G352" s="2">
        <f>[1]sens_0_spec_90_PSA!G352</f>
        <v>18.002284350923802</v>
      </c>
      <c r="H352" s="2">
        <f>[1]sens_0_spec_90_PSA!H352</f>
        <v>11.1839311166783</v>
      </c>
      <c r="I352" s="2">
        <f>[1]sens_0_spec_90_PSA!I352</f>
        <v>6.7499632117232196</v>
      </c>
      <c r="J352" s="3">
        <f>[1]sens_0_spec_90_PSA!J352</f>
        <v>159488.04071869</v>
      </c>
      <c r="K352" s="3">
        <f>[1]sens_0_spec_90_PSA!K352</f>
        <v>97104.211909422302</v>
      </c>
      <c r="L352">
        <f>[1]sens_0_spec_90_PSA!L352</f>
        <v>1</v>
      </c>
      <c r="M352">
        <f>[1]sens_0_spec_90_PSA!M352</f>
        <v>0</v>
      </c>
    </row>
    <row r="353" spans="1:13" x14ac:dyDescent="0.25">
      <c r="A353">
        <v>352</v>
      </c>
      <c r="B353">
        <f>[1]sens_0_spec_90_PSA!B353</f>
        <v>0</v>
      </c>
      <c r="C353" t="str">
        <f>[1]sens_0_spec_90_PSA!C353</f>
        <v>NA</v>
      </c>
      <c r="D353">
        <f>[1]sens_0_spec_90_PSA!D353</f>
        <v>0</v>
      </c>
      <c r="E353" s="1">
        <f>[1]sens_0_spec_90_PSA!E353</f>
        <v>0.14119999999999999</v>
      </c>
      <c r="F353" s="1">
        <f>[1]sens_0_spec_90_PSA!F353</f>
        <v>3.3700000000000001E-2</v>
      </c>
      <c r="G353" s="2">
        <f>[1]sens_0_spec_90_PSA!G353</f>
        <v>17.6466992633632</v>
      </c>
      <c r="H353" s="2">
        <f>[1]sens_0_spec_90_PSA!H353</f>
        <v>12.651038341178101</v>
      </c>
      <c r="I353" s="2">
        <f>[1]sens_0_spec_90_PSA!I353</f>
        <v>7.7556316056092296</v>
      </c>
      <c r="J353" s="3">
        <f>[1]sens_0_spec_90_PSA!J353</f>
        <v>182430.77207023001</v>
      </c>
      <c r="K353" s="3">
        <f>[1]sens_0_spec_90_PSA!K353</f>
        <v>111866.300947166</v>
      </c>
      <c r="L353">
        <f>[1]sens_0_spec_90_PSA!L353</f>
        <v>1</v>
      </c>
      <c r="M353">
        <f>[1]sens_0_spec_90_PSA!M353</f>
        <v>0</v>
      </c>
    </row>
    <row r="354" spans="1:13" x14ac:dyDescent="0.25">
      <c r="A354">
        <v>353</v>
      </c>
      <c r="B354">
        <f>[1]sens_0_spec_90_PSA!B354</f>
        <v>0</v>
      </c>
      <c r="C354" t="str">
        <f>[1]sens_0_spec_90_PSA!C354</f>
        <v>NA</v>
      </c>
      <c r="D354">
        <f>[1]sens_0_spec_90_PSA!D354</f>
        <v>0</v>
      </c>
      <c r="E354" s="1">
        <f>[1]sens_0_spec_90_PSA!E354</f>
        <v>0.16200000000000001</v>
      </c>
      <c r="F354" s="1">
        <f>[1]sens_0_spec_90_PSA!F354</f>
        <v>3.5299999999999998E-2</v>
      </c>
      <c r="G354" s="2">
        <f>[1]sens_0_spec_90_PSA!G354</f>
        <v>18.273476911820602</v>
      </c>
      <c r="H354" s="2">
        <f>[1]sens_0_spec_90_PSA!H354</f>
        <v>13.1652475143621</v>
      </c>
      <c r="I354" s="2">
        <f>[1]sens_0_spec_90_PSA!I354</f>
        <v>7.9600258893674702</v>
      </c>
      <c r="J354" s="3">
        <f>[1]sens_0_spec_90_PSA!J354</f>
        <v>227733.84714466101</v>
      </c>
      <c r="K354" s="3">
        <f>[1]sens_0_spec_90_PSA!K354</f>
        <v>135809.17640900699</v>
      </c>
      <c r="L354">
        <f>[1]sens_0_spec_90_PSA!L354</f>
        <v>1</v>
      </c>
      <c r="M354">
        <f>[1]sens_0_spec_90_PSA!M354</f>
        <v>0</v>
      </c>
    </row>
    <row r="355" spans="1:13" x14ac:dyDescent="0.25">
      <c r="A355">
        <v>354</v>
      </c>
      <c r="B355">
        <f>[1]sens_0_spec_90_PSA!B355</f>
        <v>0</v>
      </c>
      <c r="C355" t="str">
        <f>[1]sens_0_spec_90_PSA!C355</f>
        <v>NA</v>
      </c>
      <c r="D355">
        <f>[1]sens_0_spec_90_PSA!D355</f>
        <v>0</v>
      </c>
      <c r="E355" s="1">
        <f>[1]sens_0_spec_90_PSA!E355</f>
        <v>0.1799</v>
      </c>
      <c r="F355" s="1">
        <f>[1]sens_0_spec_90_PSA!F355</f>
        <v>3.1399999999999997E-2</v>
      </c>
      <c r="G355" s="2">
        <f>[1]sens_0_spec_90_PSA!G355</f>
        <v>18.1476040079123</v>
      </c>
      <c r="H355" s="2">
        <f>[1]sens_0_spec_90_PSA!H355</f>
        <v>12.3427553932677</v>
      </c>
      <c r="I355" s="2">
        <f>[1]sens_0_spec_90_PSA!I355</f>
        <v>7.4439589203617498</v>
      </c>
      <c r="J355" s="3">
        <f>[1]sens_0_spec_90_PSA!J355</f>
        <v>160208.86661962199</v>
      </c>
      <c r="K355" s="3">
        <f>[1]sens_0_spec_90_PSA!K355</f>
        <v>97432.494266496695</v>
      </c>
      <c r="L355">
        <f>[1]sens_0_spec_90_PSA!L355</f>
        <v>1</v>
      </c>
      <c r="M355">
        <f>[1]sens_0_spec_90_PSA!M355</f>
        <v>0</v>
      </c>
    </row>
    <row r="356" spans="1:13" x14ac:dyDescent="0.25">
      <c r="A356">
        <v>355</v>
      </c>
      <c r="B356">
        <f>[1]sens_0_spec_90_PSA!B356</f>
        <v>0</v>
      </c>
      <c r="C356" t="str">
        <f>[1]sens_0_spec_90_PSA!C356</f>
        <v>NA</v>
      </c>
      <c r="D356">
        <f>[1]sens_0_spec_90_PSA!D356</f>
        <v>0</v>
      </c>
      <c r="E356" s="1">
        <f>[1]sens_0_spec_90_PSA!E356</f>
        <v>0.2074</v>
      </c>
      <c r="F356" s="1">
        <f>[1]sens_0_spec_90_PSA!F356</f>
        <v>4.3200000000000002E-2</v>
      </c>
      <c r="G356" s="2">
        <f>[1]sens_0_spec_90_PSA!G356</f>
        <v>17.1626214397095</v>
      </c>
      <c r="H356" s="2">
        <f>[1]sens_0_spec_90_PSA!H356</f>
        <v>11.7947727580404</v>
      </c>
      <c r="I356" s="2">
        <f>[1]sens_0_spec_90_PSA!I356</f>
        <v>7.1213912306883396</v>
      </c>
      <c r="J356" s="3">
        <f>[1]sens_0_spec_90_PSA!J356</f>
        <v>157609.12084905599</v>
      </c>
      <c r="K356" s="3">
        <f>[1]sens_0_spec_90_PSA!K356</f>
        <v>95936.363749940298</v>
      </c>
      <c r="L356">
        <f>[1]sens_0_spec_90_PSA!L356</f>
        <v>1</v>
      </c>
      <c r="M356">
        <f>[1]sens_0_spec_90_PSA!M356</f>
        <v>0</v>
      </c>
    </row>
    <row r="357" spans="1:13" x14ac:dyDescent="0.25">
      <c r="A357">
        <v>356</v>
      </c>
      <c r="B357">
        <f>[1]sens_0_spec_90_PSA!B357</f>
        <v>0</v>
      </c>
      <c r="C357" t="str">
        <f>[1]sens_0_spec_90_PSA!C357</f>
        <v>NA</v>
      </c>
      <c r="D357">
        <f>[1]sens_0_spec_90_PSA!D357</f>
        <v>0</v>
      </c>
      <c r="E357" s="1">
        <f>[1]sens_0_spec_90_PSA!E357</f>
        <v>0.1845</v>
      </c>
      <c r="F357" s="1">
        <f>[1]sens_0_spec_90_PSA!F357</f>
        <v>4.1099999999999998E-2</v>
      </c>
      <c r="G357" s="2">
        <f>[1]sens_0_spec_90_PSA!G357</f>
        <v>19.225628467611202</v>
      </c>
      <c r="H357" s="2">
        <f>[1]sens_0_spec_90_PSA!H357</f>
        <v>14.7192583958821</v>
      </c>
      <c r="I357" s="2">
        <f>[1]sens_0_spec_90_PSA!I357</f>
        <v>8.6635758051849407</v>
      </c>
      <c r="J357" s="3">
        <f>[1]sens_0_spec_90_PSA!J357</f>
        <v>216601.471413527</v>
      </c>
      <c r="K357" s="3">
        <f>[1]sens_0_spec_90_PSA!K357</f>
        <v>125206.592492354</v>
      </c>
      <c r="L357">
        <f>[1]sens_0_spec_90_PSA!L357</f>
        <v>1</v>
      </c>
      <c r="M357">
        <f>[1]sens_0_spec_90_PSA!M357</f>
        <v>0</v>
      </c>
    </row>
    <row r="358" spans="1:13" x14ac:dyDescent="0.25">
      <c r="A358">
        <v>357</v>
      </c>
      <c r="B358">
        <f>[1]sens_0_spec_90_PSA!B358</f>
        <v>0</v>
      </c>
      <c r="C358" t="str">
        <f>[1]sens_0_spec_90_PSA!C358</f>
        <v>NA</v>
      </c>
      <c r="D358">
        <f>[1]sens_0_spec_90_PSA!D358</f>
        <v>0</v>
      </c>
      <c r="E358" s="1">
        <f>[1]sens_0_spec_90_PSA!E358</f>
        <v>0.18790000000000001</v>
      </c>
      <c r="F358" s="1">
        <f>[1]sens_0_spec_90_PSA!F358</f>
        <v>3.7400000000000003E-2</v>
      </c>
      <c r="G358" s="2">
        <f>[1]sens_0_spec_90_PSA!G358</f>
        <v>16.894379803752599</v>
      </c>
      <c r="H358" s="2">
        <f>[1]sens_0_spec_90_PSA!H358</f>
        <v>10.502146470141</v>
      </c>
      <c r="I358" s="2">
        <f>[1]sens_0_spec_90_PSA!I358</f>
        <v>6.4220774043387099</v>
      </c>
      <c r="J358" s="3">
        <f>[1]sens_0_spec_90_PSA!J358</f>
        <v>142055.805510081</v>
      </c>
      <c r="K358" s="3">
        <f>[1]sens_0_spec_90_PSA!K358</f>
        <v>88481.628245783199</v>
      </c>
      <c r="L358">
        <f>[1]sens_0_spec_90_PSA!L358</f>
        <v>1</v>
      </c>
      <c r="M358">
        <f>[1]sens_0_spec_90_PSA!M358</f>
        <v>0</v>
      </c>
    </row>
    <row r="359" spans="1:13" x14ac:dyDescent="0.25">
      <c r="A359">
        <v>358</v>
      </c>
      <c r="B359">
        <f>[1]sens_0_spec_90_PSA!B359</f>
        <v>0</v>
      </c>
      <c r="C359" t="str">
        <f>[1]sens_0_spec_90_PSA!C359</f>
        <v>NA</v>
      </c>
      <c r="D359">
        <f>[1]sens_0_spec_90_PSA!D359</f>
        <v>0</v>
      </c>
      <c r="E359" s="1">
        <f>[1]sens_0_spec_90_PSA!E359</f>
        <v>0.18529999999999999</v>
      </c>
      <c r="F359" s="1">
        <f>[1]sens_0_spec_90_PSA!F359</f>
        <v>3.4000000000000002E-2</v>
      </c>
      <c r="G359" s="2">
        <f>[1]sens_0_spec_90_PSA!G359</f>
        <v>18.916377734557098</v>
      </c>
      <c r="H359" s="2">
        <f>[1]sens_0_spec_90_PSA!H359</f>
        <v>12.5859987334137</v>
      </c>
      <c r="I359" s="2">
        <f>[1]sens_0_spec_90_PSA!I359</f>
        <v>7.4660891309934003</v>
      </c>
      <c r="J359" s="3">
        <f>[1]sens_0_spec_90_PSA!J359</f>
        <v>241872.49358446</v>
      </c>
      <c r="K359" s="3">
        <f>[1]sens_0_spec_90_PSA!K359</f>
        <v>140523.40297759499</v>
      </c>
      <c r="L359">
        <f>[1]sens_0_spec_90_PSA!L359</f>
        <v>1</v>
      </c>
      <c r="M359">
        <f>[1]sens_0_spec_90_PSA!M359</f>
        <v>0</v>
      </c>
    </row>
    <row r="360" spans="1:13" x14ac:dyDescent="0.25">
      <c r="A360">
        <v>359</v>
      </c>
      <c r="B360">
        <f>[1]sens_0_spec_90_PSA!B360</f>
        <v>0</v>
      </c>
      <c r="C360" t="str">
        <f>[1]sens_0_spec_90_PSA!C360</f>
        <v>NA</v>
      </c>
      <c r="D360">
        <f>[1]sens_0_spec_90_PSA!D360</f>
        <v>0</v>
      </c>
      <c r="E360" s="1">
        <f>[1]sens_0_spec_90_PSA!E360</f>
        <v>0.13689999999999999</v>
      </c>
      <c r="F360" s="1">
        <f>[1]sens_0_spec_90_PSA!F360</f>
        <v>3.5000000000000003E-2</v>
      </c>
      <c r="G360" s="2">
        <f>[1]sens_0_spec_90_PSA!G360</f>
        <v>19.358669126333101</v>
      </c>
      <c r="H360" s="2">
        <f>[1]sens_0_spec_90_PSA!H360</f>
        <v>12.3193705981368</v>
      </c>
      <c r="I360" s="2">
        <f>[1]sens_0_spec_90_PSA!I360</f>
        <v>7.36745254512401</v>
      </c>
      <c r="J360" s="3">
        <f>[1]sens_0_spec_90_PSA!J360</f>
        <v>242979.30626398901</v>
      </c>
      <c r="K360" s="3">
        <f>[1]sens_0_spec_90_PSA!K360</f>
        <v>142673.01466240201</v>
      </c>
      <c r="L360">
        <f>[1]sens_0_spec_90_PSA!L360</f>
        <v>1</v>
      </c>
      <c r="M360">
        <f>[1]sens_0_spec_90_PSA!M360</f>
        <v>0</v>
      </c>
    </row>
    <row r="361" spans="1:13" x14ac:dyDescent="0.25">
      <c r="A361">
        <v>360</v>
      </c>
      <c r="B361">
        <f>[1]sens_0_spec_90_PSA!B361</f>
        <v>0</v>
      </c>
      <c r="C361" t="str">
        <f>[1]sens_0_spec_90_PSA!C361</f>
        <v>NA</v>
      </c>
      <c r="D361">
        <f>[1]sens_0_spec_90_PSA!D361</f>
        <v>0</v>
      </c>
      <c r="E361" s="1">
        <f>[1]sens_0_spec_90_PSA!E361</f>
        <v>0.21970000000000001</v>
      </c>
      <c r="F361" s="1">
        <f>[1]sens_0_spec_90_PSA!F361</f>
        <v>3.5099999999999999E-2</v>
      </c>
      <c r="G361" s="2">
        <f>[1]sens_0_spec_90_PSA!G361</f>
        <v>17.729542883154</v>
      </c>
      <c r="H361" s="2">
        <f>[1]sens_0_spec_90_PSA!H361</f>
        <v>12.461590798399399</v>
      </c>
      <c r="I361" s="2">
        <f>[1]sens_0_spec_90_PSA!I361</f>
        <v>7.4460816793136102</v>
      </c>
      <c r="J361" s="3">
        <f>[1]sens_0_spec_90_PSA!J361</f>
        <v>186851.34356534301</v>
      </c>
      <c r="K361" s="3">
        <f>[1]sens_0_spec_90_PSA!K361</f>
        <v>110645.342588511</v>
      </c>
      <c r="L361">
        <f>[1]sens_0_spec_90_PSA!L361</f>
        <v>1</v>
      </c>
      <c r="M361">
        <f>[1]sens_0_spec_90_PSA!M361</f>
        <v>0</v>
      </c>
    </row>
    <row r="362" spans="1:13" x14ac:dyDescent="0.25">
      <c r="A362">
        <v>361</v>
      </c>
      <c r="B362">
        <f>[1]sens_0_spec_90_PSA!B362</f>
        <v>0</v>
      </c>
      <c r="C362" t="str">
        <f>[1]sens_0_spec_90_PSA!C362</f>
        <v>NA</v>
      </c>
      <c r="D362">
        <f>[1]sens_0_spec_90_PSA!D362</f>
        <v>0</v>
      </c>
      <c r="E362" s="1">
        <f>[1]sens_0_spec_90_PSA!E362</f>
        <v>0.1769</v>
      </c>
      <c r="F362" s="1">
        <f>[1]sens_0_spec_90_PSA!F362</f>
        <v>4.0099999999999997E-2</v>
      </c>
      <c r="G362" s="2">
        <f>[1]sens_0_spec_90_PSA!G362</f>
        <v>19.749379026739799</v>
      </c>
      <c r="H362" s="2">
        <f>[1]sens_0_spec_90_PSA!H362</f>
        <v>13.244777266423901</v>
      </c>
      <c r="I362" s="2">
        <f>[1]sens_0_spec_90_PSA!I362</f>
        <v>7.7629794329616599</v>
      </c>
      <c r="J362" s="3">
        <f>[1]sens_0_spec_90_PSA!J362</f>
        <v>243864.252884199</v>
      </c>
      <c r="K362" s="3">
        <f>[1]sens_0_spec_90_PSA!K362</f>
        <v>139019.42858372</v>
      </c>
      <c r="L362">
        <f>[1]sens_0_spec_90_PSA!L362</f>
        <v>1</v>
      </c>
      <c r="M362">
        <f>[1]sens_0_spec_90_PSA!M362</f>
        <v>0</v>
      </c>
    </row>
    <row r="363" spans="1:13" x14ac:dyDescent="0.25">
      <c r="A363">
        <v>362</v>
      </c>
      <c r="B363">
        <f>[1]sens_0_spec_90_PSA!B363</f>
        <v>0</v>
      </c>
      <c r="C363" t="str">
        <f>[1]sens_0_spec_90_PSA!C363</f>
        <v>NA</v>
      </c>
      <c r="D363">
        <f>[1]sens_0_spec_90_PSA!D363</f>
        <v>0</v>
      </c>
      <c r="E363" s="1">
        <f>[1]sens_0_spec_90_PSA!E363</f>
        <v>0.16170000000000001</v>
      </c>
      <c r="F363" s="1">
        <f>[1]sens_0_spec_90_PSA!F363</f>
        <v>3.4000000000000002E-2</v>
      </c>
      <c r="G363" s="2">
        <f>[1]sens_0_spec_90_PSA!G363</f>
        <v>18.562896333270398</v>
      </c>
      <c r="H363" s="2">
        <f>[1]sens_0_spec_90_PSA!H363</f>
        <v>13.827345924046799</v>
      </c>
      <c r="I363" s="2">
        <f>[1]sens_0_spec_90_PSA!I363</f>
        <v>8.3214109988757397</v>
      </c>
      <c r="J363" s="3">
        <f>[1]sens_0_spec_90_PSA!J363</f>
        <v>199807.94111654401</v>
      </c>
      <c r="K363" s="3">
        <f>[1]sens_0_spec_90_PSA!K363</f>
        <v>119461.861119108</v>
      </c>
      <c r="L363">
        <f>[1]sens_0_spec_90_PSA!L363</f>
        <v>1</v>
      </c>
      <c r="M363">
        <f>[1]sens_0_spec_90_PSA!M363</f>
        <v>0</v>
      </c>
    </row>
    <row r="364" spans="1:13" x14ac:dyDescent="0.25">
      <c r="A364">
        <v>363</v>
      </c>
      <c r="B364">
        <f>[1]sens_0_spec_90_PSA!B364</f>
        <v>0</v>
      </c>
      <c r="C364" t="str">
        <f>[1]sens_0_spec_90_PSA!C364</f>
        <v>NA</v>
      </c>
      <c r="D364">
        <f>[1]sens_0_spec_90_PSA!D364</f>
        <v>0</v>
      </c>
      <c r="E364" s="1">
        <f>[1]sens_0_spec_90_PSA!E364</f>
        <v>0.15579999999999999</v>
      </c>
      <c r="F364" s="1">
        <f>[1]sens_0_spec_90_PSA!F364</f>
        <v>4.0399999999999998E-2</v>
      </c>
      <c r="G364" s="2">
        <f>[1]sens_0_spec_90_PSA!G364</f>
        <v>18.3330875350314</v>
      </c>
      <c r="H364" s="2">
        <f>[1]sens_0_spec_90_PSA!H364</f>
        <v>12.301717751525601</v>
      </c>
      <c r="I364" s="2">
        <f>[1]sens_0_spec_90_PSA!I364</f>
        <v>7.4121055146725201</v>
      </c>
      <c r="J364" s="3">
        <f>[1]sens_0_spec_90_PSA!J364</f>
        <v>225472.28043123701</v>
      </c>
      <c r="K364" s="3">
        <f>[1]sens_0_spec_90_PSA!K364</f>
        <v>133907.567520501</v>
      </c>
      <c r="L364">
        <f>[1]sens_0_spec_90_PSA!L364</f>
        <v>1</v>
      </c>
      <c r="M364">
        <f>[1]sens_0_spec_90_PSA!M364</f>
        <v>0</v>
      </c>
    </row>
    <row r="365" spans="1:13" x14ac:dyDescent="0.25">
      <c r="A365">
        <v>364</v>
      </c>
      <c r="B365">
        <f>[1]sens_0_spec_90_PSA!B365</f>
        <v>0</v>
      </c>
      <c r="C365" t="str">
        <f>[1]sens_0_spec_90_PSA!C365</f>
        <v>NA</v>
      </c>
      <c r="D365">
        <f>[1]sens_0_spec_90_PSA!D365</f>
        <v>0</v>
      </c>
      <c r="E365" s="1">
        <f>[1]sens_0_spec_90_PSA!E365</f>
        <v>0.2072</v>
      </c>
      <c r="F365" s="1">
        <f>[1]sens_0_spec_90_PSA!F365</f>
        <v>3.8699999999999998E-2</v>
      </c>
      <c r="G365" s="2">
        <f>[1]sens_0_spec_90_PSA!G365</f>
        <v>17.979773028583601</v>
      </c>
      <c r="H365" s="2">
        <f>[1]sens_0_spec_90_PSA!H365</f>
        <v>12.671800313256201</v>
      </c>
      <c r="I365" s="2">
        <f>[1]sens_0_spec_90_PSA!I365</f>
        <v>7.5738032297466704</v>
      </c>
      <c r="J365" s="3">
        <f>[1]sens_0_spec_90_PSA!J365</f>
        <v>195967.42753080599</v>
      </c>
      <c r="K365" s="3">
        <f>[1]sens_0_spec_90_PSA!K365</f>
        <v>116050.458460054</v>
      </c>
      <c r="L365">
        <f>[1]sens_0_spec_90_PSA!L365</f>
        <v>1</v>
      </c>
      <c r="M365">
        <f>[1]sens_0_spec_90_PSA!M365</f>
        <v>0</v>
      </c>
    </row>
    <row r="366" spans="1:13" x14ac:dyDescent="0.25">
      <c r="A366">
        <v>365</v>
      </c>
      <c r="B366">
        <f>[1]sens_0_spec_90_PSA!B366</f>
        <v>0</v>
      </c>
      <c r="C366" t="str">
        <f>[1]sens_0_spec_90_PSA!C366</f>
        <v>NA</v>
      </c>
      <c r="D366">
        <f>[1]sens_0_spec_90_PSA!D366</f>
        <v>0</v>
      </c>
      <c r="E366" s="1">
        <f>[1]sens_0_spec_90_PSA!E366</f>
        <v>0.15759999999999999</v>
      </c>
      <c r="F366" s="1">
        <f>[1]sens_0_spec_90_PSA!F366</f>
        <v>3.5200000000000002E-2</v>
      </c>
      <c r="G366" s="2">
        <f>[1]sens_0_spec_90_PSA!G366</f>
        <v>17.889864351400501</v>
      </c>
      <c r="H366" s="2">
        <f>[1]sens_0_spec_90_PSA!H366</f>
        <v>12.6987885311308</v>
      </c>
      <c r="I366" s="2">
        <f>[1]sens_0_spec_90_PSA!I366</f>
        <v>7.7147840265761101</v>
      </c>
      <c r="J366" s="3">
        <f>[1]sens_0_spec_90_PSA!J366</f>
        <v>179022.48531373701</v>
      </c>
      <c r="K366" s="3">
        <f>[1]sens_0_spec_90_PSA!K366</f>
        <v>108835.89176431599</v>
      </c>
      <c r="L366">
        <f>[1]sens_0_spec_90_PSA!L366</f>
        <v>1</v>
      </c>
      <c r="M366">
        <f>[1]sens_0_spec_90_PSA!M366</f>
        <v>0</v>
      </c>
    </row>
    <row r="367" spans="1:13" x14ac:dyDescent="0.25">
      <c r="A367">
        <v>366</v>
      </c>
      <c r="B367">
        <f>[1]sens_0_spec_90_PSA!B367</f>
        <v>0</v>
      </c>
      <c r="C367" t="str">
        <f>[1]sens_0_spec_90_PSA!C367</f>
        <v>NA</v>
      </c>
      <c r="D367">
        <f>[1]sens_0_spec_90_PSA!D367</f>
        <v>0</v>
      </c>
      <c r="E367" s="1">
        <f>[1]sens_0_spec_90_PSA!E367</f>
        <v>0.24210000000000001</v>
      </c>
      <c r="F367" s="1">
        <f>[1]sens_0_spec_90_PSA!F367</f>
        <v>3.6200000000000003E-2</v>
      </c>
      <c r="G367" s="2">
        <f>[1]sens_0_spec_90_PSA!G367</f>
        <v>16.887001189950599</v>
      </c>
      <c r="H367" s="2">
        <f>[1]sens_0_spec_90_PSA!H367</f>
        <v>10.5513644931827</v>
      </c>
      <c r="I367" s="2">
        <f>[1]sens_0_spec_90_PSA!I367</f>
        <v>6.3398757078875603</v>
      </c>
      <c r="J367" s="3">
        <f>[1]sens_0_spec_90_PSA!J367</f>
        <v>182793.613688087</v>
      </c>
      <c r="K367" s="3">
        <f>[1]sens_0_spec_90_PSA!K367</f>
        <v>109154.13263270901</v>
      </c>
      <c r="L367">
        <f>[1]sens_0_spec_90_PSA!L367</f>
        <v>1</v>
      </c>
      <c r="M367">
        <f>[1]sens_0_spec_90_PSA!M367</f>
        <v>0</v>
      </c>
    </row>
    <row r="368" spans="1:13" x14ac:dyDescent="0.25">
      <c r="A368">
        <v>367</v>
      </c>
      <c r="B368">
        <f>[1]sens_0_spec_90_PSA!B368</f>
        <v>0</v>
      </c>
      <c r="C368" t="str">
        <f>[1]sens_0_spec_90_PSA!C368</f>
        <v>NA</v>
      </c>
      <c r="D368">
        <f>[1]sens_0_spec_90_PSA!D368</f>
        <v>0</v>
      </c>
      <c r="E368" s="1">
        <f>[1]sens_0_spec_90_PSA!E368</f>
        <v>0.1923</v>
      </c>
      <c r="F368" s="1">
        <f>[1]sens_0_spec_90_PSA!F368</f>
        <v>4.2500000000000003E-2</v>
      </c>
      <c r="G368" s="2">
        <f>[1]sens_0_spec_90_PSA!G368</f>
        <v>17.864311360353401</v>
      </c>
      <c r="H368" s="2">
        <f>[1]sens_0_spec_90_PSA!H368</f>
        <v>11.6432283762356</v>
      </c>
      <c r="I368" s="2">
        <f>[1]sens_0_spec_90_PSA!I368</f>
        <v>6.9615990556676497</v>
      </c>
      <c r="J368" s="3">
        <f>[1]sens_0_spec_90_PSA!J368</f>
        <v>182193.4188867</v>
      </c>
      <c r="K368" s="3">
        <f>[1]sens_0_spec_90_PSA!K368</f>
        <v>108484.33420763499</v>
      </c>
      <c r="L368">
        <f>[1]sens_0_spec_90_PSA!L368</f>
        <v>1</v>
      </c>
      <c r="M368">
        <f>[1]sens_0_spec_90_PSA!M368</f>
        <v>0</v>
      </c>
    </row>
    <row r="369" spans="1:13" x14ac:dyDescent="0.25">
      <c r="A369">
        <v>368</v>
      </c>
      <c r="B369">
        <f>[1]sens_0_spec_90_PSA!B369</f>
        <v>0</v>
      </c>
      <c r="C369" t="str">
        <f>[1]sens_0_spec_90_PSA!C369</f>
        <v>NA</v>
      </c>
      <c r="D369">
        <f>[1]sens_0_spec_90_PSA!D369</f>
        <v>0</v>
      </c>
      <c r="E369" s="1">
        <f>[1]sens_0_spec_90_PSA!E369</f>
        <v>0.14810000000000001</v>
      </c>
      <c r="F369" s="1">
        <f>[1]sens_0_spec_90_PSA!F369</f>
        <v>4.2799999999999998E-2</v>
      </c>
      <c r="G369" s="2">
        <f>[1]sens_0_spec_90_PSA!G369</f>
        <v>18.533958767062298</v>
      </c>
      <c r="H369" s="2">
        <f>[1]sens_0_spec_90_PSA!H369</f>
        <v>13.334271857360701</v>
      </c>
      <c r="I369" s="2">
        <f>[1]sens_0_spec_90_PSA!I369</f>
        <v>8.0172634610689499</v>
      </c>
      <c r="J369" s="3">
        <f>[1]sens_0_spec_90_PSA!J369</f>
        <v>217988.95172235201</v>
      </c>
      <c r="K369" s="3">
        <f>[1]sens_0_spec_90_PSA!K369</f>
        <v>129486.80218302501</v>
      </c>
      <c r="L369">
        <f>[1]sens_0_spec_90_PSA!L369</f>
        <v>1</v>
      </c>
      <c r="M369">
        <f>[1]sens_0_spec_90_PSA!M369</f>
        <v>0</v>
      </c>
    </row>
    <row r="370" spans="1:13" x14ac:dyDescent="0.25">
      <c r="A370">
        <v>369</v>
      </c>
      <c r="B370">
        <f>[1]sens_0_spec_90_PSA!B370</f>
        <v>0</v>
      </c>
      <c r="C370" t="str">
        <f>[1]sens_0_spec_90_PSA!C370</f>
        <v>NA</v>
      </c>
      <c r="D370">
        <f>[1]sens_0_spec_90_PSA!D370</f>
        <v>0</v>
      </c>
      <c r="E370" s="1">
        <f>[1]sens_0_spec_90_PSA!E370</f>
        <v>0.18579999999999999</v>
      </c>
      <c r="F370" s="1">
        <f>[1]sens_0_spec_90_PSA!F370</f>
        <v>3.0200000000000001E-2</v>
      </c>
      <c r="G370" s="2">
        <f>[1]sens_0_spec_90_PSA!G370</f>
        <v>19.629729436856401</v>
      </c>
      <c r="H370" s="2">
        <f>[1]sens_0_spec_90_PSA!H370</f>
        <v>14.5177111328341</v>
      </c>
      <c r="I370" s="2">
        <f>[1]sens_0_spec_90_PSA!I370</f>
        <v>8.5716896445525208</v>
      </c>
      <c r="J370" s="3">
        <f>[1]sens_0_spec_90_PSA!J370</f>
        <v>245076.60086843799</v>
      </c>
      <c r="K370" s="3">
        <f>[1]sens_0_spec_90_PSA!K370</f>
        <v>141245.828931731</v>
      </c>
      <c r="L370">
        <f>[1]sens_0_spec_90_PSA!L370</f>
        <v>1</v>
      </c>
      <c r="M370">
        <f>[1]sens_0_spec_90_PSA!M370</f>
        <v>0</v>
      </c>
    </row>
    <row r="371" spans="1:13" x14ac:dyDescent="0.25">
      <c r="A371">
        <v>370</v>
      </c>
      <c r="B371">
        <f>[1]sens_0_spec_90_PSA!B371</f>
        <v>0</v>
      </c>
      <c r="C371" t="str">
        <f>[1]sens_0_spec_90_PSA!C371</f>
        <v>NA</v>
      </c>
      <c r="D371">
        <f>[1]sens_0_spec_90_PSA!D371</f>
        <v>0</v>
      </c>
      <c r="E371" s="1">
        <f>[1]sens_0_spec_90_PSA!E371</f>
        <v>0.23219999999999999</v>
      </c>
      <c r="F371" s="1">
        <f>[1]sens_0_spec_90_PSA!F371</f>
        <v>5.4399999999999997E-2</v>
      </c>
      <c r="G371" s="2">
        <f>[1]sens_0_spec_90_PSA!G371</f>
        <v>17.3035207331015</v>
      </c>
      <c r="H371" s="2">
        <f>[1]sens_0_spec_90_PSA!H371</f>
        <v>14.3626242378357</v>
      </c>
      <c r="I371" s="2">
        <f>[1]sens_0_spec_90_PSA!I371</f>
        <v>8.5612711628254896</v>
      </c>
      <c r="J371" s="3">
        <f>[1]sens_0_spec_90_PSA!J371</f>
        <v>203572.80210942001</v>
      </c>
      <c r="K371" s="3">
        <f>[1]sens_0_spec_90_PSA!K371</f>
        <v>119777.348227977</v>
      </c>
      <c r="L371">
        <f>[1]sens_0_spec_90_PSA!L371</f>
        <v>1</v>
      </c>
      <c r="M371">
        <f>[1]sens_0_spec_90_PSA!M371</f>
        <v>0</v>
      </c>
    </row>
    <row r="372" spans="1:13" x14ac:dyDescent="0.25">
      <c r="A372">
        <v>371</v>
      </c>
      <c r="B372">
        <f>[1]sens_0_spec_90_PSA!B372</f>
        <v>0</v>
      </c>
      <c r="C372" t="str">
        <f>[1]sens_0_spec_90_PSA!C372</f>
        <v>NA</v>
      </c>
      <c r="D372">
        <f>[1]sens_0_spec_90_PSA!D372</f>
        <v>0</v>
      </c>
      <c r="E372" s="1">
        <f>[1]sens_0_spec_90_PSA!E372</f>
        <v>0.2041</v>
      </c>
      <c r="F372" s="1">
        <f>[1]sens_0_spec_90_PSA!F372</f>
        <v>3.3300000000000003E-2</v>
      </c>
      <c r="G372" s="2">
        <f>[1]sens_0_spec_90_PSA!G372</f>
        <v>16.915671416520301</v>
      </c>
      <c r="H372" s="2">
        <f>[1]sens_0_spec_90_PSA!H372</f>
        <v>13.0359066539969</v>
      </c>
      <c r="I372" s="2">
        <f>[1]sens_0_spec_90_PSA!I372</f>
        <v>7.9103912488245003</v>
      </c>
      <c r="J372" s="3">
        <f>[1]sens_0_spec_90_PSA!J372</f>
        <v>172593.19606548201</v>
      </c>
      <c r="K372" s="3">
        <f>[1]sens_0_spec_90_PSA!K372</f>
        <v>104993.780212784</v>
      </c>
      <c r="L372">
        <f>[1]sens_0_spec_90_PSA!L372</f>
        <v>1</v>
      </c>
      <c r="M372">
        <f>[1]sens_0_spec_90_PSA!M372</f>
        <v>0</v>
      </c>
    </row>
    <row r="373" spans="1:13" x14ac:dyDescent="0.25">
      <c r="A373">
        <v>372</v>
      </c>
      <c r="B373">
        <f>[1]sens_0_spec_90_PSA!B373</f>
        <v>0</v>
      </c>
      <c r="C373" t="str">
        <f>[1]sens_0_spec_90_PSA!C373</f>
        <v>NA</v>
      </c>
      <c r="D373">
        <f>[1]sens_0_spec_90_PSA!D373</f>
        <v>0</v>
      </c>
      <c r="E373" s="1">
        <f>[1]sens_0_spec_90_PSA!E373</f>
        <v>0.18729999999999999</v>
      </c>
      <c r="F373" s="1">
        <f>[1]sens_0_spec_90_PSA!F373</f>
        <v>4.0800000000000003E-2</v>
      </c>
      <c r="G373" s="2">
        <f>[1]sens_0_spec_90_PSA!G373</f>
        <v>18.6572484653632</v>
      </c>
      <c r="H373" s="2">
        <f>[1]sens_0_spec_90_PSA!H373</f>
        <v>12.835517109390199</v>
      </c>
      <c r="I373" s="2">
        <f>[1]sens_0_spec_90_PSA!I373</f>
        <v>7.61116621004766</v>
      </c>
      <c r="J373" s="3">
        <f>[1]sens_0_spec_90_PSA!J373</f>
        <v>216436.89412424201</v>
      </c>
      <c r="K373" s="3">
        <f>[1]sens_0_spec_90_PSA!K373</f>
        <v>126236.752624898</v>
      </c>
      <c r="L373">
        <f>[1]sens_0_spec_90_PSA!L373</f>
        <v>1</v>
      </c>
      <c r="M373">
        <f>[1]sens_0_spec_90_PSA!M373</f>
        <v>0</v>
      </c>
    </row>
    <row r="374" spans="1:13" x14ac:dyDescent="0.25">
      <c r="A374">
        <v>373</v>
      </c>
      <c r="B374">
        <f>[1]sens_0_spec_90_PSA!B374</f>
        <v>0</v>
      </c>
      <c r="C374" t="str">
        <f>[1]sens_0_spec_90_PSA!C374</f>
        <v>NA</v>
      </c>
      <c r="D374">
        <f>[1]sens_0_spec_90_PSA!D374</f>
        <v>0</v>
      </c>
      <c r="E374" s="1">
        <f>[1]sens_0_spec_90_PSA!E374</f>
        <v>0.1764</v>
      </c>
      <c r="F374" s="1">
        <f>[1]sens_0_spec_90_PSA!F374</f>
        <v>4.2700000000000002E-2</v>
      </c>
      <c r="G374" s="2">
        <f>[1]sens_0_spec_90_PSA!G374</f>
        <v>18.255477671678801</v>
      </c>
      <c r="H374" s="2">
        <f>[1]sens_0_spec_90_PSA!H374</f>
        <v>13.050067391655</v>
      </c>
      <c r="I374" s="2">
        <f>[1]sens_0_spec_90_PSA!I374</f>
        <v>7.8194224481338397</v>
      </c>
      <c r="J374" s="3">
        <f>[1]sens_0_spec_90_PSA!J374</f>
        <v>195229.482153752</v>
      </c>
      <c r="K374" s="3">
        <f>[1]sens_0_spec_90_PSA!K374</f>
        <v>115600.503214818</v>
      </c>
      <c r="L374">
        <f>[1]sens_0_spec_90_PSA!L374</f>
        <v>1</v>
      </c>
      <c r="M374">
        <f>[1]sens_0_spec_90_PSA!M374</f>
        <v>0</v>
      </c>
    </row>
    <row r="375" spans="1:13" x14ac:dyDescent="0.25">
      <c r="A375">
        <v>374</v>
      </c>
      <c r="B375">
        <f>[1]sens_0_spec_90_PSA!B375</f>
        <v>0</v>
      </c>
      <c r="C375" t="str">
        <f>[1]sens_0_spec_90_PSA!C375</f>
        <v>NA</v>
      </c>
      <c r="D375">
        <f>[1]sens_0_spec_90_PSA!D375</f>
        <v>0</v>
      </c>
      <c r="E375" s="1">
        <f>[1]sens_0_spec_90_PSA!E375</f>
        <v>0.1656</v>
      </c>
      <c r="F375" s="1">
        <f>[1]sens_0_spec_90_PSA!F375</f>
        <v>4.3900000000000002E-2</v>
      </c>
      <c r="G375" s="2">
        <f>[1]sens_0_spec_90_PSA!G375</f>
        <v>17.468303349373201</v>
      </c>
      <c r="H375" s="2">
        <f>[1]sens_0_spec_90_PSA!H375</f>
        <v>11.766142933022801</v>
      </c>
      <c r="I375" s="2">
        <f>[1]sens_0_spec_90_PSA!I375</f>
        <v>7.1800916768155503</v>
      </c>
      <c r="J375" s="3">
        <f>[1]sens_0_spec_90_PSA!J375</f>
        <v>205158.16733990301</v>
      </c>
      <c r="K375" s="3">
        <f>[1]sens_0_spec_90_PSA!K375</f>
        <v>124171.855774846</v>
      </c>
      <c r="L375">
        <f>[1]sens_0_spec_90_PSA!L375</f>
        <v>1</v>
      </c>
      <c r="M375">
        <f>[1]sens_0_spec_90_PSA!M375</f>
        <v>0</v>
      </c>
    </row>
    <row r="376" spans="1:13" x14ac:dyDescent="0.25">
      <c r="A376">
        <v>375</v>
      </c>
      <c r="B376">
        <f>[1]sens_0_spec_90_PSA!B376</f>
        <v>0</v>
      </c>
      <c r="C376" t="str">
        <f>[1]sens_0_spec_90_PSA!C376</f>
        <v>NA</v>
      </c>
      <c r="D376">
        <f>[1]sens_0_spec_90_PSA!D376</f>
        <v>0</v>
      </c>
      <c r="E376" s="1">
        <f>[1]sens_0_spec_90_PSA!E376</f>
        <v>0.23039999999999999</v>
      </c>
      <c r="F376" s="1">
        <f>[1]sens_0_spec_90_PSA!F376</f>
        <v>4.3999999999999997E-2</v>
      </c>
      <c r="G376" s="2">
        <f>[1]sens_0_spec_90_PSA!G376</f>
        <v>17.2499348652732</v>
      </c>
      <c r="H376" s="2">
        <f>[1]sens_0_spec_90_PSA!H376</f>
        <v>9.5065644570497696</v>
      </c>
      <c r="I376" s="2">
        <f>[1]sens_0_spec_90_PSA!I376</f>
        <v>5.6885271145811904</v>
      </c>
      <c r="J376" s="3">
        <f>[1]sens_0_spec_90_PSA!J376</f>
        <v>159024.754612722</v>
      </c>
      <c r="K376" s="3">
        <f>[1]sens_0_spec_90_PSA!K376</f>
        <v>95659.591374125404</v>
      </c>
      <c r="L376">
        <f>[1]sens_0_spec_90_PSA!L376</f>
        <v>1</v>
      </c>
      <c r="M376">
        <f>[1]sens_0_spec_90_PSA!M376</f>
        <v>0</v>
      </c>
    </row>
    <row r="377" spans="1:13" x14ac:dyDescent="0.25">
      <c r="A377">
        <v>376</v>
      </c>
      <c r="B377">
        <f>[1]sens_0_spec_90_PSA!B377</f>
        <v>0</v>
      </c>
      <c r="C377" t="str">
        <f>[1]sens_0_spec_90_PSA!C377</f>
        <v>NA</v>
      </c>
      <c r="D377">
        <f>[1]sens_0_spec_90_PSA!D377</f>
        <v>0</v>
      </c>
      <c r="E377" s="1">
        <f>[1]sens_0_spec_90_PSA!E377</f>
        <v>0.1794</v>
      </c>
      <c r="F377" s="1">
        <f>[1]sens_0_spec_90_PSA!F377</f>
        <v>4.3299999999999998E-2</v>
      </c>
      <c r="G377" s="2">
        <f>[1]sens_0_spec_90_PSA!G377</f>
        <v>19.099174461670401</v>
      </c>
      <c r="H377" s="2">
        <f>[1]sens_0_spec_90_PSA!H377</f>
        <v>12.9836537163188</v>
      </c>
      <c r="I377" s="2">
        <f>[1]sens_0_spec_90_PSA!I377</f>
        <v>7.6541253021948403</v>
      </c>
      <c r="J377" s="3">
        <f>[1]sens_0_spec_90_PSA!J377</f>
        <v>227535.935818503</v>
      </c>
      <c r="K377" s="3">
        <f>[1]sens_0_spec_90_PSA!K377</f>
        <v>131429.29060830499</v>
      </c>
      <c r="L377">
        <f>[1]sens_0_spec_90_PSA!L377</f>
        <v>1</v>
      </c>
      <c r="M377">
        <f>[1]sens_0_spec_90_PSA!M377</f>
        <v>0</v>
      </c>
    </row>
    <row r="378" spans="1:13" x14ac:dyDescent="0.25">
      <c r="A378">
        <v>377</v>
      </c>
      <c r="B378">
        <f>[1]sens_0_spec_90_PSA!B378</f>
        <v>0</v>
      </c>
      <c r="C378" t="str">
        <f>[1]sens_0_spec_90_PSA!C378</f>
        <v>NA</v>
      </c>
      <c r="D378">
        <f>[1]sens_0_spec_90_PSA!D378</f>
        <v>0</v>
      </c>
      <c r="E378" s="1">
        <f>[1]sens_0_spec_90_PSA!E378</f>
        <v>0.2898</v>
      </c>
      <c r="F378" s="1">
        <f>[1]sens_0_spec_90_PSA!F378</f>
        <v>2.7300000000000001E-2</v>
      </c>
      <c r="G378" s="2">
        <f>[1]sens_0_spec_90_PSA!G378</f>
        <v>17.102401513069001</v>
      </c>
      <c r="H378" s="2">
        <f>[1]sens_0_spec_90_PSA!H378</f>
        <v>12.487227573642199</v>
      </c>
      <c r="I378" s="2">
        <f>[1]sens_0_spec_90_PSA!I378</f>
        <v>7.3870323422726702</v>
      </c>
      <c r="J378" s="3">
        <f>[1]sens_0_spec_90_PSA!J378</f>
        <v>202631.65279927099</v>
      </c>
      <c r="K378" s="3">
        <f>[1]sens_0_spec_90_PSA!K378</f>
        <v>118052.31603919899</v>
      </c>
      <c r="L378">
        <f>[1]sens_0_spec_90_PSA!L378</f>
        <v>1</v>
      </c>
      <c r="M378">
        <f>[1]sens_0_spec_90_PSA!M378</f>
        <v>0</v>
      </c>
    </row>
    <row r="379" spans="1:13" x14ac:dyDescent="0.25">
      <c r="A379">
        <v>378</v>
      </c>
      <c r="B379">
        <f>[1]sens_0_spec_90_PSA!B379</f>
        <v>0</v>
      </c>
      <c r="C379" t="str">
        <f>[1]sens_0_spec_90_PSA!C379</f>
        <v>NA</v>
      </c>
      <c r="D379">
        <f>[1]sens_0_spec_90_PSA!D379</f>
        <v>0</v>
      </c>
      <c r="E379" s="1">
        <f>[1]sens_0_spec_90_PSA!E379</f>
        <v>0.15409999999999999</v>
      </c>
      <c r="F379" s="1">
        <f>[1]sens_0_spec_90_PSA!F379</f>
        <v>3.8899999999999997E-2</v>
      </c>
      <c r="G379" s="2">
        <f>[1]sens_0_spec_90_PSA!G379</f>
        <v>19.196024696251602</v>
      </c>
      <c r="H379" s="2">
        <f>[1]sens_0_spec_90_PSA!H379</f>
        <v>13.7126622627726</v>
      </c>
      <c r="I379" s="2">
        <f>[1]sens_0_spec_90_PSA!I379</f>
        <v>8.17210958437194</v>
      </c>
      <c r="J379" s="3">
        <f>[1]sens_0_spec_90_PSA!J379</f>
        <v>235809.021963031</v>
      </c>
      <c r="K379" s="3">
        <f>[1]sens_0_spec_90_PSA!K379</f>
        <v>137909.64065515701</v>
      </c>
      <c r="L379">
        <f>[1]sens_0_spec_90_PSA!L379</f>
        <v>1</v>
      </c>
      <c r="M379">
        <f>[1]sens_0_spec_90_PSA!M379</f>
        <v>0</v>
      </c>
    </row>
    <row r="380" spans="1:13" x14ac:dyDescent="0.25">
      <c r="A380">
        <v>379</v>
      </c>
      <c r="B380">
        <f>[1]sens_0_spec_90_PSA!B380</f>
        <v>0</v>
      </c>
      <c r="C380" t="str">
        <f>[1]sens_0_spec_90_PSA!C380</f>
        <v>NA</v>
      </c>
      <c r="D380">
        <f>[1]sens_0_spec_90_PSA!D380</f>
        <v>0</v>
      </c>
      <c r="E380" s="1">
        <f>[1]sens_0_spec_90_PSA!E380</f>
        <v>0.17069999999999999</v>
      </c>
      <c r="F380" s="1">
        <f>[1]sens_0_spec_90_PSA!F380</f>
        <v>4.7199999999999999E-2</v>
      </c>
      <c r="G380" s="2">
        <f>[1]sens_0_spec_90_PSA!G380</f>
        <v>16.6772330220486</v>
      </c>
      <c r="H380" s="2">
        <f>[1]sens_0_spec_90_PSA!H380</f>
        <v>12.783815810167299</v>
      </c>
      <c r="I380" s="2">
        <f>[1]sens_0_spec_90_PSA!I380</f>
        <v>7.8612063990737697</v>
      </c>
      <c r="J380" s="3">
        <f>[1]sens_0_spec_90_PSA!J380</f>
        <v>223778.510944818</v>
      </c>
      <c r="K380" s="3">
        <f>[1]sens_0_spec_90_PSA!K380</f>
        <v>136132.913805255</v>
      </c>
      <c r="L380">
        <f>[1]sens_0_spec_90_PSA!L380</f>
        <v>1</v>
      </c>
      <c r="M380">
        <f>[1]sens_0_spec_90_PSA!M380</f>
        <v>0</v>
      </c>
    </row>
    <row r="381" spans="1:13" x14ac:dyDescent="0.25">
      <c r="A381">
        <v>380</v>
      </c>
      <c r="B381">
        <f>[1]sens_0_spec_90_PSA!B381</f>
        <v>0</v>
      </c>
      <c r="C381" t="str">
        <f>[1]sens_0_spec_90_PSA!C381</f>
        <v>NA</v>
      </c>
      <c r="D381">
        <f>[1]sens_0_spec_90_PSA!D381</f>
        <v>0</v>
      </c>
      <c r="E381" s="1">
        <f>[1]sens_0_spec_90_PSA!E381</f>
        <v>0.18970000000000001</v>
      </c>
      <c r="F381" s="1">
        <f>[1]sens_0_spec_90_PSA!F381</f>
        <v>5.04E-2</v>
      </c>
      <c r="G381" s="2">
        <f>[1]sens_0_spec_90_PSA!G381</f>
        <v>16.982297396761599</v>
      </c>
      <c r="H381" s="2">
        <f>[1]sens_0_spec_90_PSA!H381</f>
        <v>12.293587629182399</v>
      </c>
      <c r="I381" s="2">
        <f>[1]sens_0_spec_90_PSA!I381</f>
        <v>7.4762335117161101</v>
      </c>
      <c r="J381" s="3">
        <f>[1]sens_0_spec_90_PSA!J381</f>
        <v>159278.36250471001</v>
      </c>
      <c r="K381" s="3">
        <f>[1]sens_0_spec_90_PSA!K381</f>
        <v>97716.761493004393</v>
      </c>
      <c r="L381">
        <f>[1]sens_0_spec_90_PSA!L381</f>
        <v>1</v>
      </c>
      <c r="M381">
        <f>[1]sens_0_spec_90_PSA!M381</f>
        <v>0</v>
      </c>
    </row>
    <row r="382" spans="1:13" x14ac:dyDescent="0.25">
      <c r="A382">
        <v>381</v>
      </c>
      <c r="B382">
        <f>[1]sens_0_spec_90_PSA!B382</f>
        <v>0</v>
      </c>
      <c r="C382" t="str">
        <f>[1]sens_0_spec_90_PSA!C382</f>
        <v>NA</v>
      </c>
      <c r="D382">
        <f>[1]sens_0_spec_90_PSA!D382</f>
        <v>0</v>
      </c>
      <c r="E382" s="1">
        <f>[1]sens_0_spec_90_PSA!E382</f>
        <v>0.22550000000000001</v>
      </c>
      <c r="F382" s="1">
        <f>[1]sens_0_spec_90_PSA!F382</f>
        <v>4.7199999999999999E-2</v>
      </c>
      <c r="G382" s="2">
        <f>[1]sens_0_spec_90_PSA!G382</f>
        <v>18.462768591345299</v>
      </c>
      <c r="H382" s="2">
        <f>[1]sens_0_spec_90_PSA!H382</f>
        <v>12.895875611052899</v>
      </c>
      <c r="I382" s="2">
        <f>[1]sens_0_spec_90_PSA!I382</f>
        <v>7.5688363685368998</v>
      </c>
      <c r="J382" s="3">
        <f>[1]sens_0_spec_90_PSA!J382</f>
        <v>182358.17988484501</v>
      </c>
      <c r="K382" s="3">
        <f>[1]sens_0_spec_90_PSA!K382</f>
        <v>106045.762047881</v>
      </c>
      <c r="L382">
        <f>[1]sens_0_spec_90_PSA!L382</f>
        <v>1</v>
      </c>
      <c r="M382">
        <f>[1]sens_0_spec_90_PSA!M382</f>
        <v>0</v>
      </c>
    </row>
    <row r="383" spans="1:13" x14ac:dyDescent="0.25">
      <c r="A383">
        <v>382</v>
      </c>
      <c r="B383">
        <f>[1]sens_0_spec_90_PSA!B383</f>
        <v>0</v>
      </c>
      <c r="C383" t="str">
        <f>[1]sens_0_spec_90_PSA!C383</f>
        <v>NA</v>
      </c>
      <c r="D383">
        <f>[1]sens_0_spec_90_PSA!D383</f>
        <v>0</v>
      </c>
      <c r="E383" s="1">
        <f>[1]sens_0_spec_90_PSA!E383</f>
        <v>0.22750000000000001</v>
      </c>
      <c r="F383" s="1">
        <f>[1]sens_0_spec_90_PSA!F383</f>
        <v>4.9599999999999998E-2</v>
      </c>
      <c r="G383" s="2">
        <f>[1]sens_0_spec_90_PSA!G383</f>
        <v>16.933089294803999</v>
      </c>
      <c r="H383" s="2">
        <f>[1]sens_0_spec_90_PSA!H383</f>
        <v>12.105252191226301</v>
      </c>
      <c r="I383" s="2">
        <f>[1]sens_0_spec_90_PSA!I383</f>
        <v>7.2766455390007598</v>
      </c>
      <c r="J383" s="3">
        <f>[1]sens_0_spec_90_PSA!J383</f>
        <v>198981.05801777699</v>
      </c>
      <c r="K383" s="3">
        <f>[1]sens_0_spec_90_PSA!K383</f>
        <v>118444.785375454</v>
      </c>
      <c r="L383">
        <f>[1]sens_0_spec_90_PSA!L383</f>
        <v>1</v>
      </c>
      <c r="M383">
        <f>[1]sens_0_spec_90_PSA!M383</f>
        <v>0</v>
      </c>
    </row>
    <row r="384" spans="1:13" x14ac:dyDescent="0.25">
      <c r="A384">
        <v>383</v>
      </c>
      <c r="B384">
        <f>[1]sens_0_spec_90_PSA!B384</f>
        <v>0</v>
      </c>
      <c r="C384" t="str">
        <f>[1]sens_0_spec_90_PSA!C384</f>
        <v>NA</v>
      </c>
      <c r="D384">
        <f>[1]sens_0_spec_90_PSA!D384</f>
        <v>0</v>
      </c>
      <c r="E384" s="1">
        <f>[1]sens_0_spec_90_PSA!E384</f>
        <v>0.1779</v>
      </c>
      <c r="F384" s="1">
        <f>[1]sens_0_spec_90_PSA!F384</f>
        <v>6.13E-2</v>
      </c>
      <c r="G384" s="2">
        <f>[1]sens_0_spec_90_PSA!G384</f>
        <v>17.314627371235201</v>
      </c>
      <c r="H384" s="2">
        <f>[1]sens_0_spec_90_PSA!H384</f>
        <v>13.213111807588099</v>
      </c>
      <c r="I384" s="2">
        <f>[1]sens_0_spec_90_PSA!I384</f>
        <v>7.96751679960063</v>
      </c>
      <c r="J384" s="3">
        <f>[1]sens_0_spec_90_PSA!J384</f>
        <v>208041.71513575999</v>
      </c>
      <c r="K384" s="3">
        <f>[1]sens_0_spec_90_PSA!K384</f>
        <v>124073.28792569099</v>
      </c>
      <c r="L384">
        <f>[1]sens_0_spec_90_PSA!L384</f>
        <v>1</v>
      </c>
      <c r="M384">
        <f>[1]sens_0_spec_90_PSA!M384</f>
        <v>0</v>
      </c>
    </row>
    <row r="385" spans="1:13" x14ac:dyDescent="0.25">
      <c r="A385">
        <v>384</v>
      </c>
      <c r="B385">
        <f>[1]sens_0_spec_90_PSA!B385</f>
        <v>0</v>
      </c>
      <c r="C385" t="str">
        <f>[1]sens_0_spec_90_PSA!C385</f>
        <v>NA</v>
      </c>
      <c r="D385">
        <f>[1]sens_0_spec_90_PSA!D385</f>
        <v>0</v>
      </c>
      <c r="E385" s="1">
        <f>[1]sens_0_spec_90_PSA!E385</f>
        <v>0.1268</v>
      </c>
      <c r="F385" s="1">
        <f>[1]sens_0_spec_90_PSA!F385</f>
        <v>6.1899999999999997E-2</v>
      </c>
      <c r="G385" s="2">
        <f>[1]sens_0_spec_90_PSA!G385</f>
        <v>19.535062418902701</v>
      </c>
      <c r="H385" s="2">
        <f>[1]sens_0_spec_90_PSA!H385</f>
        <v>14.9057546962567</v>
      </c>
      <c r="I385" s="2">
        <f>[1]sens_0_spec_90_PSA!I385</f>
        <v>8.8098222800400094</v>
      </c>
      <c r="J385" s="3">
        <f>[1]sens_0_spec_90_PSA!J385</f>
        <v>190210.97981226601</v>
      </c>
      <c r="K385" s="3">
        <f>[1]sens_0_spec_90_PSA!K385</f>
        <v>111898.278579829</v>
      </c>
      <c r="L385">
        <f>[1]sens_0_spec_90_PSA!L385</f>
        <v>1</v>
      </c>
      <c r="M385">
        <f>[1]sens_0_spec_90_PSA!M385</f>
        <v>0</v>
      </c>
    </row>
    <row r="386" spans="1:13" x14ac:dyDescent="0.25">
      <c r="A386">
        <v>385</v>
      </c>
      <c r="B386">
        <f>[1]sens_0_spec_90_PSA!B386</f>
        <v>0</v>
      </c>
      <c r="C386" t="str">
        <f>[1]sens_0_spec_90_PSA!C386</f>
        <v>NA</v>
      </c>
      <c r="D386">
        <f>[1]sens_0_spec_90_PSA!D386</f>
        <v>0</v>
      </c>
      <c r="E386" s="1">
        <f>[1]sens_0_spec_90_PSA!E386</f>
        <v>0.19400000000000001</v>
      </c>
      <c r="F386" s="1">
        <f>[1]sens_0_spec_90_PSA!F386</f>
        <v>4.2799999999999998E-2</v>
      </c>
      <c r="G386" s="2">
        <f>[1]sens_0_spec_90_PSA!G386</f>
        <v>18.3227130522076</v>
      </c>
      <c r="H386" s="2">
        <f>[1]sens_0_spec_90_PSA!H386</f>
        <v>14.784050476975899</v>
      </c>
      <c r="I386" s="2">
        <f>[1]sens_0_spec_90_PSA!I386</f>
        <v>8.7950306485011893</v>
      </c>
      <c r="J386" s="3">
        <f>[1]sens_0_spec_90_PSA!J386</f>
        <v>152619.72585365799</v>
      </c>
      <c r="K386" s="3">
        <f>[1]sens_0_spec_90_PSA!K386</f>
        <v>91650.082596246895</v>
      </c>
      <c r="L386">
        <f>[1]sens_0_spec_90_PSA!L386</f>
        <v>1</v>
      </c>
      <c r="M386">
        <f>[1]sens_0_spec_90_PSA!M386</f>
        <v>0</v>
      </c>
    </row>
    <row r="387" spans="1:13" x14ac:dyDescent="0.25">
      <c r="A387">
        <v>386</v>
      </c>
      <c r="B387">
        <f>[1]sens_0_spec_90_PSA!B387</f>
        <v>0</v>
      </c>
      <c r="C387" t="str">
        <f>[1]sens_0_spec_90_PSA!C387</f>
        <v>NA</v>
      </c>
      <c r="D387">
        <f>[1]sens_0_spec_90_PSA!D387</f>
        <v>0</v>
      </c>
      <c r="E387" s="1">
        <f>[1]sens_0_spec_90_PSA!E387</f>
        <v>0.18190000000000001</v>
      </c>
      <c r="F387" s="1">
        <f>[1]sens_0_spec_90_PSA!F387</f>
        <v>3.1800000000000002E-2</v>
      </c>
      <c r="G387" s="2">
        <f>[1]sens_0_spec_90_PSA!G387</f>
        <v>16.896718732719901</v>
      </c>
      <c r="H387" s="2">
        <f>[1]sens_0_spec_90_PSA!H387</f>
        <v>11.2829200098074</v>
      </c>
      <c r="I387" s="2">
        <f>[1]sens_0_spec_90_PSA!I387</f>
        <v>6.9222296281658</v>
      </c>
      <c r="J387" s="3">
        <f>[1]sens_0_spec_90_PSA!J387</f>
        <v>191690.89196325201</v>
      </c>
      <c r="K387" s="3">
        <f>[1]sens_0_spec_90_PSA!K387</f>
        <v>117643.71567356501</v>
      </c>
      <c r="L387">
        <f>[1]sens_0_spec_90_PSA!L387</f>
        <v>1</v>
      </c>
      <c r="M387">
        <f>[1]sens_0_spec_90_PSA!M387</f>
        <v>0</v>
      </c>
    </row>
    <row r="388" spans="1:13" x14ac:dyDescent="0.25">
      <c r="A388">
        <v>387</v>
      </c>
      <c r="B388">
        <f>[1]sens_0_spec_90_PSA!B388</f>
        <v>0</v>
      </c>
      <c r="C388" t="str">
        <f>[1]sens_0_spec_90_PSA!C388</f>
        <v>NA</v>
      </c>
      <c r="D388">
        <f>[1]sens_0_spec_90_PSA!D388</f>
        <v>0</v>
      </c>
      <c r="E388" s="1">
        <f>[1]sens_0_spec_90_PSA!E388</f>
        <v>0.1724</v>
      </c>
      <c r="F388" s="1">
        <f>[1]sens_0_spec_90_PSA!F388</f>
        <v>5.8999999999999997E-2</v>
      </c>
      <c r="G388" s="2">
        <f>[1]sens_0_spec_90_PSA!G388</f>
        <v>17.300431916178301</v>
      </c>
      <c r="H388" s="2">
        <f>[1]sens_0_spec_90_PSA!H388</f>
        <v>13.1945652773574</v>
      </c>
      <c r="I388" s="2">
        <f>[1]sens_0_spec_90_PSA!I388</f>
        <v>8.0278027984762605</v>
      </c>
      <c r="J388" s="3">
        <f>[1]sens_0_spec_90_PSA!J388</f>
        <v>199472.01951647701</v>
      </c>
      <c r="K388" s="3">
        <f>[1]sens_0_spec_90_PSA!K388</f>
        <v>120514.11860092</v>
      </c>
      <c r="L388">
        <f>[1]sens_0_spec_90_PSA!L388</f>
        <v>1</v>
      </c>
      <c r="M388">
        <f>[1]sens_0_spec_90_PSA!M388</f>
        <v>0</v>
      </c>
    </row>
    <row r="389" spans="1:13" x14ac:dyDescent="0.25">
      <c r="A389">
        <v>388</v>
      </c>
      <c r="B389">
        <f>[1]sens_0_spec_90_PSA!B389</f>
        <v>0</v>
      </c>
      <c r="C389" t="str">
        <f>[1]sens_0_spec_90_PSA!C389</f>
        <v>NA</v>
      </c>
      <c r="D389">
        <f>[1]sens_0_spec_90_PSA!D389</f>
        <v>0</v>
      </c>
      <c r="E389" s="1">
        <f>[1]sens_0_spec_90_PSA!E389</f>
        <v>0.2072</v>
      </c>
      <c r="F389" s="1">
        <f>[1]sens_0_spec_90_PSA!F389</f>
        <v>4.6300000000000001E-2</v>
      </c>
      <c r="G389" s="2">
        <f>[1]sens_0_spec_90_PSA!G389</f>
        <v>15.613618532238201</v>
      </c>
      <c r="H389" s="2">
        <f>[1]sens_0_spec_90_PSA!H389</f>
        <v>11.635486200514199</v>
      </c>
      <c r="I389" s="2">
        <f>[1]sens_0_spec_90_PSA!I389</f>
        <v>7.2040530114619701</v>
      </c>
      <c r="J389" s="3">
        <f>[1]sens_0_spec_90_PSA!J389</f>
        <v>173506.22920916</v>
      </c>
      <c r="K389" s="3">
        <f>[1]sens_0_spec_90_PSA!K389</f>
        <v>107786.69475068399</v>
      </c>
      <c r="L389">
        <f>[1]sens_0_spec_90_PSA!L389</f>
        <v>1</v>
      </c>
      <c r="M389">
        <f>[1]sens_0_spec_90_PSA!M389</f>
        <v>0</v>
      </c>
    </row>
    <row r="390" spans="1:13" x14ac:dyDescent="0.25">
      <c r="A390">
        <v>389</v>
      </c>
      <c r="B390">
        <f>[1]sens_0_spec_90_PSA!B390</f>
        <v>0</v>
      </c>
      <c r="C390" t="str">
        <f>[1]sens_0_spec_90_PSA!C390</f>
        <v>NA</v>
      </c>
      <c r="D390">
        <f>[1]sens_0_spec_90_PSA!D390</f>
        <v>0</v>
      </c>
      <c r="E390" s="1">
        <f>[1]sens_0_spec_90_PSA!E390</f>
        <v>0.1721</v>
      </c>
      <c r="F390" s="1">
        <f>[1]sens_0_spec_90_PSA!F390</f>
        <v>3.6299999999999999E-2</v>
      </c>
      <c r="G390" s="2">
        <f>[1]sens_0_spec_90_PSA!G390</f>
        <v>17.841420831863701</v>
      </c>
      <c r="H390" s="2">
        <f>[1]sens_0_spec_90_PSA!H390</f>
        <v>13.6422914072722</v>
      </c>
      <c r="I390" s="2">
        <f>[1]sens_0_spec_90_PSA!I390</f>
        <v>8.2421153012272299</v>
      </c>
      <c r="J390" s="3">
        <f>[1]sens_0_spec_90_PSA!J390</f>
        <v>200035.95373180899</v>
      </c>
      <c r="K390" s="3">
        <f>[1]sens_0_spec_90_PSA!K390</f>
        <v>120085.56836357601</v>
      </c>
      <c r="L390">
        <f>[1]sens_0_spec_90_PSA!L390</f>
        <v>1</v>
      </c>
      <c r="M390">
        <f>[1]sens_0_spec_90_PSA!M390</f>
        <v>0</v>
      </c>
    </row>
    <row r="391" spans="1:13" x14ac:dyDescent="0.25">
      <c r="A391">
        <v>390</v>
      </c>
      <c r="B391">
        <f>[1]sens_0_spec_90_PSA!B391</f>
        <v>0</v>
      </c>
      <c r="C391" t="str">
        <f>[1]sens_0_spec_90_PSA!C391</f>
        <v>NA</v>
      </c>
      <c r="D391">
        <f>[1]sens_0_spec_90_PSA!D391</f>
        <v>0</v>
      </c>
      <c r="E391" s="1">
        <f>[1]sens_0_spec_90_PSA!E391</f>
        <v>0.18140000000000001</v>
      </c>
      <c r="F391" s="1">
        <f>[1]sens_0_spec_90_PSA!F391</f>
        <v>4.3799999999999999E-2</v>
      </c>
      <c r="G391" s="2">
        <f>[1]sens_0_spec_90_PSA!G391</f>
        <v>17.467711083541399</v>
      </c>
      <c r="H391" s="2">
        <f>[1]sens_0_spec_90_PSA!H391</f>
        <v>12.873193061809699</v>
      </c>
      <c r="I391" s="2">
        <f>[1]sens_0_spec_90_PSA!I391</f>
        <v>7.8004517981005597</v>
      </c>
      <c r="J391" s="3">
        <f>[1]sens_0_spec_90_PSA!J391</f>
        <v>187829.54097485801</v>
      </c>
      <c r="K391" s="3">
        <f>[1]sens_0_spec_90_PSA!K391</f>
        <v>113467.647374108</v>
      </c>
      <c r="L391">
        <f>[1]sens_0_spec_90_PSA!L391</f>
        <v>1</v>
      </c>
      <c r="M391">
        <f>[1]sens_0_spec_90_PSA!M391</f>
        <v>0</v>
      </c>
    </row>
    <row r="392" spans="1:13" x14ac:dyDescent="0.25">
      <c r="A392">
        <v>391</v>
      </c>
      <c r="B392">
        <f>[1]sens_0_spec_90_PSA!B392</f>
        <v>0</v>
      </c>
      <c r="C392" t="str">
        <f>[1]sens_0_spec_90_PSA!C392</f>
        <v>NA</v>
      </c>
      <c r="D392">
        <f>[1]sens_0_spec_90_PSA!D392</f>
        <v>0</v>
      </c>
      <c r="E392" s="1">
        <f>[1]sens_0_spec_90_PSA!E392</f>
        <v>0.2417</v>
      </c>
      <c r="F392" s="1">
        <f>[1]sens_0_spec_90_PSA!F392</f>
        <v>3.15E-2</v>
      </c>
      <c r="G392" s="2">
        <f>[1]sens_0_spec_90_PSA!G392</f>
        <v>17.432229170622801</v>
      </c>
      <c r="H392" s="2">
        <f>[1]sens_0_spec_90_PSA!H392</f>
        <v>11.878566697582601</v>
      </c>
      <c r="I392" s="2">
        <f>[1]sens_0_spec_90_PSA!I392</f>
        <v>7.0721729362425299</v>
      </c>
      <c r="J392" s="3">
        <f>[1]sens_0_spec_90_PSA!J392</f>
        <v>225763.641318223</v>
      </c>
      <c r="K392" s="3">
        <f>[1]sens_0_spec_90_PSA!K392</f>
        <v>131880.600298568</v>
      </c>
      <c r="L392">
        <f>[1]sens_0_spec_90_PSA!L392</f>
        <v>1</v>
      </c>
      <c r="M392">
        <f>[1]sens_0_spec_90_PSA!M392</f>
        <v>0</v>
      </c>
    </row>
    <row r="393" spans="1:13" x14ac:dyDescent="0.25">
      <c r="A393">
        <v>392</v>
      </c>
      <c r="B393">
        <f>[1]sens_0_spec_90_PSA!B393</f>
        <v>0</v>
      </c>
      <c r="C393" t="str">
        <f>[1]sens_0_spec_90_PSA!C393</f>
        <v>NA</v>
      </c>
      <c r="D393">
        <f>[1]sens_0_spec_90_PSA!D393</f>
        <v>0</v>
      </c>
      <c r="E393" s="1">
        <f>[1]sens_0_spec_90_PSA!E393</f>
        <v>0.25829999999999997</v>
      </c>
      <c r="F393" s="1">
        <f>[1]sens_0_spec_90_PSA!F393</f>
        <v>4.6899999999999997E-2</v>
      </c>
      <c r="G393" s="2">
        <f>[1]sens_0_spec_90_PSA!G393</f>
        <v>17.110502038901</v>
      </c>
      <c r="H393" s="2">
        <f>[1]sens_0_spec_90_PSA!H393</f>
        <v>12.7511312037072</v>
      </c>
      <c r="I393" s="2">
        <f>[1]sens_0_spec_90_PSA!I393</f>
        <v>7.5601146734808902</v>
      </c>
      <c r="J393" s="3">
        <f>[1]sens_0_spec_90_PSA!J393</f>
        <v>191973.012188856</v>
      </c>
      <c r="K393" s="3">
        <f>[1]sens_0_spec_90_PSA!K393</f>
        <v>112653.913547694</v>
      </c>
      <c r="L393">
        <f>[1]sens_0_spec_90_PSA!L393</f>
        <v>1</v>
      </c>
      <c r="M393">
        <f>[1]sens_0_spec_90_PSA!M393</f>
        <v>0</v>
      </c>
    </row>
    <row r="394" spans="1:13" x14ac:dyDescent="0.25">
      <c r="A394">
        <v>393</v>
      </c>
      <c r="B394">
        <f>[1]sens_0_spec_90_PSA!B394</f>
        <v>0</v>
      </c>
      <c r="C394" t="str">
        <f>[1]sens_0_spec_90_PSA!C394</f>
        <v>NA</v>
      </c>
      <c r="D394">
        <f>[1]sens_0_spec_90_PSA!D394</f>
        <v>0</v>
      </c>
      <c r="E394" s="1">
        <f>[1]sens_0_spec_90_PSA!E394</f>
        <v>0.16980000000000001</v>
      </c>
      <c r="F394" s="1">
        <f>[1]sens_0_spec_90_PSA!F394</f>
        <v>2.9700000000000001E-2</v>
      </c>
      <c r="G394" s="2">
        <f>[1]sens_0_spec_90_PSA!G394</f>
        <v>18.960489277382901</v>
      </c>
      <c r="H394" s="2">
        <f>[1]sens_0_spec_90_PSA!H394</f>
        <v>12.377708846640999</v>
      </c>
      <c r="I394" s="2">
        <f>[1]sens_0_spec_90_PSA!I394</f>
        <v>7.4104245123848997</v>
      </c>
      <c r="J394" s="3">
        <f>[1]sens_0_spec_90_PSA!J394</f>
        <v>176810.08301023601</v>
      </c>
      <c r="K394" s="3">
        <f>[1]sens_0_spec_90_PSA!K394</f>
        <v>105696.92311677401</v>
      </c>
      <c r="L394">
        <f>[1]sens_0_spec_90_PSA!L394</f>
        <v>1</v>
      </c>
      <c r="M394">
        <f>[1]sens_0_spec_90_PSA!M394</f>
        <v>0</v>
      </c>
    </row>
    <row r="395" spans="1:13" x14ac:dyDescent="0.25">
      <c r="A395">
        <v>394</v>
      </c>
      <c r="B395">
        <f>[1]sens_0_spec_90_PSA!B395</f>
        <v>0</v>
      </c>
      <c r="C395" t="str">
        <f>[1]sens_0_spec_90_PSA!C395</f>
        <v>NA</v>
      </c>
      <c r="D395">
        <f>[1]sens_0_spec_90_PSA!D395</f>
        <v>0</v>
      </c>
      <c r="E395" s="1">
        <f>[1]sens_0_spec_90_PSA!E395</f>
        <v>0.23400000000000001</v>
      </c>
      <c r="F395" s="1">
        <f>[1]sens_0_spec_90_PSA!F395</f>
        <v>2.1700000000000001E-2</v>
      </c>
      <c r="G395" s="2">
        <f>[1]sens_0_spec_90_PSA!G395</f>
        <v>16.979037842308198</v>
      </c>
      <c r="H395" s="2">
        <f>[1]sens_0_spec_90_PSA!H395</f>
        <v>11.3959734575407</v>
      </c>
      <c r="I395" s="2">
        <f>[1]sens_0_spec_90_PSA!I395</f>
        <v>6.9042703979748499</v>
      </c>
      <c r="J395" s="3">
        <f>[1]sens_0_spec_90_PSA!J395</f>
        <v>248162.01150416001</v>
      </c>
      <c r="K395" s="3">
        <f>[1]sens_0_spec_90_PSA!K395</f>
        <v>147242.50766203899</v>
      </c>
      <c r="L395">
        <f>[1]sens_0_spec_90_PSA!L395</f>
        <v>1</v>
      </c>
      <c r="M395">
        <f>[1]sens_0_spec_90_PSA!M395</f>
        <v>0</v>
      </c>
    </row>
    <row r="396" spans="1:13" x14ac:dyDescent="0.25">
      <c r="A396">
        <v>395</v>
      </c>
      <c r="B396">
        <f>[1]sens_0_spec_90_PSA!B396</f>
        <v>0</v>
      </c>
      <c r="C396" t="str">
        <f>[1]sens_0_spec_90_PSA!C396</f>
        <v>NA</v>
      </c>
      <c r="D396">
        <f>[1]sens_0_spec_90_PSA!D396</f>
        <v>0</v>
      </c>
      <c r="E396" s="1">
        <f>[1]sens_0_spec_90_PSA!E396</f>
        <v>0.1699</v>
      </c>
      <c r="F396" s="1">
        <f>[1]sens_0_spec_90_PSA!F396</f>
        <v>5.2699999999999997E-2</v>
      </c>
      <c r="G396" s="2">
        <f>[1]sens_0_spec_90_PSA!G396</f>
        <v>16.874603652588299</v>
      </c>
      <c r="H396" s="2">
        <f>[1]sens_0_spec_90_PSA!H396</f>
        <v>12.4980464070689</v>
      </c>
      <c r="I396" s="2">
        <f>[1]sens_0_spec_90_PSA!I396</f>
        <v>7.6535306288433604</v>
      </c>
      <c r="J396" s="3">
        <f>[1]sens_0_spec_90_PSA!J396</f>
        <v>160396.676623498</v>
      </c>
      <c r="K396" s="3">
        <f>[1]sens_0_spec_90_PSA!K396</f>
        <v>99141.805926838293</v>
      </c>
      <c r="L396">
        <f>[1]sens_0_spec_90_PSA!L396</f>
        <v>1</v>
      </c>
      <c r="M396">
        <f>[1]sens_0_spec_90_PSA!M396</f>
        <v>0</v>
      </c>
    </row>
    <row r="397" spans="1:13" x14ac:dyDescent="0.25">
      <c r="A397">
        <v>396</v>
      </c>
      <c r="B397">
        <f>[1]sens_0_spec_90_PSA!B397</f>
        <v>0</v>
      </c>
      <c r="C397" t="str">
        <f>[1]sens_0_spec_90_PSA!C397</f>
        <v>NA</v>
      </c>
      <c r="D397">
        <f>[1]sens_0_spec_90_PSA!D397</f>
        <v>0</v>
      </c>
      <c r="E397" s="1">
        <f>[1]sens_0_spec_90_PSA!E397</f>
        <v>0.1628</v>
      </c>
      <c r="F397" s="1">
        <f>[1]sens_0_spec_90_PSA!F397</f>
        <v>5.0799999999999998E-2</v>
      </c>
      <c r="G397" s="2">
        <f>[1]sens_0_spec_90_PSA!G397</f>
        <v>18.558077524797099</v>
      </c>
      <c r="H397" s="2">
        <f>[1]sens_0_spec_90_PSA!H397</f>
        <v>12.7525500030026</v>
      </c>
      <c r="I397" s="2">
        <f>[1]sens_0_spec_90_PSA!I397</f>
        <v>7.6098829971639503</v>
      </c>
      <c r="J397" s="3">
        <f>[1]sens_0_spec_90_PSA!J397</f>
        <v>190512.24287595201</v>
      </c>
      <c r="K397" s="3">
        <f>[1]sens_0_spec_90_PSA!K397</f>
        <v>113176.513597832</v>
      </c>
      <c r="L397">
        <f>[1]sens_0_spec_90_PSA!L397</f>
        <v>1</v>
      </c>
      <c r="M397">
        <f>[1]sens_0_spec_90_PSA!M397</f>
        <v>0</v>
      </c>
    </row>
    <row r="398" spans="1:13" x14ac:dyDescent="0.25">
      <c r="A398">
        <v>397</v>
      </c>
      <c r="B398">
        <f>[1]sens_0_spec_90_PSA!B398</f>
        <v>0</v>
      </c>
      <c r="C398" t="str">
        <f>[1]sens_0_spec_90_PSA!C398</f>
        <v>NA</v>
      </c>
      <c r="D398">
        <f>[1]sens_0_spec_90_PSA!D398</f>
        <v>0</v>
      </c>
      <c r="E398" s="1">
        <f>[1]sens_0_spec_90_PSA!E398</f>
        <v>0.16020000000000001</v>
      </c>
      <c r="F398" s="1">
        <f>[1]sens_0_spec_90_PSA!F398</f>
        <v>3.2800000000000003E-2</v>
      </c>
      <c r="G398" s="2">
        <f>[1]sens_0_spec_90_PSA!G398</f>
        <v>19.536394504257501</v>
      </c>
      <c r="H398" s="2">
        <f>[1]sens_0_spec_90_PSA!H398</f>
        <v>13.4218156792675</v>
      </c>
      <c r="I398" s="2">
        <f>[1]sens_0_spec_90_PSA!I398</f>
        <v>7.9606103872021503</v>
      </c>
      <c r="J398" s="3">
        <f>[1]sens_0_spec_90_PSA!J398</f>
        <v>201796.47061209299</v>
      </c>
      <c r="K398" s="3">
        <f>[1]sens_0_spec_90_PSA!K398</f>
        <v>118498.957959134</v>
      </c>
      <c r="L398">
        <f>[1]sens_0_spec_90_PSA!L398</f>
        <v>1</v>
      </c>
      <c r="M398">
        <f>[1]sens_0_spec_90_PSA!M398</f>
        <v>0</v>
      </c>
    </row>
    <row r="399" spans="1:13" x14ac:dyDescent="0.25">
      <c r="A399">
        <v>398</v>
      </c>
      <c r="B399">
        <f>[1]sens_0_spec_90_PSA!B399</f>
        <v>0</v>
      </c>
      <c r="C399" t="str">
        <f>[1]sens_0_spec_90_PSA!C399</f>
        <v>NA</v>
      </c>
      <c r="D399">
        <f>[1]sens_0_spec_90_PSA!D399</f>
        <v>0</v>
      </c>
      <c r="E399" s="1">
        <f>[1]sens_0_spec_90_PSA!E399</f>
        <v>0.1041</v>
      </c>
      <c r="F399" s="1">
        <f>[1]sens_0_spec_90_PSA!F399</f>
        <v>2.9100000000000001E-2</v>
      </c>
      <c r="G399" s="2">
        <f>[1]sens_0_spec_90_PSA!G399</f>
        <v>20.935063530807199</v>
      </c>
      <c r="H399" s="2">
        <f>[1]sens_0_spec_90_PSA!H399</f>
        <v>13.918183392804</v>
      </c>
      <c r="I399" s="2">
        <f>[1]sens_0_spec_90_PSA!I399</f>
        <v>8.2137448392159502</v>
      </c>
      <c r="J399" s="3">
        <f>[1]sens_0_spec_90_PSA!J399</f>
        <v>179343.20345631</v>
      </c>
      <c r="K399" s="3">
        <f>[1]sens_0_spec_90_PSA!K399</f>
        <v>105641.312026292</v>
      </c>
      <c r="L399">
        <f>[1]sens_0_spec_90_PSA!L399</f>
        <v>1</v>
      </c>
      <c r="M399">
        <f>[1]sens_0_spec_90_PSA!M399</f>
        <v>0</v>
      </c>
    </row>
    <row r="400" spans="1:13" x14ac:dyDescent="0.25">
      <c r="A400">
        <v>399</v>
      </c>
      <c r="B400">
        <f>[1]sens_0_spec_90_PSA!B400</f>
        <v>0</v>
      </c>
      <c r="C400" t="str">
        <f>[1]sens_0_spec_90_PSA!C400</f>
        <v>NA</v>
      </c>
      <c r="D400">
        <f>[1]sens_0_spec_90_PSA!D400</f>
        <v>0</v>
      </c>
      <c r="E400" s="1">
        <f>[1]sens_0_spec_90_PSA!E400</f>
        <v>0.2041</v>
      </c>
      <c r="F400" s="1">
        <f>[1]sens_0_spec_90_PSA!F400</f>
        <v>3.1199999999999999E-2</v>
      </c>
      <c r="G400" s="2">
        <f>[1]sens_0_spec_90_PSA!G400</f>
        <v>16.924317432115</v>
      </c>
      <c r="H400" s="2">
        <f>[1]sens_0_spec_90_PSA!H400</f>
        <v>13.245565260887901</v>
      </c>
      <c r="I400" s="2">
        <f>[1]sens_0_spec_90_PSA!I400</f>
        <v>8.0687309567833907</v>
      </c>
      <c r="J400" s="3">
        <f>[1]sens_0_spec_90_PSA!J400</f>
        <v>198761.78162956599</v>
      </c>
      <c r="K400" s="3">
        <f>[1]sens_0_spec_90_PSA!K400</f>
        <v>120646.90780371</v>
      </c>
      <c r="L400">
        <f>[1]sens_0_spec_90_PSA!L400</f>
        <v>1</v>
      </c>
      <c r="M400">
        <f>[1]sens_0_spec_90_PSA!M400</f>
        <v>0</v>
      </c>
    </row>
    <row r="401" spans="1:13" x14ac:dyDescent="0.25">
      <c r="A401">
        <v>400</v>
      </c>
      <c r="B401">
        <f>[1]sens_0_spec_90_PSA!B401</f>
        <v>0</v>
      </c>
      <c r="C401" t="str">
        <f>[1]sens_0_spec_90_PSA!C401</f>
        <v>NA</v>
      </c>
      <c r="D401">
        <f>[1]sens_0_spec_90_PSA!D401</f>
        <v>0</v>
      </c>
      <c r="E401" s="1">
        <f>[1]sens_0_spec_90_PSA!E401</f>
        <v>0.20169999999999999</v>
      </c>
      <c r="F401" s="1">
        <f>[1]sens_0_spec_90_PSA!F401</f>
        <v>3.9699999999999999E-2</v>
      </c>
      <c r="G401" s="2">
        <f>[1]sens_0_spec_90_PSA!G401</f>
        <v>17.140980636416799</v>
      </c>
      <c r="H401" s="2">
        <f>[1]sens_0_spec_90_PSA!H401</f>
        <v>11.538304585043599</v>
      </c>
      <c r="I401" s="2">
        <f>[1]sens_0_spec_90_PSA!I401</f>
        <v>6.9949224197987201</v>
      </c>
      <c r="J401" s="3">
        <f>[1]sens_0_spec_90_PSA!J401</f>
        <v>150337.09812753301</v>
      </c>
      <c r="K401" s="3">
        <f>[1]sens_0_spec_90_PSA!K401</f>
        <v>92159.086992170996</v>
      </c>
      <c r="L401">
        <f>[1]sens_0_spec_90_PSA!L401</f>
        <v>1</v>
      </c>
      <c r="M401">
        <f>[1]sens_0_spec_90_PSA!M401</f>
        <v>0</v>
      </c>
    </row>
    <row r="402" spans="1:13" x14ac:dyDescent="0.25">
      <c r="A402">
        <v>401</v>
      </c>
      <c r="B402">
        <f>[1]sens_0_spec_90_PSA!B402</f>
        <v>0</v>
      </c>
      <c r="C402" t="str">
        <f>[1]sens_0_spec_90_PSA!C402</f>
        <v>NA</v>
      </c>
      <c r="D402">
        <f>[1]sens_0_spec_90_PSA!D402</f>
        <v>0</v>
      </c>
      <c r="E402" s="1">
        <f>[1]sens_0_spec_90_PSA!E402</f>
        <v>0.1961</v>
      </c>
      <c r="F402" s="1">
        <f>[1]sens_0_spec_90_PSA!F402</f>
        <v>3.7400000000000003E-2</v>
      </c>
      <c r="G402" s="2">
        <f>[1]sens_0_spec_90_PSA!G402</f>
        <v>18.000519994826501</v>
      </c>
      <c r="H402" s="2">
        <f>[1]sens_0_spec_90_PSA!H402</f>
        <v>14.4798240756213</v>
      </c>
      <c r="I402" s="2">
        <f>[1]sens_0_spec_90_PSA!I402</f>
        <v>8.6857957624036093</v>
      </c>
      <c r="J402" s="3">
        <f>[1]sens_0_spec_90_PSA!J402</f>
        <v>213303.07432479499</v>
      </c>
      <c r="K402" s="3">
        <f>[1]sens_0_spec_90_PSA!K402</f>
        <v>126446.929968925</v>
      </c>
      <c r="L402">
        <f>[1]sens_0_spec_90_PSA!L402</f>
        <v>1</v>
      </c>
      <c r="M402">
        <f>[1]sens_0_spec_90_PSA!M402</f>
        <v>0</v>
      </c>
    </row>
    <row r="403" spans="1:13" x14ac:dyDescent="0.25">
      <c r="A403">
        <v>402</v>
      </c>
      <c r="B403">
        <f>[1]sens_0_spec_90_PSA!B403</f>
        <v>0</v>
      </c>
      <c r="C403" t="str">
        <f>[1]sens_0_spec_90_PSA!C403</f>
        <v>NA</v>
      </c>
      <c r="D403">
        <f>[1]sens_0_spec_90_PSA!D403</f>
        <v>0</v>
      </c>
      <c r="E403" s="1">
        <f>[1]sens_0_spec_90_PSA!E403</f>
        <v>0.21390000000000001</v>
      </c>
      <c r="F403" s="1">
        <f>[1]sens_0_spec_90_PSA!F403</f>
        <v>3.5400000000000001E-2</v>
      </c>
      <c r="G403" s="2">
        <f>[1]sens_0_spec_90_PSA!G403</f>
        <v>17.4199132594443</v>
      </c>
      <c r="H403" s="2">
        <f>[1]sens_0_spec_90_PSA!H403</f>
        <v>13.0221300325559</v>
      </c>
      <c r="I403" s="2">
        <f>[1]sens_0_spec_90_PSA!I403</f>
        <v>7.8383084953223996</v>
      </c>
      <c r="J403" s="3">
        <f>[1]sens_0_spec_90_PSA!J403</f>
        <v>188765.930613092</v>
      </c>
      <c r="K403" s="3">
        <f>[1]sens_0_spec_90_PSA!K403</f>
        <v>112638.937263819</v>
      </c>
      <c r="L403">
        <f>[1]sens_0_spec_90_PSA!L403</f>
        <v>1</v>
      </c>
      <c r="M403">
        <f>[1]sens_0_spec_90_PSA!M403</f>
        <v>0</v>
      </c>
    </row>
    <row r="404" spans="1:13" x14ac:dyDescent="0.25">
      <c r="A404">
        <v>403</v>
      </c>
      <c r="B404">
        <f>[1]sens_0_spec_90_PSA!B404</f>
        <v>0</v>
      </c>
      <c r="C404" t="str">
        <f>[1]sens_0_spec_90_PSA!C404</f>
        <v>NA</v>
      </c>
      <c r="D404">
        <f>[1]sens_0_spec_90_PSA!D404</f>
        <v>0</v>
      </c>
      <c r="E404" s="1">
        <f>[1]sens_0_spec_90_PSA!E404</f>
        <v>0.2097</v>
      </c>
      <c r="F404" s="1">
        <f>[1]sens_0_spec_90_PSA!F404</f>
        <v>4.0899999999999999E-2</v>
      </c>
      <c r="G404" s="2">
        <f>[1]sens_0_spec_90_PSA!G404</f>
        <v>17.857143304711901</v>
      </c>
      <c r="H404" s="2">
        <f>[1]sens_0_spec_90_PSA!H404</f>
        <v>11.6873438103138</v>
      </c>
      <c r="I404" s="2">
        <f>[1]sens_0_spec_90_PSA!I404</f>
        <v>6.9885676050681598</v>
      </c>
      <c r="J404" s="3">
        <f>[1]sens_0_spec_90_PSA!J404</f>
        <v>255493.999785177</v>
      </c>
      <c r="K404" s="3">
        <f>[1]sens_0_spec_90_PSA!K404</f>
        <v>149081.50552218501</v>
      </c>
      <c r="L404">
        <f>[1]sens_0_spec_90_PSA!L404</f>
        <v>1</v>
      </c>
      <c r="M404">
        <f>[1]sens_0_spec_90_PSA!M404</f>
        <v>0</v>
      </c>
    </row>
    <row r="405" spans="1:13" x14ac:dyDescent="0.25">
      <c r="A405">
        <v>404</v>
      </c>
      <c r="B405">
        <f>[1]sens_0_spec_90_PSA!B405</f>
        <v>0</v>
      </c>
      <c r="C405" t="str">
        <f>[1]sens_0_spec_90_PSA!C405</f>
        <v>NA</v>
      </c>
      <c r="D405">
        <f>[1]sens_0_spec_90_PSA!D405</f>
        <v>0</v>
      </c>
      <c r="E405" s="1">
        <f>[1]sens_0_spec_90_PSA!E405</f>
        <v>0.15060000000000001</v>
      </c>
      <c r="F405" s="1">
        <f>[1]sens_0_spec_90_PSA!F405</f>
        <v>5.9499999999999997E-2</v>
      </c>
      <c r="G405" s="2">
        <f>[1]sens_0_spec_90_PSA!G405</f>
        <v>17.8033107204811</v>
      </c>
      <c r="H405" s="2">
        <f>[1]sens_0_spec_90_PSA!H405</f>
        <v>13.453213386910001</v>
      </c>
      <c r="I405" s="2">
        <f>[1]sens_0_spec_90_PSA!I405</f>
        <v>8.1129139663861594</v>
      </c>
      <c r="J405" s="3">
        <f>[1]sens_0_spec_90_PSA!J405</f>
        <v>206687.63894866101</v>
      </c>
      <c r="K405" s="3">
        <f>[1]sens_0_spec_90_PSA!K405</f>
        <v>123563.85894184699</v>
      </c>
      <c r="L405">
        <f>[1]sens_0_spec_90_PSA!L405</f>
        <v>1</v>
      </c>
      <c r="M405">
        <f>[1]sens_0_spec_90_PSA!M405</f>
        <v>0</v>
      </c>
    </row>
    <row r="406" spans="1:13" x14ac:dyDescent="0.25">
      <c r="A406">
        <v>405</v>
      </c>
      <c r="B406">
        <f>[1]sens_0_spec_90_PSA!B406</f>
        <v>0</v>
      </c>
      <c r="C406" t="str">
        <f>[1]sens_0_spec_90_PSA!C406</f>
        <v>NA</v>
      </c>
      <c r="D406">
        <f>[1]sens_0_spec_90_PSA!D406</f>
        <v>0</v>
      </c>
      <c r="E406" s="1">
        <f>[1]sens_0_spec_90_PSA!E406</f>
        <v>0.2185</v>
      </c>
      <c r="F406" s="1">
        <f>[1]sens_0_spec_90_PSA!F406</f>
        <v>4.0599999999999997E-2</v>
      </c>
      <c r="G406" s="2">
        <f>[1]sens_0_spec_90_PSA!G406</f>
        <v>18.877312046166601</v>
      </c>
      <c r="H406" s="2">
        <f>[1]sens_0_spec_90_PSA!H406</f>
        <v>13.2702873434251</v>
      </c>
      <c r="I406" s="2">
        <f>[1]sens_0_spec_90_PSA!I406</f>
        <v>7.79913315364767</v>
      </c>
      <c r="J406" s="3">
        <f>[1]sens_0_spec_90_PSA!J406</f>
        <v>149466.838261697</v>
      </c>
      <c r="K406" s="3">
        <f>[1]sens_0_spec_90_PSA!K406</f>
        <v>88371.705514452304</v>
      </c>
      <c r="L406">
        <f>[1]sens_0_spec_90_PSA!L406</f>
        <v>1</v>
      </c>
      <c r="M406">
        <f>[1]sens_0_spec_90_PSA!M406</f>
        <v>0</v>
      </c>
    </row>
    <row r="407" spans="1:13" x14ac:dyDescent="0.25">
      <c r="A407">
        <v>406</v>
      </c>
      <c r="B407">
        <f>[1]sens_0_spec_90_PSA!B407</f>
        <v>0</v>
      </c>
      <c r="C407" t="str">
        <f>[1]sens_0_spec_90_PSA!C407</f>
        <v>NA</v>
      </c>
      <c r="D407">
        <f>[1]sens_0_spec_90_PSA!D407</f>
        <v>0</v>
      </c>
      <c r="E407" s="1">
        <f>[1]sens_0_spec_90_PSA!E407</f>
        <v>0.21729999999999999</v>
      </c>
      <c r="F407" s="1">
        <f>[1]sens_0_spec_90_PSA!F407</f>
        <v>5.7200000000000001E-2</v>
      </c>
      <c r="G407" s="2">
        <f>[1]sens_0_spec_90_PSA!G407</f>
        <v>15.643753810660201</v>
      </c>
      <c r="H407" s="2">
        <f>[1]sens_0_spec_90_PSA!H407</f>
        <v>11.4340275245927</v>
      </c>
      <c r="I407" s="2">
        <f>[1]sens_0_spec_90_PSA!I407</f>
        <v>7.0124665386124398</v>
      </c>
      <c r="J407" s="3">
        <f>[1]sens_0_spec_90_PSA!J407</f>
        <v>190568.68632117499</v>
      </c>
      <c r="K407" s="3">
        <f>[1]sens_0_spec_90_PSA!K407</f>
        <v>116521.00811086</v>
      </c>
      <c r="L407">
        <f>[1]sens_0_spec_90_PSA!L407</f>
        <v>1</v>
      </c>
      <c r="M407">
        <f>[1]sens_0_spec_90_PSA!M407</f>
        <v>0</v>
      </c>
    </row>
    <row r="408" spans="1:13" x14ac:dyDescent="0.25">
      <c r="A408">
        <v>407</v>
      </c>
      <c r="B408">
        <f>[1]sens_0_spec_90_PSA!B408</f>
        <v>0</v>
      </c>
      <c r="C408" t="str">
        <f>[1]sens_0_spec_90_PSA!C408</f>
        <v>NA</v>
      </c>
      <c r="D408">
        <f>[1]sens_0_spec_90_PSA!D408</f>
        <v>0</v>
      </c>
      <c r="E408" s="1">
        <f>[1]sens_0_spec_90_PSA!E408</f>
        <v>0.1623</v>
      </c>
      <c r="F408" s="1">
        <f>[1]sens_0_spec_90_PSA!F408</f>
        <v>3.27E-2</v>
      </c>
      <c r="G408" s="2">
        <f>[1]sens_0_spec_90_PSA!G408</f>
        <v>18.433303463909599</v>
      </c>
      <c r="H408" s="2">
        <f>[1]sens_0_spec_90_PSA!H408</f>
        <v>14.6519866566227</v>
      </c>
      <c r="I408" s="2">
        <f>[1]sens_0_spec_90_PSA!I408</f>
        <v>8.8223093717610404</v>
      </c>
      <c r="J408" s="3">
        <f>[1]sens_0_spec_90_PSA!J408</f>
        <v>206886.49818192399</v>
      </c>
      <c r="K408" s="3">
        <f>[1]sens_0_spec_90_PSA!K408</f>
        <v>123466.675610454</v>
      </c>
      <c r="L408">
        <f>[1]sens_0_spec_90_PSA!L408</f>
        <v>1</v>
      </c>
      <c r="M408">
        <f>[1]sens_0_spec_90_PSA!M408</f>
        <v>0</v>
      </c>
    </row>
    <row r="409" spans="1:13" x14ac:dyDescent="0.25">
      <c r="A409">
        <v>408</v>
      </c>
      <c r="B409">
        <f>[1]sens_0_spec_90_PSA!B409</f>
        <v>0</v>
      </c>
      <c r="C409" t="str">
        <f>[1]sens_0_spec_90_PSA!C409</f>
        <v>NA</v>
      </c>
      <c r="D409">
        <f>[1]sens_0_spec_90_PSA!D409</f>
        <v>0</v>
      </c>
      <c r="E409" s="1">
        <f>[1]sens_0_spec_90_PSA!E409</f>
        <v>0.17319999999999999</v>
      </c>
      <c r="F409" s="1">
        <f>[1]sens_0_spec_90_PSA!F409</f>
        <v>2.8799999999999999E-2</v>
      </c>
      <c r="G409" s="2">
        <f>[1]sens_0_spec_90_PSA!G409</f>
        <v>17.6650672863247</v>
      </c>
      <c r="H409" s="2">
        <f>[1]sens_0_spec_90_PSA!H409</f>
        <v>14.4783120811471</v>
      </c>
      <c r="I409" s="2">
        <f>[1]sens_0_spec_90_PSA!I409</f>
        <v>8.7997463130930598</v>
      </c>
      <c r="J409" s="3">
        <f>[1]sens_0_spec_90_PSA!J409</f>
        <v>171114.412792736</v>
      </c>
      <c r="K409" s="3">
        <f>[1]sens_0_spec_90_PSA!K409</f>
        <v>104440.820323893</v>
      </c>
      <c r="L409">
        <f>[1]sens_0_spec_90_PSA!L409</f>
        <v>1</v>
      </c>
      <c r="M409">
        <f>[1]sens_0_spec_90_PSA!M409</f>
        <v>0</v>
      </c>
    </row>
    <row r="410" spans="1:13" x14ac:dyDescent="0.25">
      <c r="A410">
        <v>409</v>
      </c>
      <c r="B410">
        <f>[1]sens_0_spec_90_PSA!B410</f>
        <v>0</v>
      </c>
      <c r="C410" t="str">
        <f>[1]sens_0_spec_90_PSA!C410</f>
        <v>NA</v>
      </c>
      <c r="D410">
        <f>[1]sens_0_spec_90_PSA!D410</f>
        <v>0</v>
      </c>
      <c r="E410" s="1">
        <f>[1]sens_0_spec_90_PSA!E410</f>
        <v>0.1852</v>
      </c>
      <c r="F410" s="1">
        <f>[1]sens_0_spec_90_PSA!F410</f>
        <v>6.5299999999999997E-2</v>
      </c>
      <c r="G410" s="2">
        <f>[1]sens_0_spec_90_PSA!G410</f>
        <v>16.790186385985699</v>
      </c>
      <c r="H410" s="2">
        <f>[1]sens_0_spec_90_PSA!H410</f>
        <v>12.0669903948209</v>
      </c>
      <c r="I410" s="2">
        <f>[1]sens_0_spec_90_PSA!I410</f>
        <v>7.3322664222050404</v>
      </c>
      <c r="J410" s="3">
        <f>[1]sens_0_spec_90_PSA!J410</f>
        <v>157579.192916384</v>
      </c>
      <c r="K410" s="3">
        <f>[1]sens_0_spec_90_PSA!K410</f>
        <v>96519.332833548906</v>
      </c>
      <c r="L410">
        <f>[1]sens_0_spec_90_PSA!L410</f>
        <v>1</v>
      </c>
      <c r="M410">
        <f>[1]sens_0_spec_90_PSA!M410</f>
        <v>0</v>
      </c>
    </row>
    <row r="411" spans="1:13" x14ac:dyDescent="0.25">
      <c r="A411">
        <v>410</v>
      </c>
      <c r="B411">
        <f>[1]sens_0_spec_90_PSA!B411</f>
        <v>0</v>
      </c>
      <c r="C411" t="str">
        <f>[1]sens_0_spec_90_PSA!C411</f>
        <v>NA</v>
      </c>
      <c r="D411">
        <f>[1]sens_0_spec_90_PSA!D411</f>
        <v>0</v>
      </c>
      <c r="E411" s="1">
        <f>[1]sens_0_spec_90_PSA!E411</f>
        <v>0.1406</v>
      </c>
      <c r="F411" s="1">
        <f>[1]sens_0_spec_90_PSA!F411</f>
        <v>3.8899999999999997E-2</v>
      </c>
      <c r="G411" s="2">
        <f>[1]sens_0_spec_90_PSA!G411</f>
        <v>18.275891548222798</v>
      </c>
      <c r="H411" s="2">
        <f>[1]sens_0_spec_90_PSA!H411</f>
        <v>12.095585988382201</v>
      </c>
      <c r="I411" s="2">
        <f>[1]sens_0_spec_90_PSA!I411</f>
        <v>7.31742849298828</v>
      </c>
      <c r="J411" s="3">
        <f>[1]sens_0_spec_90_PSA!J411</f>
        <v>185044.29421836999</v>
      </c>
      <c r="K411" s="3">
        <f>[1]sens_0_spec_90_PSA!K411</f>
        <v>111980.24533501299</v>
      </c>
      <c r="L411">
        <f>[1]sens_0_spec_90_PSA!L411</f>
        <v>1</v>
      </c>
      <c r="M411">
        <f>[1]sens_0_spec_90_PSA!M411</f>
        <v>0</v>
      </c>
    </row>
    <row r="412" spans="1:13" x14ac:dyDescent="0.25">
      <c r="A412">
        <v>411</v>
      </c>
      <c r="B412">
        <f>[1]sens_0_spec_90_PSA!B412</f>
        <v>0</v>
      </c>
      <c r="C412" t="str">
        <f>[1]sens_0_spec_90_PSA!C412</f>
        <v>NA</v>
      </c>
      <c r="D412">
        <f>[1]sens_0_spec_90_PSA!D412</f>
        <v>0</v>
      </c>
      <c r="E412" s="1">
        <f>[1]sens_0_spec_90_PSA!E412</f>
        <v>0.15540000000000001</v>
      </c>
      <c r="F412" s="1">
        <f>[1]sens_0_spec_90_PSA!F412</f>
        <v>4.4200000000000003E-2</v>
      </c>
      <c r="G412" s="2">
        <f>[1]sens_0_spec_90_PSA!G412</f>
        <v>18.1182208360541</v>
      </c>
      <c r="H412" s="2">
        <f>[1]sens_0_spec_90_PSA!H412</f>
        <v>12.5527327538171</v>
      </c>
      <c r="I412" s="2">
        <f>[1]sens_0_spec_90_PSA!I412</f>
        <v>7.5883683777458399</v>
      </c>
      <c r="J412" s="3">
        <f>[1]sens_0_spec_90_PSA!J412</f>
        <v>233014.59454605801</v>
      </c>
      <c r="K412" s="3">
        <f>[1]sens_0_spec_90_PSA!K412</f>
        <v>138738.15727560499</v>
      </c>
      <c r="L412">
        <f>[1]sens_0_spec_90_PSA!L412</f>
        <v>1</v>
      </c>
      <c r="M412">
        <f>[1]sens_0_spec_90_PSA!M412</f>
        <v>0</v>
      </c>
    </row>
    <row r="413" spans="1:13" x14ac:dyDescent="0.25">
      <c r="A413">
        <v>412</v>
      </c>
      <c r="B413">
        <f>[1]sens_0_spec_90_PSA!B413</f>
        <v>0</v>
      </c>
      <c r="C413" t="str">
        <f>[1]sens_0_spec_90_PSA!C413</f>
        <v>NA</v>
      </c>
      <c r="D413">
        <f>[1]sens_0_spec_90_PSA!D413</f>
        <v>0</v>
      </c>
      <c r="E413" s="1">
        <f>[1]sens_0_spec_90_PSA!E413</f>
        <v>0.28270000000000001</v>
      </c>
      <c r="F413" s="1">
        <f>[1]sens_0_spec_90_PSA!F413</f>
        <v>2.6700000000000002E-2</v>
      </c>
      <c r="G413" s="2">
        <f>[1]sens_0_spec_90_PSA!G413</f>
        <v>15.216216760217501</v>
      </c>
      <c r="H413" s="2">
        <f>[1]sens_0_spec_90_PSA!H413</f>
        <v>11.164988849591399</v>
      </c>
      <c r="I413" s="2">
        <f>[1]sens_0_spec_90_PSA!I413</f>
        <v>6.8526671821688598</v>
      </c>
      <c r="J413" s="3">
        <f>[1]sens_0_spec_90_PSA!J413</f>
        <v>163816.23988077699</v>
      </c>
      <c r="K413" s="3">
        <f>[1]sens_0_spec_90_PSA!K413</f>
        <v>100964.61136762099</v>
      </c>
      <c r="L413">
        <f>[1]sens_0_spec_90_PSA!L413</f>
        <v>1</v>
      </c>
      <c r="M413">
        <f>[1]sens_0_spec_90_PSA!M413</f>
        <v>0</v>
      </c>
    </row>
    <row r="414" spans="1:13" x14ac:dyDescent="0.25">
      <c r="A414">
        <v>413</v>
      </c>
      <c r="B414">
        <f>[1]sens_0_spec_90_PSA!B414</f>
        <v>0</v>
      </c>
      <c r="C414" t="str">
        <f>[1]sens_0_spec_90_PSA!C414</f>
        <v>NA</v>
      </c>
      <c r="D414">
        <f>[1]sens_0_spec_90_PSA!D414</f>
        <v>0</v>
      </c>
      <c r="E414" s="1">
        <f>[1]sens_0_spec_90_PSA!E414</f>
        <v>0.16020000000000001</v>
      </c>
      <c r="F414" s="1">
        <f>[1]sens_0_spec_90_PSA!F414</f>
        <v>2.9899999999999999E-2</v>
      </c>
      <c r="G414" s="2">
        <f>[1]sens_0_spec_90_PSA!G414</f>
        <v>18.884273031958699</v>
      </c>
      <c r="H414" s="2">
        <f>[1]sens_0_spec_90_PSA!H414</f>
        <v>12.5838623566652</v>
      </c>
      <c r="I414" s="2">
        <f>[1]sens_0_spec_90_PSA!I414</f>
        <v>7.5424235148064902</v>
      </c>
      <c r="J414" s="3">
        <f>[1]sens_0_spec_90_PSA!J414</f>
        <v>198855.23708333101</v>
      </c>
      <c r="K414" s="3">
        <f>[1]sens_0_spec_90_PSA!K414</f>
        <v>118020.834146776</v>
      </c>
      <c r="L414">
        <f>[1]sens_0_spec_90_PSA!L414</f>
        <v>1</v>
      </c>
      <c r="M414">
        <f>[1]sens_0_spec_90_PSA!M414</f>
        <v>0</v>
      </c>
    </row>
    <row r="415" spans="1:13" x14ac:dyDescent="0.25">
      <c r="A415">
        <v>414</v>
      </c>
      <c r="B415">
        <f>[1]sens_0_spec_90_PSA!B415</f>
        <v>0</v>
      </c>
      <c r="C415" t="str">
        <f>[1]sens_0_spec_90_PSA!C415</f>
        <v>NA</v>
      </c>
      <c r="D415">
        <f>[1]sens_0_spec_90_PSA!D415</f>
        <v>0</v>
      </c>
      <c r="E415" s="1">
        <f>[1]sens_0_spec_90_PSA!E415</f>
        <v>0.1396</v>
      </c>
      <c r="F415" s="1">
        <f>[1]sens_0_spec_90_PSA!F415</f>
        <v>3.9100000000000003E-2</v>
      </c>
      <c r="G415" s="2">
        <f>[1]sens_0_spec_90_PSA!G415</f>
        <v>18.139317020267502</v>
      </c>
      <c r="H415" s="2">
        <f>[1]sens_0_spec_90_PSA!H415</f>
        <v>13.6445480092047</v>
      </c>
      <c r="I415" s="2">
        <f>[1]sens_0_spec_90_PSA!I415</f>
        <v>8.3006112027634202</v>
      </c>
      <c r="J415" s="3">
        <f>[1]sens_0_spec_90_PSA!J415</f>
        <v>133922.90937097699</v>
      </c>
      <c r="K415" s="3">
        <f>[1]sens_0_spec_90_PSA!K415</f>
        <v>83382.928520421498</v>
      </c>
      <c r="L415">
        <f>[1]sens_0_spec_90_PSA!L415</f>
        <v>1</v>
      </c>
      <c r="M415">
        <f>[1]sens_0_spec_90_PSA!M415</f>
        <v>0</v>
      </c>
    </row>
    <row r="416" spans="1:13" x14ac:dyDescent="0.25">
      <c r="A416">
        <v>415</v>
      </c>
      <c r="B416">
        <f>[1]sens_0_spec_90_PSA!B416</f>
        <v>0</v>
      </c>
      <c r="C416" t="str">
        <f>[1]sens_0_spec_90_PSA!C416</f>
        <v>NA</v>
      </c>
      <c r="D416">
        <f>[1]sens_0_spec_90_PSA!D416</f>
        <v>0</v>
      </c>
      <c r="E416" s="1">
        <f>[1]sens_0_spec_90_PSA!E416</f>
        <v>0.2082</v>
      </c>
      <c r="F416" s="1">
        <f>[1]sens_0_spec_90_PSA!F416</f>
        <v>6.0499999999999998E-2</v>
      </c>
      <c r="G416" s="2">
        <f>[1]sens_0_spec_90_PSA!G416</f>
        <v>15.685531993319101</v>
      </c>
      <c r="H416" s="2">
        <f>[1]sens_0_spec_90_PSA!H416</f>
        <v>11.1350581665679</v>
      </c>
      <c r="I416" s="2">
        <f>[1]sens_0_spec_90_PSA!I416</f>
        <v>6.8615662783635596</v>
      </c>
      <c r="J416" s="3">
        <f>[1]sens_0_spec_90_PSA!J416</f>
        <v>155236.505787834</v>
      </c>
      <c r="K416" s="3">
        <f>[1]sens_0_spec_90_PSA!K416</f>
        <v>96430.951820335104</v>
      </c>
      <c r="L416">
        <f>[1]sens_0_spec_90_PSA!L416</f>
        <v>1</v>
      </c>
      <c r="M416">
        <f>[1]sens_0_spec_90_PSA!M416</f>
        <v>0</v>
      </c>
    </row>
    <row r="417" spans="1:13" x14ac:dyDescent="0.25">
      <c r="A417">
        <v>416</v>
      </c>
      <c r="B417">
        <f>[1]sens_0_spec_90_PSA!B417</f>
        <v>0</v>
      </c>
      <c r="C417" t="str">
        <f>[1]sens_0_spec_90_PSA!C417</f>
        <v>NA</v>
      </c>
      <c r="D417">
        <f>[1]sens_0_spec_90_PSA!D417</f>
        <v>0</v>
      </c>
      <c r="E417" s="1">
        <f>[1]sens_0_spec_90_PSA!E417</f>
        <v>0.1512</v>
      </c>
      <c r="F417" s="1">
        <f>[1]sens_0_spec_90_PSA!F417</f>
        <v>3.61E-2</v>
      </c>
      <c r="G417" s="2">
        <f>[1]sens_0_spec_90_PSA!G417</f>
        <v>19.0668094790345</v>
      </c>
      <c r="H417" s="2">
        <f>[1]sens_0_spec_90_PSA!H417</f>
        <v>13.5199235403405</v>
      </c>
      <c r="I417" s="2">
        <f>[1]sens_0_spec_90_PSA!I417</f>
        <v>8.0768549530972091</v>
      </c>
      <c r="J417" s="3">
        <f>[1]sens_0_spec_90_PSA!J417</f>
        <v>200986.44810912799</v>
      </c>
      <c r="K417" s="3">
        <f>[1]sens_0_spec_90_PSA!K417</f>
        <v>119100.101208491</v>
      </c>
      <c r="L417">
        <f>[1]sens_0_spec_90_PSA!L417</f>
        <v>1</v>
      </c>
      <c r="M417">
        <f>[1]sens_0_spec_90_PSA!M417</f>
        <v>0</v>
      </c>
    </row>
    <row r="418" spans="1:13" x14ac:dyDescent="0.25">
      <c r="A418">
        <v>417</v>
      </c>
      <c r="B418">
        <f>[1]sens_0_spec_90_PSA!B418</f>
        <v>0</v>
      </c>
      <c r="C418" t="str">
        <f>[1]sens_0_spec_90_PSA!C418</f>
        <v>NA</v>
      </c>
      <c r="D418">
        <f>[1]sens_0_spec_90_PSA!D418</f>
        <v>0</v>
      </c>
      <c r="E418" s="1">
        <f>[1]sens_0_spec_90_PSA!E418</f>
        <v>0.1731</v>
      </c>
      <c r="F418" s="1">
        <f>[1]sens_0_spec_90_PSA!F418</f>
        <v>3.8300000000000001E-2</v>
      </c>
      <c r="G418" s="2">
        <f>[1]sens_0_spec_90_PSA!G418</f>
        <v>18.6603606814848</v>
      </c>
      <c r="H418" s="2">
        <f>[1]sens_0_spec_90_PSA!H418</f>
        <v>13.3959278700043</v>
      </c>
      <c r="I418" s="2">
        <f>[1]sens_0_spec_90_PSA!I418</f>
        <v>7.99647665639446</v>
      </c>
      <c r="J418" s="3">
        <f>[1]sens_0_spec_90_PSA!J418</f>
        <v>221294.721772102</v>
      </c>
      <c r="K418" s="3">
        <f>[1]sens_0_spec_90_PSA!K418</f>
        <v>130010.879389034</v>
      </c>
      <c r="L418">
        <f>[1]sens_0_spec_90_PSA!L418</f>
        <v>1</v>
      </c>
      <c r="M418">
        <f>[1]sens_0_spec_90_PSA!M418</f>
        <v>0</v>
      </c>
    </row>
    <row r="419" spans="1:13" x14ac:dyDescent="0.25">
      <c r="A419">
        <v>418</v>
      </c>
      <c r="B419">
        <f>[1]sens_0_spec_90_PSA!B419</f>
        <v>0</v>
      </c>
      <c r="C419" t="str">
        <f>[1]sens_0_spec_90_PSA!C419</f>
        <v>NA</v>
      </c>
      <c r="D419">
        <f>[1]sens_0_spec_90_PSA!D419</f>
        <v>0</v>
      </c>
      <c r="E419" s="1">
        <f>[1]sens_0_spec_90_PSA!E419</f>
        <v>0.182</v>
      </c>
      <c r="F419" s="1">
        <f>[1]sens_0_spec_90_PSA!F419</f>
        <v>4.3400000000000001E-2</v>
      </c>
      <c r="G419" s="2">
        <f>[1]sens_0_spec_90_PSA!G419</f>
        <v>19.1824858503401</v>
      </c>
      <c r="H419" s="2">
        <f>[1]sens_0_spec_90_PSA!H419</f>
        <v>14.072492404868401</v>
      </c>
      <c r="I419" s="2">
        <f>[1]sens_0_spec_90_PSA!I419</f>
        <v>8.3119987667081503</v>
      </c>
      <c r="J419" s="3">
        <f>[1]sens_0_spec_90_PSA!J419</f>
        <v>157850.43673766701</v>
      </c>
      <c r="K419" s="3">
        <f>[1]sens_0_spec_90_PSA!K419</f>
        <v>93786.864391110896</v>
      </c>
      <c r="L419">
        <f>[1]sens_0_spec_90_PSA!L419</f>
        <v>1</v>
      </c>
      <c r="M419">
        <f>[1]sens_0_spec_90_PSA!M419</f>
        <v>0</v>
      </c>
    </row>
    <row r="420" spans="1:13" x14ac:dyDescent="0.25">
      <c r="A420">
        <v>419</v>
      </c>
      <c r="B420">
        <f>[1]sens_0_spec_90_PSA!B420</f>
        <v>0</v>
      </c>
      <c r="C420" t="str">
        <f>[1]sens_0_spec_90_PSA!C420</f>
        <v>NA</v>
      </c>
      <c r="D420">
        <f>[1]sens_0_spec_90_PSA!D420</f>
        <v>0</v>
      </c>
      <c r="E420" s="1">
        <f>[1]sens_0_spec_90_PSA!E420</f>
        <v>0.1973</v>
      </c>
      <c r="F420" s="1">
        <f>[1]sens_0_spec_90_PSA!F420</f>
        <v>5.4699999999999999E-2</v>
      </c>
      <c r="G420" s="2">
        <f>[1]sens_0_spec_90_PSA!G420</f>
        <v>17.775390068872198</v>
      </c>
      <c r="H420" s="2">
        <f>[1]sens_0_spec_90_PSA!H420</f>
        <v>13.9815934735452</v>
      </c>
      <c r="I420" s="2">
        <f>[1]sens_0_spec_90_PSA!I420</f>
        <v>8.3228927074332102</v>
      </c>
      <c r="J420" s="3">
        <f>[1]sens_0_spec_90_PSA!J420</f>
        <v>243863.02618159101</v>
      </c>
      <c r="K420" s="3">
        <f>[1]sens_0_spec_90_PSA!K420</f>
        <v>142115.67354096301</v>
      </c>
      <c r="L420">
        <f>[1]sens_0_spec_90_PSA!L420</f>
        <v>1</v>
      </c>
      <c r="M420">
        <f>[1]sens_0_spec_90_PSA!M420</f>
        <v>0</v>
      </c>
    </row>
    <row r="421" spans="1:13" x14ac:dyDescent="0.25">
      <c r="A421">
        <v>420</v>
      </c>
      <c r="B421">
        <f>[1]sens_0_spec_90_PSA!B421</f>
        <v>0</v>
      </c>
      <c r="C421" t="str">
        <f>[1]sens_0_spec_90_PSA!C421</f>
        <v>NA</v>
      </c>
      <c r="D421">
        <f>[1]sens_0_spec_90_PSA!D421</f>
        <v>0</v>
      </c>
      <c r="E421" s="1">
        <f>[1]sens_0_spec_90_PSA!E421</f>
        <v>0.17599999999999999</v>
      </c>
      <c r="F421" s="1">
        <f>[1]sens_0_spec_90_PSA!F421</f>
        <v>4.2999999999999997E-2</v>
      </c>
      <c r="G421" s="2">
        <f>[1]sens_0_spec_90_PSA!G421</f>
        <v>18.971083207534299</v>
      </c>
      <c r="H421" s="2">
        <f>[1]sens_0_spec_90_PSA!H421</f>
        <v>13.2233019662925</v>
      </c>
      <c r="I421" s="2">
        <f>[1]sens_0_spec_90_PSA!I421</f>
        <v>7.8168582993802298</v>
      </c>
      <c r="J421" s="3">
        <f>[1]sens_0_spec_90_PSA!J421</f>
        <v>154295.782467843</v>
      </c>
      <c r="K421" s="3">
        <f>[1]sens_0_spec_90_PSA!K421</f>
        <v>91703.813567475503</v>
      </c>
      <c r="L421">
        <f>[1]sens_0_spec_90_PSA!L421</f>
        <v>1</v>
      </c>
      <c r="M421">
        <f>[1]sens_0_spec_90_PSA!M421</f>
        <v>0</v>
      </c>
    </row>
    <row r="422" spans="1:13" x14ac:dyDescent="0.25">
      <c r="A422">
        <v>421</v>
      </c>
      <c r="B422">
        <f>[1]sens_0_spec_90_PSA!B422</f>
        <v>0</v>
      </c>
      <c r="C422" t="str">
        <f>[1]sens_0_spec_90_PSA!C422</f>
        <v>NA</v>
      </c>
      <c r="D422">
        <f>[1]sens_0_spec_90_PSA!D422</f>
        <v>0</v>
      </c>
      <c r="E422" s="1">
        <f>[1]sens_0_spec_90_PSA!E422</f>
        <v>0.23380000000000001</v>
      </c>
      <c r="F422" s="1">
        <f>[1]sens_0_spec_90_PSA!F422</f>
        <v>4.4900000000000002E-2</v>
      </c>
      <c r="G422" s="2">
        <f>[1]sens_0_spec_90_PSA!G422</f>
        <v>17.9734773877436</v>
      </c>
      <c r="H422" s="2">
        <f>[1]sens_0_spec_90_PSA!H422</f>
        <v>12.463282730405499</v>
      </c>
      <c r="I422" s="2">
        <f>[1]sens_0_spec_90_PSA!I422</f>
        <v>7.3536208559020402</v>
      </c>
      <c r="J422" s="3">
        <f>[1]sens_0_spec_90_PSA!J422</f>
        <v>176179.47549015601</v>
      </c>
      <c r="K422" s="3">
        <f>[1]sens_0_spec_90_PSA!K422</f>
        <v>103451.04304985001</v>
      </c>
      <c r="L422">
        <f>[1]sens_0_spec_90_PSA!L422</f>
        <v>1</v>
      </c>
      <c r="M422">
        <f>[1]sens_0_spec_90_PSA!M422</f>
        <v>0</v>
      </c>
    </row>
    <row r="423" spans="1:13" x14ac:dyDescent="0.25">
      <c r="A423">
        <v>422</v>
      </c>
      <c r="B423">
        <f>[1]sens_0_spec_90_PSA!B423</f>
        <v>0</v>
      </c>
      <c r="C423" t="str">
        <f>[1]sens_0_spec_90_PSA!C423</f>
        <v>NA</v>
      </c>
      <c r="D423">
        <f>[1]sens_0_spec_90_PSA!D423</f>
        <v>0</v>
      </c>
      <c r="E423" s="1">
        <f>[1]sens_0_spec_90_PSA!E423</f>
        <v>0.1323</v>
      </c>
      <c r="F423" s="1">
        <f>[1]sens_0_spec_90_PSA!F423</f>
        <v>4.6399999999999997E-2</v>
      </c>
      <c r="G423" s="2">
        <f>[1]sens_0_spec_90_PSA!G423</f>
        <v>19.719800364982301</v>
      </c>
      <c r="H423" s="2">
        <f>[1]sens_0_spec_90_PSA!H423</f>
        <v>15.0888936094212</v>
      </c>
      <c r="I423" s="2">
        <f>[1]sens_0_spec_90_PSA!I423</f>
        <v>8.9446557996895599</v>
      </c>
      <c r="J423" s="3">
        <f>[1]sens_0_spec_90_PSA!J423</f>
        <v>245189.86559345099</v>
      </c>
      <c r="K423" s="3">
        <f>[1]sens_0_spec_90_PSA!K423</f>
        <v>142150.46984190599</v>
      </c>
      <c r="L423">
        <f>[1]sens_0_spec_90_PSA!L423</f>
        <v>1</v>
      </c>
      <c r="M423">
        <f>[1]sens_0_spec_90_PSA!M423</f>
        <v>0</v>
      </c>
    </row>
    <row r="424" spans="1:13" x14ac:dyDescent="0.25">
      <c r="A424">
        <v>423</v>
      </c>
      <c r="B424">
        <f>[1]sens_0_spec_90_PSA!B424</f>
        <v>0</v>
      </c>
      <c r="C424" t="str">
        <f>[1]sens_0_spec_90_PSA!C424</f>
        <v>NA</v>
      </c>
      <c r="D424">
        <f>[1]sens_0_spec_90_PSA!D424</f>
        <v>0</v>
      </c>
      <c r="E424" s="1">
        <f>[1]sens_0_spec_90_PSA!E424</f>
        <v>0.1618</v>
      </c>
      <c r="F424" s="1">
        <f>[1]sens_0_spec_90_PSA!F424</f>
        <v>2.8400000000000002E-2</v>
      </c>
      <c r="G424" s="2">
        <f>[1]sens_0_spec_90_PSA!G424</f>
        <v>18.075759788355601</v>
      </c>
      <c r="H424" s="2">
        <f>[1]sens_0_spec_90_PSA!H424</f>
        <v>13.856156299035799</v>
      </c>
      <c r="I424" s="2">
        <f>[1]sens_0_spec_90_PSA!I424</f>
        <v>8.4109652100562293</v>
      </c>
      <c r="J424" s="3">
        <f>[1]sens_0_spec_90_PSA!J424</f>
        <v>268466.91975963901</v>
      </c>
      <c r="K424" s="3">
        <f>[1]sens_0_spec_90_PSA!K424</f>
        <v>159439.96607509701</v>
      </c>
      <c r="L424">
        <f>[1]sens_0_spec_90_PSA!L424</f>
        <v>1</v>
      </c>
      <c r="M424">
        <f>[1]sens_0_spec_90_PSA!M424</f>
        <v>0</v>
      </c>
    </row>
    <row r="425" spans="1:13" x14ac:dyDescent="0.25">
      <c r="A425">
        <v>424</v>
      </c>
      <c r="B425">
        <f>[1]sens_0_spec_90_PSA!B425</f>
        <v>0</v>
      </c>
      <c r="C425" t="str">
        <f>[1]sens_0_spec_90_PSA!C425</f>
        <v>NA</v>
      </c>
      <c r="D425">
        <f>[1]sens_0_spec_90_PSA!D425</f>
        <v>0</v>
      </c>
      <c r="E425" s="1">
        <f>[1]sens_0_spec_90_PSA!E425</f>
        <v>0.16830000000000001</v>
      </c>
      <c r="F425" s="1">
        <f>[1]sens_0_spec_90_PSA!F425</f>
        <v>4.1000000000000002E-2</v>
      </c>
      <c r="G425" s="2">
        <f>[1]sens_0_spec_90_PSA!G425</f>
        <v>17.4295512677493</v>
      </c>
      <c r="H425" s="2">
        <f>[1]sens_0_spec_90_PSA!H425</f>
        <v>11.8732733366173</v>
      </c>
      <c r="I425" s="2">
        <f>[1]sens_0_spec_90_PSA!I425</f>
        <v>7.2377928012832804</v>
      </c>
      <c r="J425" s="3">
        <f>[1]sens_0_spec_90_PSA!J425</f>
        <v>181144.329437329</v>
      </c>
      <c r="K425" s="3">
        <f>[1]sens_0_spec_90_PSA!K425</f>
        <v>110318.60740079801</v>
      </c>
      <c r="L425">
        <f>[1]sens_0_spec_90_PSA!L425</f>
        <v>1</v>
      </c>
      <c r="M425">
        <f>[1]sens_0_spec_90_PSA!M425</f>
        <v>0</v>
      </c>
    </row>
    <row r="426" spans="1:13" x14ac:dyDescent="0.25">
      <c r="A426">
        <v>425</v>
      </c>
      <c r="B426">
        <f>[1]sens_0_spec_90_PSA!B426</f>
        <v>0</v>
      </c>
      <c r="C426" t="str">
        <f>[1]sens_0_spec_90_PSA!C426</f>
        <v>NA</v>
      </c>
      <c r="D426">
        <f>[1]sens_0_spec_90_PSA!D426</f>
        <v>0</v>
      </c>
      <c r="E426" s="1">
        <f>[1]sens_0_spec_90_PSA!E426</f>
        <v>0.16059999999999999</v>
      </c>
      <c r="F426" s="1">
        <f>[1]sens_0_spec_90_PSA!F426</f>
        <v>6.4799999999999996E-2</v>
      </c>
      <c r="G426" s="2">
        <f>[1]sens_0_spec_90_PSA!G426</f>
        <v>18.532341691674201</v>
      </c>
      <c r="H426" s="2">
        <f>[1]sens_0_spec_90_PSA!H426</f>
        <v>12.4862583398015</v>
      </c>
      <c r="I426" s="2">
        <f>[1]sens_0_spec_90_PSA!I426</f>
        <v>7.4608480840193803</v>
      </c>
      <c r="J426" s="3">
        <f>[1]sens_0_spec_90_PSA!J426</f>
        <v>252408.74683248901</v>
      </c>
      <c r="K426" s="3">
        <f>[1]sens_0_spec_90_PSA!K426</f>
        <v>147400.12542047401</v>
      </c>
      <c r="L426">
        <f>[1]sens_0_spec_90_PSA!L426</f>
        <v>1</v>
      </c>
      <c r="M426">
        <f>[1]sens_0_spec_90_PSA!M426</f>
        <v>0</v>
      </c>
    </row>
    <row r="427" spans="1:13" x14ac:dyDescent="0.25">
      <c r="A427">
        <v>426</v>
      </c>
      <c r="B427">
        <f>[1]sens_0_spec_90_PSA!B427</f>
        <v>0</v>
      </c>
      <c r="C427" t="str">
        <f>[1]sens_0_spec_90_PSA!C427</f>
        <v>NA</v>
      </c>
      <c r="D427">
        <f>[1]sens_0_spec_90_PSA!D427</f>
        <v>0</v>
      </c>
      <c r="E427" s="1">
        <f>[1]sens_0_spec_90_PSA!E427</f>
        <v>0.26740000000000003</v>
      </c>
      <c r="F427" s="1">
        <f>[1]sens_0_spec_90_PSA!F427</f>
        <v>3.7100000000000001E-2</v>
      </c>
      <c r="G427" s="2">
        <f>[1]sens_0_spec_90_PSA!G427</f>
        <v>16.213645900271999</v>
      </c>
      <c r="H427" s="2">
        <f>[1]sens_0_spec_90_PSA!H427</f>
        <v>12.185100106853501</v>
      </c>
      <c r="I427" s="2">
        <f>[1]sens_0_spec_90_PSA!I427</f>
        <v>7.3479591214046698</v>
      </c>
      <c r="J427" s="3">
        <f>[1]sens_0_spec_90_PSA!J427</f>
        <v>164747.34506308101</v>
      </c>
      <c r="K427" s="3">
        <f>[1]sens_0_spec_90_PSA!K427</f>
        <v>99476.713062757903</v>
      </c>
      <c r="L427">
        <f>[1]sens_0_spec_90_PSA!L427</f>
        <v>1</v>
      </c>
      <c r="M427">
        <f>[1]sens_0_spec_90_PSA!M427</f>
        <v>0</v>
      </c>
    </row>
    <row r="428" spans="1:13" x14ac:dyDescent="0.25">
      <c r="A428">
        <v>427</v>
      </c>
      <c r="B428">
        <f>[1]sens_0_spec_90_PSA!B428</f>
        <v>0</v>
      </c>
      <c r="C428" t="str">
        <f>[1]sens_0_spec_90_PSA!C428</f>
        <v>NA</v>
      </c>
      <c r="D428">
        <f>[1]sens_0_spec_90_PSA!D428</f>
        <v>0</v>
      </c>
      <c r="E428" s="1">
        <f>[1]sens_0_spec_90_PSA!E428</f>
        <v>0.1363</v>
      </c>
      <c r="F428" s="1">
        <f>[1]sens_0_spec_90_PSA!F428</f>
        <v>5.4199999999999998E-2</v>
      </c>
      <c r="G428" s="2">
        <f>[1]sens_0_spec_90_PSA!G428</f>
        <v>19.287906002828102</v>
      </c>
      <c r="H428" s="2">
        <f>[1]sens_0_spec_90_PSA!H428</f>
        <v>12.983340299366301</v>
      </c>
      <c r="I428" s="2">
        <f>[1]sens_0_spec_90_PSA!I428</f>
        <v>7.7365856510466999</v>
      </c>
      <c r="J428" s="3">
        <f>[1]sens_0_spec_90_PSA!J428</f>
        <v>277438.51038405602</v>
      </c>
      <c r="K428" s="3">
        <f>[1]sens_0_spec_90_PSA!K428</f>
        <v>160886.653966176</v>
      </c>
      <c r="L428">
        <f>[1]sens_0_spec_90_PSA!L428</f>
        <v>1</v>
      </c>
      <c r="M428">
        <f>[1]sens_0_spec_90_PSA!M428</f>
        <v>0</v>
      </c>
    </row>
    <row r="429" spans="1:13" x14ac:dyDescent="0.25">
      <c r="A429">
        <v>428</v>
      </c>
      <c r="B429">
        <f>[1]sens_0_spec_90_PSA!B429</f>
        <v>0</v>
      </c>
      <c r="C429" t="str">
        <f>[1]sens_0_spec_90_PSA!C429</f>
        <v>NA</v>
      </c>
      <c r="D429">
        <f>[1]sens_0_spec_90_PSA!D429</f>
        <v>0</v>
      </c>
      <c r="E429" s="1">
        <f>[1]sens_0_spec_90_PSA!E429</f>
        <v>0.25929999999999997</v>
      </c>
      <c r="F429" s="1">
        <f>[1]sens_0_spec_90_PSA!F429</f>
        <v>3.2399999999999998E-2</v>
      </c>
      <c r="G429" s="2">
        <f>[1]sens_0_spec_90_PSA!G429</f>
        <v>16.560647536820898</v>
      </c>
      <c r="H429" s="2">
        <f>[1]sens_0_spec_90_PSA!H429</f>
        <v>13.306084023286999</v>
      </c>
      <c r="I429" s="2">
        <f>[1]sens_0_spec_90_PSA!I429</f>
        <v>8.0189275713593808</v>
      </c>
      <c r="J429" s="3">
        <f>[1]sens_0_spec_90_PSA!J429</f>
        <v>195953.99827640399</v>
      </c>
      <c r="K429" s="3">
        <f>[1]sens_0_spec_90_PSA!K429</f>
        <v>117122.53457805001</v>
      </c>
      <c r="L429">
        <f>[1]sens_0_spec_90_PSA!L429</f>
        <v>1</v>
      </c>
      <c r="M429">
        <f>[1]sens_0_spec_90_PSA!M429</f>
        <v>0</v>
      </c>
    </row>
    <row r="430" spans="1:13" x14ac:dyDescent="0.25">
      <c r="A430">
        <v>429</v>
      </c>
      <c r="B430">
        <f>[1]sens_0_spec_90_PSA!B430</f>
        <v>0</v>
      </c>
      <c r="C430" t="str">
        <f>[1]sens_0_spec_90_PSA!C430</f>
        <v>NA</v>
      </c>
      <c r="D430">
        <f>[1]sens_0_spec_90_PSA!D430</f>
        <v>0</v>
      </c>
      <c r="E430" s="1">
        <f>[1]sens_0_spec_90_PSA!E430</f>
        <v>0.1462</v>
      </c>
      <c r="F430" s="1">
        <f>[1]sens_0_spec_90_PSA!F430</f>
        <v>4.0599999999999997E-2</v>
      </c>
      <c r="G430" s="2">
        <f>[1]sens_0_spec_90_PSA!G430</f>
        <v>17.004298177138001</v>
      </c>
      <c r="H430" s="2">
        <f>[1]sens_0_spec_90_PSA!H430</f>
        <v>12.0222942275362</v>
      </c>
      <c r="I430" s="2">
        <f>[1]sens_0_spec_90_PSA!I430</f>
        <v>7.4010633373109904</v>
      </c>
      <c r="J430" s="3">
        <f>[1]sens_0_spec_90_PSA!J430</f>
        <v>239547.38215187201</v>
      </c>
      <c r="K430" s="3">
        <f>[1]sens_0_spec_90_PSA!K430</f>
        <v>145365.662438056</v>
      </c>
      <c r="L430">
        <f>[1]sens_0_spec_90_PSA!L430</f>
        <v>1</v>
      </c>
      <c r="M430">
        <f>[1]sens_0_spec_90_PSA!M430</f>
        <v>0</v>
      </c>
    </row>
    <row r="431" spans="1:13" x14ac:dyDescent="0.25">
      <c r="A431">
        <v>430</v>
      </c>
      <c r="B431">
        <f>[1]sens_0_spec_90_PSA!B431</f>
        <v>0</v>
      </c>
      <c r="C431" t="str">
        <f>[1]sens_0_spec_90_PSA!C431</f>
        <v>NA</v>
      </c>
      <c r="D431">
        <f>[1]sens_0_spec_90_PSA!D431</f>
        <v>0</v>
      </c>
      <c r="E431" s="1">
        <f>[1]sens_0_spec_90_PSA!E431</f>
        <v>0.13370000000000001</v>
      </c>
      <c r="F431" s="1">
        <f>[1]sens_0_spec_90_PSA!F431</f>
        <v>2.7099999999999999E-2</v>
      </c>
      <c r="G431" s="2">
        <f>[1]sens_0_spec_90_PSA!G431</f>
        <v>19.665696191921</v>
      </c>
      <c r="H431" s="2">
        <f>[1]sens_0_spec_90_PSA!H431</f>
        <v>13.425867983404199</v>
      </c>
      <c r="I431" s="2">
        <f>[1]sens_0_spec_90_PSA!I431</f>
        <v>8.0114953390456396</v>
      </c>
      <c r="J431" s="3">
        <f>[1]sens_0_spec_90_PSA!J431</f>
        <v>175771.39118302701</v>
      </c>
      <c r="K431" s="3">
        <f>[1]sens_0_spec_90_PSA!K431</f>
        <v>104957.67454182</v>
      </c>
      <c r="L431">
        <f>[1]sens_0_spec_90_PSA!L431</f>
        <v>1</v>
      </c>
      <c r="M431">
        <f>[1]sens_0_spec_90_PSA!M431</f>
        <v>0</v>
      </c>
    </row>
    <row r="432" spans="1:13" x14ac:dyDescent="0.25">
      <c r="A432">
        <v>431</v>
      </c>
      <c r="B432">
        <f>[1]sens_0_spec_90_PSA!B432</f>
        <v>0</v>
      </c>
      <c r="C432" t="str">
        <f>[1]sens_0_spec_90_PSA!C432</f>
        <v>NA</v>
      </c>
      <c r="D432">
        <f>[1]sens_0_spec_90_PSA!D432</f>
        <v>0</v>
      </c>
      <c r="E432" s="1">
        <f>[1]sens_0_spec_90_PSA!E432</f>
        <v>0.1666</v>
      </c>
      <c r="F432" s="1">
        <f>[1]sens_0_spec_90_PSA!F432</f>
        <v>5.5599999999999997E-2</v>
      </c>
      <c r="G432" s="2">
        <f>[1]sens_0_spec_90_PSA!G432</f>
        <v>19.1029839271961</v>
      </c>
      <c r="H432" s="2">
        <f>[1]sens_0_spec_90_PSA!H432</f>
        <v>14.189102547924</v>
      </c>
      <c r="I432" s="2">
        <f>[1]sens_0_spec_90_PSA!I432</f>
        <v>8.3852548171624193</v>
      </c>
      <c r="J432" s="3">
        <f>[1]sens_0_spec_90_PSA!J432</f>
        <v>255990.51289945599</v>
      </c>
      <c r="K432" s="3">
        <f>[1]sens_0_spec_90_PSA!K432</f>
        <v>147307.84932470301</v>
      </c>
      <c r="L432">
        <f>[1]sens_0_spec_90_PSA!L432</f>
        <v>1</v>
      </c>
      <c r="M432">
        <f>[1]sens_0_spec_90_PSA!M432</f>
        <v>0</v>
      </c>
    </row>
    <row r="433" spans="1:13" x14ac:dyDescent="0.25">
      <c r="A433">
        <v>432</v>
      </c>
      <c r="B433">
        <f>[1]sens_0_spec_90_PSA!B433</f>
        <v>0</v>
      </c>
      <c r="C433" t="str">
        <f>[1]sens_0_spec_90_PSA!C433</f>
        <v>NA</v>
      </c>
      <c r="D433">
        <f>[1]sens_0_spec_90_PSA!D433</f>
        <v>0</v>
      </c>
      <c r="E433" s="1">
        <f>[1]sens_0_spec_90_PSA!E433</f>
        <v>0.1648</v>
      </c>
      <c r="F433" s="1">
        <f>[1]sens_0_spec_90_PSA!F433</f>
        <v>2.87E-2</v>
      </c>
      <c r="G433" s="2">
        <f>[1]sens_0_spec_90_PSA!G433</f>
        <v>18.670951705133401</v>
      </c>
      <c r="H433" s="2">
        <f>[1]sens_0_spec_90_PSA!H433</f>
        <v>12.6608134451754</v>
      </c>
      <c r="I433" s="2">
        <f>[1]sens_0_spec_90_PSA!I433</f>
        <v>7.5864592524194503</v>
      </c>
      <c r="J433" s="3">
        <f>[1]sens_0_spec_90_PSA!J433</f>
        <v>171690.40791965</v>
      </c>
      <c r="K433" s="3">
        <f>[1]sens_0_spec_90_PSA!K433</f>
        <v>103064.788879696</v>
      </c>
      <c r="L433">
        <f>[1]sens_0_spec_90_PSA!L433</f>
        <v>1</v>
      </c>
      <c r="M433">
        <f>[1]sens_0_spec_90_PSA!M433</f>
        <v>0</v>
      </c>
    </row>
    <row r="434" spans="1:13" x14ac:dyDescent="0.25">
      <c r="A434">
        <v>433</v>
      </c>
      <c r="B434">
        <f>[1]sens_0_spec_90_PSA!B434</f>
        <v>0</v>
      </c>
      <c r="C434" t="str">
        <f>[1]sens_0_spec_90_PSA!C434</f>
        <v>NA</v>
      </c>
      <c r="D434">
        <f>[1]sens_0_spec_90_PSA!D434</f>
        <v>0</v>
      </c>
      <c r="E434" s="1">
        <f>[1]sens_0_spec_90_PSA!E434</f>
        <v>0.1643</v>
      </c>
      <c r="F434" s="1">
        <f>[1]sens_0_spec_90_PSA!F434</f>
        <v>5.5E-2</v>
      </c>
      <c r="G434" s="2">
        <f>[1]sens_0_spec_90_PSA!G434</f>
        <v>17.212891239503499</v>
      </c>
      <c r="H434" s="2">
        <f>[1]sens_0_spec_90_PSA!H434</f>
        <v>13.505688874631501</v>
      </c>
      <c r="I434" s="2">
        <f>[1]sens_0_spec_90_PSA!I434</f>
        <v>8.2484118732530192</v>
      </c>
      <c r="J434" s="3">
        <f>[1]sens_0_spec_90_PSA!J434</f>
        <v>164975.63858704999</v>
      </c>
      <c r="K434" s="3">
        <f>[1]sens_0_spec_90_PSA!K434</f>
        <v>101477.97976827501</v>
      </c>
      <c r="L434">
        <f>[1]sens_0_spec_90_PSA!L434</f>
        <v>1</v>
      </c>
      <c r="M434">
        <f>[1]sens_0_spec_90_PSA!M434</f>
        <v>0</v>
      </c>
    </row>
    <row r="435" spans="1:13" x14ac:dyDescent="0.25">
      <c r="A435">
        <v>434</v>
      </c>
      <c r="B435">
        <f>[1]sens_0_spec_90_PSA!B435</f>
        <v>0</v>
      </c>
      <c r="C435" t="str">
        <f>[1]sens_0_spec_90_PSA!C435</f>
        <v>NA</v>
      </c>
      <c r="D435">
        <f>[1]sens_0_spec_90_PSA!D435</f>
        <v>0</v>
      </c>
      <c r="E435" s="1">
        <f>[1]sens_0_spec_90_PSA!E435</f>
        <v>0.2268</v>
      </c>
      <c r="F435" s="1">
        <f>[1]sens_0_spec_90_PSA!F435</f>
        <v>5.0799999999999998E-2</v>
      </c>
      <c r="G435" s="2">
        <f>[1]sens_0_spec_90_PSA!G435</f>
        <v>16.506129142017599</v>
      </c>
      <c r="H435" s="2">
        <f>[1]sens_0_spec_90_PSA!H435</f>
        <v>10.824752116404801</v>
      </c>
      <c r="I435" s="2">
        <f>[1]sens_0_spec_90_PSA!I435</f>
        <v>6.5492659620254496</v>
      </c>
      <c r="J435" s="3">
        <f>[1]sens_0_spec_90_PSA!J435</f>
        <v>163163.20917340799</v>
      </c>
      <c r="K435" s="3">
        <f>[1]sens_0_spec_90_PSA!K435</f>
        <v>98913.836240461693</v>
      </c>
      <c r="L435">
        <f>[1]sens_0_spec_90_PSA!L435</f>
        <v>1</v>
      </c>
      <c r="M435">
        <f>[1]sens_0_spec_90_PSA!M435</f>
        <v>0</v>
      </c>
    </row>
    <row r="436" spans="1:13" x14ac:dyDescent="0.25">
      <c r="A436">
        <v>435</v>
      </c>
      <c r="B436">
        <f>[1]sens_0_spec_90_PSA!B436</f>
        <v>0</v>
      </c>
      <c r="C436" t="str">
        <f>[1]sens_0_spec_90_PSA!C436</f>
        <v>NA</v>
      </c>
      <c r="D436">
        <f>[1]sens_0_spec_90_PSA!D436</f>
        <v>0</v>
      </c>
      <c r="E436" s="1">
        <f>[1]sens_0_spec_90_PSA!E436</f>
        <v>0.18290000000000001</v>
      </c>
      <c r="F436" s="1">
        <f>[1]sens_0_spec_90_PSA!F436</f>
        <v>9.69E-2</v>
      </c>
      <c r="G436" s="2">
        <f>[1]sens_0_spec_90_PSA!G436</f>
        <v>18.290967972274601</v>
      </c>
      <c r="H436" s="2">
        <f>[1]sens_0_spec_90_PSA!H436</f>
        <v>12.7629560198622</v>
      </c>
      <c r="I436" s="2">
        <f>[1]sens_0_spec_90_PSA!I436</f>
        <v>7.5097744691352304</v>
      </c>
      <c r="J436" s="3">
        <f>[1]sens_0_spec_90_PSA!J436</f>
        <v>170657.59407380599</v>
      </c>
      <c r="K436" s="3">
        <f>[1]sens_0_spec_90_PSA!K436</f>
        <v>99811.063857124696</v>
      </c>
      <c r="L436">
        <f>[1]sens_0_spec_90_PSA!L436</f>
        <v>1</v>
      </c>
      <c r="M436">
        <f>[1]sens_0_spec_90_PSA!M436</f>
        <v>0</v>
      </c>
    </row>
    <row r="437" spans="1:13" x14ac:dyDescent="0.25">
      <c r="A437">
        <v>436</v>
      </c>
      <c r="B437">
        <f>[1]sens_0_spec_90_PSA!B437</f>
        <v>0</v>
      </c>
      <c r="C437" t="str">
        <f>[1]sens_0_spec_90_PSA!C437</f>
        <v>NA</v>
      </c>
      <c r="D437">
        <f>[1]sens_0_spec_90_PSA!D437</f>
        <v>0</v>
      </c>
      <c r="E437" s="1">
        <f>[1]sens_0_spec_90_PSA!E437</f>
        <v>0.1452</v>
      </c>
      <c r="F437" s="1">
        <f>[1]sens_0_spec_90_PSA!F437</f>
        <v>5.3999999999999999E-2</v>
      </c>
      <c r="G437" s="2">
        <f>[1]sens_0_spec_90_PSA!G437</f>
        <v>18.605211736081301</v>
      </c>
      <c r="H437" s="2">
        <f>[1]sens_0_spec_90_PSA!H437</f>
        <v>14.094603513615301</v>
      </c>
      <c r="I437" s="2">
        <f>[1]sens_0_spec_90_PSA!I437</f>
        <v>8.4651022037698294</v>
      </c>
      <c r="J437" s="3">
        <f>[1]sens_0_spec_90_PSA!J437</f>
        <v>183059.351077128</v>
      </c>
      <c r="K437" s="3">
        <f>[1]sens_0_spec_90_PSA!K437</f>
        <v>109802.469944645</v>
      </c>
      <c r="L437">
        <f>[1]sens_0_spec_90_PSA!L437</f>
        <v>1</v>
      </c>
      <c r="M437">
        <f>[1]sens_0_spec_90_PSA!M437</f>
        <v>0</v>
      </c>
    </row>
    <row r="438" spans="1:13" x14ac:dyDescent="0.25">
      <c r="A438">
        <v>437</v>
      </c>
      <c r="B438">
        <f>[1]sens_0_spec_90_PSA!B438</f>
        <v>0</v>
      </c>
      <c r="C438" t="str">
        <f>[1]sens_0_spec_90_PSA!C438</f>
        <v>NA</v>
      </c>
      <c r="D438">
        <f>[1]sens_0_spec_90_PSA!D438</f>
        <v>0</v>
      </c>
      <c r="E438" s="1">
        <f>[1]sens_0_spec_90_PSA!E438</f>
        <v>0.1976</v>
      </c>
      <c r="F438" s="1">
        <f>[1]sens_0_spec_90_PSA!F438</f>
        <v>4.4600000000000001E-2</v>
      </c>
      <c r="G438" s="2">
        <f>[1]sens_0_spec_90_PSA!G438</f>
        <v>17.028649072671399</v>
      </c>
      <c r="H438" s="2">
        <f>[1]sens_0_spec_90_PSA!H438</f>
        <v>11.234551846860199</v>
      </c>
      <c r="I438" s="2">
        <f>[1]sens_0_spec_90_PSA!I438</f>
        <v>6.8112615242242098</v>
      </c>
      <c r="J438" s="3">
        <f>[1]sens_0_spec_90_PSA!J438</f>
        <v>221542.310467156</v>
      </c>
      <c r="K438" s="3">
        <f>[1]sens_0_spec_90_PSA!K438</f>
        <v>132650.68911317701</v>
      </c>
      <c r="L438">
        <f>[1]sens_0_spec_90_PSA!L438</f>
        <v>1</v>
      </c>
      <c r="M438">
        <f>[1]sens_0_spec_90_PSA!M438</f>
        <v>0</v>
      </c>
    </row>
    <row r="439" spans="1:13" x14ac:dyDescent="0.25">
      <c r="A439">
        <v>438</v>
      </c>
      <c r="B439">
        <f>[1]sens_0_spec_90_PSA!B439</f>
        <v>0</v>
      </c>
      <c r="C439" t="str">
        <f>[1]sens_0_spec_90_PSA!C439</f>
        <v>NA</v>
      </c>
      <c r="D439">
        <f>[1]sens_0_spec_90_PSA!D439</f>
        <v>0</v>
      </c>
      <c r="E439" s="1">
        <f>[1]sens_0_spec_90_PSA!E439</f>
        <v>0.13750000000000001</v>
      </c>
      <c r="F439" s="1">
        <f>[1]sens_0_spec_90_PSA!F439</f>
        <v>2.53E-2</v>
      </c>
      <c r="G439" s="2">
        <f>[1]sens_0_spec_90_PSA!G439</f>
        <v>19.062806688440599</v>
      </c>
      <c r="H439" s="2">
        <f>[1]sens_0_spec_90_PSA!H439</f>
        <v>13.1791538380538</v>
      </c>
      <c r="I439" s="2">
        <f>[1]sens_0_spec_90_PSA!I439</f>
        <v>7.9379218269416301</v>
      </c>
      <c r="J439" s="3">
        <f>[1]sens_0_spec_90_PSA!J439</f>
        <v>212316.684475021</v>
      </c>
      <c r="K439" s="3">
        <f>[1]sens_0_spec_90_PSA!K439</f>
        <v>126676.792775472</v>
      </c>
      <c r="L439">
        <f>[1]sens_0_spec_90_PSA!L439</f>
        <v>1</v>
      </c>
      <c r="M439">
        <f>[1]sens_0_spec_90_PSA!M439</f>
        <v>0</v>
      </c>
    </row>
    <row r="440" spans="1:13" x14ac:dyDescent="0.25">
      <c r="A440">
        <v>439</v>
      </c>
      <c r="B440">
        <f>[1]sens_0_spec_90_PSA!B440</f>
        <v>0</v>
      </c>
      <c r="C440" t="str">
        <f>[1]sens_0_spec_90_PSA!C440</f>
        <v>NA</v>
      </c>
      <c r="D440">
        <f>[1]sens_0_spec_90_PSA!D440</f>
        <v>0</v>
      </c>
      <c r="E440" s="1">
        <f>[1]sens_0_spec_90_PSA!E440</f>
        <v>0.16139999999999999</v>
      </c>
      <c r="F440" s="1">
        <f>[1]sens_0_spec_90_PSA!F440</f>
        <v>3.8699999999999998E-2</v>
      </c>
      <c r="G440" s="2">
        <f>[1]sens_0_spec_90_PSA!G440</f>
        <v>17.2967777869648</v>
      </c>
      <c r="H440" s="2">
        <f>[1]sens_0_spec_90_PSA!H440</f>
        <v>13.555064653098899</v>
      </c>
      <c r="I440" s="2">
        <f>[1]sens_0_spec_90_PSA!I440</f>
        <v>8.3093763857290206</v>
      </c>
      <c r="J440" s="3">
        <f>[1]sens_0_spec_90_PSA!J440</f>
        <v>207227.681495072</v>
      </c>
      <c r="K440" s="3">
        <f>[1]sens_0_spec_90_PSA!K440</f>
        <v>125978.083087204</v>
      </c>
      <c r="L440">
        <f>[1]sens_0_spec_90_PSA!L440</f>
        <v>1</v>
      </c>
      <c r="M440">
        <f>[1]sens_0_spec_90_PSA!M440</f>
        <v>0</v>
      </c>
    </row>
    <row r="441" spans="1:13" x14ac:dyDescent="0.25">
      <c r="A441">
        <v>440</v>
      </c>
      <c r="B441">
        <f>[1]sens_0_spec_90_PSA!B441</f>
        <v>0</v>
      </c>
      <c r="C441" t="str">
        <f>[1]sens_0_spec_90_PSA!C441</f>
        <v>NA</v>
      </c>
      <c r="D441">
        <f>[1]sens_0_spec_90_PSA!D441</f>
        <v>0</v>
      </c>
      <c r="E441" s="1">
        <f>[1]sens_0_spec_90_PSA!E441</f>
        <v>0.16980000000000001</v>
      </c>
      <c r="F441" s="1">
        <f>[1]sens_0_spec_90_PSA!F441</f>
        <v>3.5799999999999998E-2</v>
      </c>
      <c r="G441" s="2">
        <f>[1]sens_0_spec_90_PSA!G441</f>
        <v>19.431172418463898</v>
      </c>
      <c r="H441" s="2">
        <f>[1]sens_0_spec_90_PSA!H441</f>
        <v>12.769518933020599</v>
      </c>
      <c r="I441" s="2">
        <f>[1]sens_0_spec_90_PSA!I441</f>
        <v>7.5468161837265004</v>
      </c>
      <c r="J441" s="3">
        <f>[1]sens_0_spec_90_PSA!J441</f>
        <v>233097.60437131699</v>
      </c>
      <c r="K441" s="3">
        <f>[1]sens_0_spec_90_PSA!K441</f>
        <v>135141.26873935701</v>
      </c>
      <c r="L441">
        <f>[1]sens_0_spec_90_PSA!L441</f>
        <v>1</v>
      </c>
      <c r="M441">
        <f>[1]sens_0_spec_90_PSA!M441</f>
        <v>0</v>
      </c>
    </row>
    <row r="442" spans="1:13" x14ac:dyDescent="0.25">
      <c r="A442">
        <v>441</v>
      </c>
      <c r="B442">
        <f>[1]sens_0_spec_90_PSA!B442</f>
        <v>0</v>
      </c>
      <c r="C442" t="str">
        <f>[1]sens_0_spec_90_PSA!C442</f>
        <v>NA</v>
      </c>
      <c r="D442">
        <f>[1]sens_0_spec_90_PSA!D442</f>
        <v>0</v>
      </c>
      <c r="E442" s="1">
        <f>[1]sens_0_spec_90_PSA!E442</f>
        <v>0.20730000000000001</v>
      </c>
      <c r="F442" s="1">
        <f>[1]sens_0_spec_90_PSA!F442</f>
        <v>5.9299999999999999E-2</v>
      </c>
      <c r="G442" s="2">
        <f>[1]sens_0_spec_90_PSA!G442</f>
        <v>16.792101299650401</v>
      </c>
      <c r="H442" s="2">
        <f>[1]sens_0_spec_90_PSA!H442</f>
        <v>11.6215177717709</v>
      </c>
      <c r="I442" s="2">
        <f>[1]sens_0_spec_90_PSA!I442</f>
        <v>7.0066629518912302</v>
      </c>
      <c r="J442" s="3">
        <f>[1]sens_0_spec_90_PSA!J442</f>
        <v>210801.815289605</v>
      </c>
      <c r="K442" s="3">
        <f>[1]sens_0_spec_90_PSA!K442</f>
        <v>125555.033192908</v>
      </c>
      <c r="L442">
        <f>[1]sens_0_spec_90_PSA!L442</f>
        <v>1</v>
      </c>
      <c r="M442">
        <f>[1]sens_0_spec_90_PSA!M442</f>
        <v>0</v>
      </c>
    </row>
    <row r="443" spans="1:13" x14ac:dyDescent="0.25">
      <c r="A443">
        <v>442</v>
      </c>
      <c r="B443">
        <f>[1]sens_0_spec_90_PSA!B443</f>
        <v>0</v>
      </c>
      <c r="C443" t="str">
        <f>[1]sens_0_spec_90_PSA!C443</f>
        <v>NA</v>
      </c>
      <c r="D443">
        <f>[1]sens_0_spec_90_PSA!D443</f>
        <v>0</v>
      </c>
      <c r="E443" s="1">
        <f>[1]sens_0_spec_90_PSA!E443</f>
        <v>0.17749999999999999</v>
      </c>
      <c r="F443" s="1">
        <f>[1]sens_0_spec_90_PSA!F443</f>
        <v>3.2800000000000003E-2</v>
      </c>
      <c r="G443" s="2">
        <f>[1]sens_0_spec_90_PSA!G443</f>
        <v>18.461816546364599</v>
      </c>
      <c r="H443" s="2">
        <f>[1]sens_0_spec_90_PSA!H443</f>
        <v>13.329861563928899</v>
      </c>
      <c r="I443" s="2">
        <f>[1]sens_0_spec_90_PSA!I443</f>
        <v>7.9757670696416003</v>
      </c>
      <c r="J443" s="3">
        <f>[1]sens_0_spec_90_PSA!J443</f>
        <v>237492.18535915099</v>
      </c>
      <c r="K443" s="3">
        <f>[1]sens_0_spec_90_PSA!K443</f>
        <v>139694.35957216501</v>
      </c>
      <c r="L443">
        <f>[1]sens_0_spec_90_PSA!L443</f>
        <v>1</v>
      </c>
      <c r="M443">
        <f>[1]sens_0_spec_90_PSA!M443</f>
        <v>0</v>
      </c>
    </row>
    <row r="444" spans="1:13" x14ac:dyDescent="0.25">
      <c r="A444">
        <v>443</v>
      </c>
      <c r="B444">
        <f>[1]sens_0_spec_90_PSA!B444</f>
        <v>0</v>
      </c>
      <c r="C444" t="str">
        <f>[1]sens_0_spec_90_PSA!C444</f>
        <v>NA</v>
      </c>
      <c r="D444">
        <f>[1]sens_0_spec_90_PSA!D444</f>
        <v>0</v>
      </c>
      <c r="E444" s="1">
        <f>[1]sens_0_spec_90_PSA!E444</f>
        <v>0.19009999999999999</v>
      </c>
      <c r="F444" s="1">
        <f>[1]sens_0_spec_90_PSA!F444</f>
        <v>2.8899999999999999E-2</v>
      </c>
      <c r="G444" s="2">
        <f>[1]sens_0_spec_90_PSA!G444</f>
        <v>16.956623208857</v>
      </c>
      <c r="H444" s="2">
        <f>[1]sens_0_spec_90_PSA!H444</f>
        <v>12.5897385847605</v>
      </c>
      <c r="I444" s="2">
        <f>[1]sens_0_spec_90_PSA!I444</f>
        <v>7.7139706478118999</v>
      </c>
      <c r="J444" s="3">
        <f>[1]sens_0_spec_90_PSA!J444</f>
        <v>203234.90553890099</v>
      </c>
      <c r="K444" s="3">
        <f>[1]sens_0_spec_90_PSA!K444</f>
        <v>123933.45971931799</v>
      </c>
      <c r="L444">
        <f>[1]sens_0_spec_90_PSA!L444</f>
        <v>1</v>
      </c>
      <c r="M444">
        <f>[1]sens_0_spec_90_PSA!M444</f>
        <v>0</v>
      </c>
    </row>
    <row r="445" spans="1:13" x14ac:dyDescent="0.25">
      <c r="A445">
        <v>444</v>
      </c>
      <c r="B445">
        <f>[1]sens_0_spec_90_PSA!B445</f>
        <v>0</v>
      </c>
      <c r="C445" t="str">
        <f>[1]sens_0_spec_90_PSA!C445</f>
        <v>NA</v>
      </c>
      <c r="D445">
        <f>[1]sens_0_spec_90_PSA!D445</f>
        <v>0</v>
      </c>
      <c r="E445" s="1">
        <f>[1]sens_0_spec_90_PSA!E445</f>
        <v>0.1464</v>
      </c>
      <c r="F445" s="1">
        <f>[1]sens_0_spec_90_PSA!F445</f>
        <v>4.6199999999999998E-2</v>
      </c>
      <c r="G445" s="2">
        <f>[1]sens_0_spec_90_PSA!G445</f>
        <v>17.948018119480501</v>
      </c>
      <c r="H445" s="2">
        <f>[1]sens_0_spec_90_PSA!H445</f>
        <v>14.826954889155299</v>
      </c>
      <c r="I445" s="2">
        <f>[1]sens_0_spec_90_PSA!I445</f>
        <v>8.98051010258777</v>
      </c>
      <c r="J445" s="3">
        <f>[1]sens_0_spec_90_PSA!J445</f>
        <v>205767.66114215</v>
      </c>
      <c r="K445" s="3">
        <f>[1]sens_0_spec_90_PSA!K445</f>
        <v>123526.669875194</v>
      </c>
      <c r="L445">
        <f>[1]sens_0_spec_90_PSA!L445</f>
        <v>1</v>
      </c>
      <c r="M445">
        <f>[1]sens_0_spec_90_PSA!M445</f>
        <v>0</v>
      </c>
    </row>
    <row r="446" spans="1:13" x14ac:dyDescent="0.25">
      <c r="A446">
        <v>445</v>
      </c>
      <c r="B446">
        <f>[1]sens_0_spec_90_PSA!B446</f>
        <v>0</v>
      </c>
      <c r="C446" t="str">
        <f>[1]sens_0_spec_90_PSA!C446</f>
        <v>NA</v>
      </c>
      <c r="D446">
        <f>[1]sens_0_spec_90_PSA!D446</f>
        <v>0</v>
      </c>
      <c r="E446" s="1">
        <f>[1]sens_0_spec_90_PSA!E446</f>
        <v>0.1235</v>
      </c>
      <c r="F446" s="1">
        <f>[1]sens_0_spec_90_PSA!F446</f>
        <v>6.0199999999999997E-2</v>
      </c>
      <c r="G446" s="2">
        <f>[1]sens_0_spec_90_PSA!G446</f>
        <v>17.973217494562501</v>
      </c>
      <c r="H446" s="2">
        <f>[1]sens_0_spec_90_PSA!H446</f>
        <v>11.387238149524199</v>
      </c>
      <c r="I446" s="2">
        <f>[1]sens_0_spec_90_PSA!I446</f>
        <v>6.9250315512634497</v>
      </c>
      <c r="J446" s="3">
        <f>[1]sens_0_spec_90_PSA!J446</f>
        <v>182115.250802508</v>
      </c>
      <c r="K446" s="3">
        <f>[1]sens_0_spec_90_PSA!K446</f>
        <v>110469.45287404901</v>
      </c>
      <c r="L446">
        <f>[1]sens_0_spec_90_PSA!L446</f>
        <v>1</v>
      </c>
      <c r="M446">
        <f>[1]sens_0_spec_90_PSA!M446</f>
        <v>0</v>
      </c>
    </row>
    <row r="447" spans="1:13" x14ac:dyDescent="0.25">
      <c r="A447">
        <v>446</v>
      </c>
      <c r="B447">
        <f>[1]sens_0_spec_90_PSA!B447</f>
        <v>0</v>
      </c>
      <c r="C447" t="str">
        <f>[1]sens_0_spec_90_PSA!C447</f>
        <v>NA</v>
      </c>
      <c r="D447">
        <f>[1]sens_0_spec_90_PSA!D447</f>
        <v>0</v>
      </c>
      <c r="E447" s="1">
        <f>[1]sens_0_spec_90_PSA!E447</f>
        <v>0.27210000000000001</v>
      </c>
      <c r="F447" s="1">
        <f>[1]sens_0_spec_90_PSA!F447</f>
        <v>3.2099999999999997E-2</v>
      </c>
      <c r="G447" s="2">
        <f>[1]sens_0_spec_90_PSA!G447</f>
        <v>17.164611690930499</v>
      </c>
      <c r="H447" s="2">
        <f>[1]sens_0_spec_90_PSA!H447</f>
        <v>11.9218035333041</v>
      </c>
      <c r="I447" s="2">
        <f>[1]sens_0_spec_90_PSA!I447</f>
        <v>7.0656845454661301</v>
      </c>
      <c r="J447" s="3">
        <f>[1]sens_0_spec_90_PSA!J447</f>
        <v>197701.06962019601</v>
      </c>
      <c r="K447" s="3">
        <f>[1]sens_0_spec_90_PSA!K447</f>
        <v>115693.192184493</v>
      </c>
      <c r="L447">
        <f>[1]sens_0_spec_90_PSA!L447</f>
        <v>1</v>
      </c>
      <c r="M447">
        <f>[1]sens_0_spec_90_PSA!M447</f>
        <v>0</v>
      </c>
    </row>
    <row r="448" spans="1:13" x14ac:dyDescent="0.25">
      <c r="A448">
        <v>447</v>
      </c>
      <c r="B448">
        <f>[1]sens_0_spec_90_PSA!B448</f>
        <v>0</v>
      </c>
      <c r="C448" t="str">
        <f>[1]sens_0_spec_90_PSA!C448</f>
        <v>NA</v>
      </c>
      <c r="D448">
        <f>[1]sens_0_spec_90_PSA!D448</f>
        <v>0</v>
      </c>
      <c r="E448" s="1">
        <f>[1]sens_0_spec_90_PSA!E448</f>
        <v>0.16889999999999999</v>
      </c>
      <c r="F448" s="1">
        <f>[1]sens_0_spec_90_PSA!F448</f>
        <v>3.95E-2</v>
      </c>
      <c r="G448" s="2">
        <f>[1]sens_0_spec_90_PSA!G448</f>
        <v>18.430951841525999</v>
      </c>
      <c r="H448" s="2">
        <f>[1]sens_0_spec_90_PSA!H448</f>
        <v>13.0938874330001</v>
      </c>
      <c r="I448" s="2">
        <f>[1]sens_0_spec_90_PSA!I448</f>
        <v>7.8513751937962004</v>
      </c>
      <c r="J448" s="3">
        <f>[1]sens_0_spec_90_PSA!J448</f>
        <v>152443.94757500399</v>
      </c>
      <c r="K448" s="3">
        <f>[1]sens_0_spec_90_PSA!K448</f>
        <v>92449.4777676542</v>
      </c>
      <c r="L448">
        <f>[1]sens_0_spec_90_PSA!L448</f>
        <v>1</v>
      </c>
      <c r="M448">
        <f>[1]sens_0_spec_90_PSA!M448</f>
        <v>0</v>
      </c>
    </row>
    <row r="449" spans="1:13" x14ac:dyDescent="0.25">
      <c r="A449">
        <v>448</v>
      </c>
      <c r="B449">
        <f>[1]sens_0_spec_90_PSA!B449</f>
        <v>0</v>
      </c>
      <c r="C449" t="str">
        <f>[1]sens_0_spec_90_PSA!C449</f>
        <v>NA</v>
      </c>
      <c r="D449">
        <f>[1]sens_0_spec_90_PSA!D449</f>
        <v>0</v>
      </c>
      <c r="E449" s="1">
        <f>[1]sens_0_spec_90_PSA!E449</f>
        <v>0.24410000000000001</v>
      </c>
      <c r="F449" s="1">
        <f>[1]sens_0_spec_90_PSA!F449</f>
        <v>4.5400000000000003E-2</v>
      </c>
      <c r="G449" s="2">
        <f>[1]sens_0_spec_90_PSA!G449</f>
        <v>17.020039106612</v>
      </c>
      <c r="H449" s="2">
        <f>[1]sens_0_spec_90_PSA!H449</f>
        <v>12.7332044790385</v>
      </c>
      <c r="I449" s="2">
        <f>[1]sens_0_spec_90_PSA!I449</f>
        <v>7.60181851366307</v>
      </c>
      <c r="J449" s="3">
        <f>[1]sens_0_spec_90_PSA!J449</f>
        <v>145373.782241687</v>
      </c>
      <c r="K449" s="3">
        <f>[1]sens_0_spec_90_PSA!K449</f>
        <v>87520.064315525102</v>
      </c>
      <c r="L449">
        <f>[1]sens_0_spec_90_PSA!L449</f>
        <v>1</v>
      </c>
      <c r="M449">
        <f>[1]sens_0_spec_90_PSA!M449</f>
        <v>0</v>
      </c>
    </row>
    <row r="450" spans="1:13" x14ac:dyDescent="0.25">
      <c r="A450">
        <v>449</v>
      </c>
      <c r="B450">
        <f>[1]sens_0_spec_90_PSA!B450</f>
        <v>0</v>
      </c>
      <c r="C450" t="str">
        <f>[1]sens_0_spec_90_PSA!C450</f>
        <v>NA</v>
      </c>
      <c r="D450">
        <f>[1]sens_0_spec_90_PSA!D450</f>
        <v>0</v>
      </c>
      <c r="E450" s="1">
        <f>[1]sens_0_spec_90_PSA!E450</f>
        <v>0.1636</v>
      </c>
      <c r="F450" s="1">
        <f>[1]sens_0_spec_90_PSA!F450</f>
        <v>3.5000000000000003E-2</v>
      </c>
      <c r="G450" s="2">
        <f>[1]sens_0_spec_90_PSA!G450</f>
        <v>19.816469745975098</v>
      </c>
      <c r="H450" s="2">
        <f>[1]sens_0_spec_90_PSA!H450</f>
        <v>14.4840523918414</v>
      </c>
      <c r="I450" s="2">
        <f>[1]sens_0_spec_90_PSA!I450</f>
        <v>8.5301928331267796</v>
      </c>
      <c r="J450" s="3">
        <f>[1]sens_0_spec_90_PSA!J450</f>
        <v>251419.28019731899</v>
      </c>
      <c r="K450" s="3">
        <f>[1]sens_0_spec_90_PSA!K450</f>
        <v>144084.77589804301</v>
      </c>
      <c r="L450">
        <f>[1]sens_0_spec_90_PSA!L450</f>
        <v>1</v>
      </c>
      <c r="M450">
        <f>[1]sens_0_spec_90_PSA!M450</f>
        <v>0</v>
      </c>
    </row>
    <row r="451" spans="1:13" x14ac:dyDescent="0.25">
      <c r="A451">
        <v>450</v>
      </c>
      <c r="B451">
        <f>[1]sens_0_spec_90_PSA!B451</f>
        <v>0</v>
      </c>
      <c r="C451" t="str">
        <f>[1]sens_0_spec_90_PSA!C451</f>
        <v>NA</v>
      </c>
      <c r="D451">
        <f>[1]sens_0_spec_90_PSA!D451</f>
        <v>0</v>
      </c>
      <c r="E451" s="1">
        <f>[1]sens_0_spec_90_PSA!E451</f>
        <v>0.23980000000000001</v>
      </c>
      <c r="F451" s="1">
        <f>[1]sens_0_spec_90_PSA!F451</f>
        <v>5.2999999999999999E-2</v>
      </c>
      <c r="G451" s="2">
        <f>[1]sens_0_spec_90_PSA!G451</f>
        <v>17.0393397022507</v>
      </c>
      <c r="H451" s="2">
        <f>[1]sens_0_spec_90_PSA!H451</f>
        <v>13.5749382052035</v>
      </c>
      <c r="I451" s="2">
        <f>[1]sens_0_spec_90_PSA!I451</f>
        <v>8.09302949705482</v>
      </c>
      <c r="J451" s="3">
        <f>[1]sens_0_spec_90_PSA!J451</f>
        <v>228412.308954187</v>
      </c>
      <c r="K451" s="3">
        <f>[1]sens_0_spec_90_PSA!K451</f>
        <v>133441.93352543999</v>
      </c>
      <c r="L451">
        <f>[1]sens_0_spec_90_PSA!L451</f>
        <v>1</v>
      </c>
      <c r="M451">
        <f>[1]sens_0_spec_90_PSA!M451</f>
        <v>0</v>
      </c>
    </row>
    <row r="452" spans="1:13" x14ac:dyDescent="0.25">
      <c r="A452">
        <v>451</v>
      </c>
      <c r="B452">
        <f>[1]sens_0_spec_90_PSA!B452</f>
        <v>0</v>
      </c>
      <c r="C452" t="str">
        <f>[1]sens_0_spec_90_PSA!C452</f>
        <v>NA</v>
      </c>
      <c r="D452">
        <f>[1]sens_0_spec_90_PSA!D452</f>
        <v>0</v>
      </c>
      <c r="E452" s="1">
        <f>[1]sens_0_spec_90_PSA!E452</f>
        <v>0.15939999999999999</v>
      </c>
      <c r="F452" s="1">
        <f>[1]sens_0_spec_90_PSA!F452</f>
        <v>3.6200000000000003E-2</v>
      </c>
      <c r="G452" s="2">
        <f>[1]sens_0_spec_90_PSA!G452</f>
        <v>18.2583093343159</v>
      </c>
      <c r="H452" s="2">
        <f>[1]sens_0_spec_90_PSA!H452</f>
        <v>14.1932004169606</v>
      </c>
      <c r="I452" s="2">
        <f>[1]sens_0_spec_90_PSA!I452</f>
        <v>8.5530494101920507</v>
      </c>
      <c r="J452" s="3">
        <f>[1]sens_0_spec_90_PSA!J452</f>
        <v>233010.166442007</v>
      </c>
      <c r="K452" s="3">
        <f>[1]sens_0_spec_90_PSA!K452</f>
        <v>138059.58455592999</v>
      </c>
      <c r="L452">
        <f>[1]sens_0_spec_90_PSA!L452</f>
        <v>1</v>
      </c>
      <c r="M452">
        <f>[1]sens_0_spec_90_PSA!M452</f>
        <v>0</v>
      </c>
    </row>
    <row r="453" spans="1:13" x14ac:dyDescent="0.25">
      <c r="A453">
        <v>452</v>
      </c>
      <c r="B453">
        <f>[1]sens_0_spec_90_PSA!B453</f>
        <v>0</v>
      </c>
      <c r="C453" t="str">
        <f>[1]sens_0_spec_90_PSA!C453</f>
        <v>NA</v>
      </c>
      <c r="D453">
        <f>[1]sens_0_spec_90_PSA!D453</f>
        <v>0</v>
      </c>
      <c r="E453" s="1">
        <f>[1]sens_0_spec_90_PSA!E453</f>
        <v>0.22570000000000001</v>
      </c>
      <c r="F453" s="1">
        <f>[1]sens_0_spec_90_PSA!F453</f>
        <v>3.6900000000000002E-2</v>
      </c>
      <c r="G453" s="2">
        <f>[1]sens_0_spec_90_PSA!G453</f>
        <v>19.798299979451699</v>
      </c>
      <c r="H453" s="2">
        <f>[1]sens_0_spec_90_PSA!H453</f>
        <v>14.322081154579701</v>
      </c>
      <c r="I453" s="2">
        <f>[1]sens_0_spec_90_PSA!I453</f>
        <v>8.2510493608931998</v>
      </c>
      <c r="J453" s="3">
        <f>[1]sens_0_spec_90_PSA!J453</f>
        <v>275618.87816885201</v>
      </c>
      <c r="K453" s="3">
        <f>[1]sens_0_spec_90_PSA!K453</f>
        <v>152749.26896736599</v>
      </c>
      <c r="L453">
        <f>[1]sens_0_spec_90_PSA!L453</f>
        <v>1</v>
      </c>
      <c r="M453">
        <f>[1]sens_0_spec_90_PSA!M453</f>
        <v>0</v>
      </c>
    </row>
    <row r="454" spans="1:13" x14ac:dyDescent="0.25">
      <c r="A454">
        <v>453</v>
      </c>
      <c r="B454">
        <f>[1]sens_0_spec_90_PSA!B454</f>
        <v>0</v>
      </c>
      <c r="C454" t="str">
        <f>[1]sens_0_spec_90_PSA!C454</f>
        <v>NA</v>
      </c>
      <c r="D454">
        <f>[1]sens_0_spec_90_PSA!D454</f>
        <v>0</v>
      </c>
      <c r="E454" s="1">
        <f>[1]sens_0_spec_90_PSA!E454</f>
        <v>0.1918</v>
      </c>
      <c r="F454" s="1">
        <f>[1]sens_0_spec_90_PSA!F454</f>
        <v>5.57E-2</v>
      </c>
      <c r="G454" s="2">
        <f>[1]sens_0_spec_90_PSA!G454</f>
        <v>16.477979691657499</v>
      </c>
      <c r="H454" s="2">
        <f>[1]sens_0_spec_90_PSA!H454</f>
        <v>12.3510887954408</v>
      </c>
      <c r="I454" s="2">
        <f>[1]sens_0_spec_90_PSA!I454</f>
        <v>7.5414161814510896</v>
      </c>
      <c r="J454" s="3">
        <f>[1]sens_0_spec_90_PSA!J454</f>
        <v>214859.48502242999</v>
      </c>
      <c r="K454" s="3">
        <f>[1]sens_0_spec_90_PSA!K454</f>
        <v>129829.413556574</v>
      </c>
      <c r="L454">
        <f>[1]sens_0_spec_90_PSA!L454</f>
        <v>1</v>
      </c>
      <c r="M454">
        <f>[1]sens_0_spec_90_PSA!M454</f>
        <v>0</v>
      </c>
    </row>
    <row r="455" spans="1:13" x14ac:dyDescent="0.25">
      <c r="A455">
        <v>454</v>
      </c>
      <c r="B455">
        <f>[1]sens_0_spec_90_PSA!B455</f>
        <v>0</v>
      </c>
      <c r="C455" t="str">
        <f>[1]sens_0_spec_90_PSA!C455</f>
        <v>NA</v>
      </c>
      <c r="D455">
        <f>[1]sens_0_spec_90_PSA!D455</f>
        <v>0</v>
      </c>
      <c r="E455" s="1">
        <f>[1]sens_0_spec_90_PSA!E455</f>
        <v>0.2346</v>
      </c>
      <c r="F455" s="1">
        <f>[1]sens_0_spec_90_PSA!F455</f>
        <v>2.5499999999999998E-2</v>
      </c>
      <c r="G455" s="2">
        <f>[1]sens_0_spec_90_PSA!G455</f>
        <v>18.129373136505102</v>
      </c>
      <c r="H455" s="2">
        <f>[1]sens_0_spec_90_PSA!H455</f>
        <v>13.8620214088397</v>
      </c>
      <c r="I455" s="2">
        <f>[1]sens_0_spec_90_PSA!I455</f>
        <v>8.2353519907413606</v>
      </c>
      <c r="J455" s="3">
        <f>[1]sens_0_spec_90_PSA!J455</f>
        <v>179182.03658408899</v>
      </c>
      <c r="K455" s="3">
        <f>[1]sens_0_spec_90_PSA!K455</f>
        <v>106072.607742338</v>
      </c>
      <c r="L455">
        <f>[1]sens_0_spec_90_PSA!L455</f>
        <v>1</v>
      </c>
      <c r="M455">
        <f>[1]sens_0_spec_90_PSA!M455</f>
        <v>0</v>
      </c>
    </row>
    <row r="456" spans="1:13" x14ac:dyDescent="0.25">
      <c r="A456">
        <v>455</v>
      </c>
      <c r="B456">
        <f>[1]sens_0_spec_90_PSA!B456</f>
        <v>0</v>
      </c>
      <c r="C456" t="str">
        <f>[1]sens_0_spec_90_PSA!C456</f>
        <v>NA</v>
      </c>
      <c r="D456">
        <f>[1]sens_0_spec_90_PSA!D456</f>
        <v>0</v>
      </c>
      <c r="E456" s="1">
        <f>[1]sens_0_spec_90_PSA!E456</f>
        <v>0.14230000000000001</v>
      </c>
      <c r="F456" s="1">
        <f>[1]sens_0_spec_90_PSA!F456</f>
        <v>4.6800000000000001E-2</v>
      </c>
      <c r="G456" s="2">
        <f>[1]sens_0_spec_90_PSA!G456</f>
        <v>19.650303000440399</v>
      </c>
      <c r="H456" s="2">
        <f>[1]sens_0_spec_90_PSA!H456</f>
        <v>14.636211997844599</v>
      </c>
      <c r="I456" s="2">
        <f>[1]sens_0_spec_90_PSA!I456</f>
        <v>8.6733096092255497</v>
      </c>
      <c r="J456" s="3">
        <f>[1]sens_0_spec_90_PSA!J456</f>
        <v>225907.182582751</v>
      </c>
      <c r="K456" s="3">
        <f>[1]sens_0_spec_90_PSA!K456</f>
        <v>131716.03096965299</v>
      </c>
      <c r="L456">
        <f>[1]sens_0_spec_90_PSA!L456</f>
        <v>1</v>
      </c>
      <c r="M456">
        <f>[1]sens_0_spec_90_PSA!M456</f>
        <v>0</v>
      </c>
    </row>
    <row r="457" spans="1:13" x14ac:dyDescent="0.25">
      <c r="A457">
        <v>456</v>
      </c>
      <c r="B457">
        <f>[1]sens_0_spec_90_PSA!B457</f>
        <v>0</v>
      </c>
      <c r="C457" t="str">
        <f>[1]sens_0_spec_90_PSA!C457</f>
        <v>NA</v>
      </c>
      <c r="D457">
        <f>[1]sens_0_spec_90_PSA!D457</f>
        <v>0</v>
      </c>
      <c r="E457" s="1">
        <f>[1]sens_0_spec_90_PSA!E457</f>
        <v>0.22589999999999999</v>
      </c>
      <c r="F457" s="1">
        <f>[1]sens_0_spec_90_PSA!F457</f>
        <v>5.8500000000000003E-2</v>
      </c>
      <c r="G457" s="2">
        <f>[1]sens_0_spec_90_PSA!G457</f>
        <v>16.894435939708</v>
      </c>
      <c r="H457" s="2">
        <f>[1]sens_0_spec_90_PSA!H457</f>
        <v>13.330316337219701</v>
      </c>
      <c r="I457" s="2">
        <f>[1]sens_0_spec_90_PSA!I457</f>
        <v>7.9768231125713598</v>
      </c>
      <c r="J457" s="3">
        <f>[1]sens_0_spec_90_PSA!J457</f>
        <v>167513.05341075399</v>
      </c>
      <c r="K457" s="3">
        <f>[1]sens_0_spec_90_PSA!K457</f>
        <v>100077.776714666</v>
      </c>
      <c r="L457">
        <f>[1]sens_0_spec_90_PSA!L457</f>
        <v>1</v>
      </c>
      <c r="M457">
        <f>[1]sens_0_spec_90_PSA!M457</f>
        <v>0</v>
      </c>
    </row>
    <row r="458" spans="1:13" x14ac:dyDescent="0.25">
      <c r="A458">
        <v>457</v>
      </c>
      <c r="B458">
        <f>[1]sens_0_spec_90_PSA!B458</f>
        <v>0</v>
      </c>
      <c r="C458" t="str">
        <f>[1]sens_0_spec_90_PSA!C458</f>
        <v>NA</v>
      </c>
      <c r="D458">
        <f>[1]sens_0_spec_90_PSA!D458</f>
        <v>0</v>
      </c>
      <c r="E458" s="1">
        <f>[1]sens_0_spec_90_PSA!E458</f>
        <v>0.13450000000000001</v>
      </c>
      <c r="F458" s="1">
        <f>[1]sens_0_spec_90_PSA!F458</f>
        <v>4.5699999999999998E-2</v>
      </c>
      <c r="G458" s="2">
        <f>[1]sens_0_spec_90_PSA!G458</f>
        <v>19.917250285811701</v>
      </c>
      <c r="H458" s="2">
        <f>[1]sens_0_spec_90_PSA!H458</f>
        <v>14.632288324334199</v>
      </c>
      <c r="I458" s="2">
        <f>[1]sens_0_spec_90_PSA!I458</f>
        <v>8.6528570943900807</v>
      </c>
      <c r="J458" s="3">
        <f>[1]sens_0_spec_90_PSA!J458</f>
        <v>257466.788940895</v>
      </c>
      <c r="K458" s="3">
        <f>[1]sens_0_spec_90_PSA!K458</f>
        <v>148747.734313191</v>
      </c>
      <c r="L458">
        <f>[1]sens_0_spec_90_PSA!L458</f>
        <v>1</v>
      </c>
      <c r="M458">
        <f>[1]sens_0_spec_90_PSA!M458</f>
        <v>0</v>
      </c>
    </row>
    <row r="459" spans="1:13" x14ac:dyDescent="0.25">
      <c r="A459">
        <v>458</v>
      </c>
      <c r="B459">
        <f>[1]sens_0_spec_90_PSA!B459</f>
        <v>0</v>
      </c>
      <c r="C459" t="str">
        <f>[1]sens_0_spec_90_PSA!C459</f>
        <v>NA</v>
      </c>
      <c r="D459">
        <f>[1]sens_0_spec_90_PSA!D459</f>
        <v>0</v>
      </c>
      <c r="E459" s="1">
        <f>[1]sens_0_spec_90_PSA!E459</f>
        <v>0.13469999999999999</v>
      </c>
      <c r="F459" s="1">
        <f>[1]sens_0_spec_90_PSA!F459</f>
        <v>4.07E-2</v>
      </c>
      <c r="G459" s="2">
        <f>[1]sens_0_spec_90_PSA!G459</f>
        <v>21.066454483584099</v>
      </c>
      <c r="H459" s="2">
        <f>[1]sens_0_spec_90_PSA!H459</f>
        <v>13.5025735756383</v>
      </c>
      <c r="I459" s="2">
        <f>[1]sens_0_spec_90_PSA!I459</f>
        <v>7.8685764080683303</v>
      </c>
      <c r="J459" s="3">
        <f>[1]sens_0_spec_90_PSA!J459</f>
        <v>258581.43692033799</v>
      </c>
      <c r="K459" s="3">
        <f>[1]sens_0_spec_90_PSA!K459</f>
        <v>146599.73482260399</v>
      </c>
      <c r="L459">
        <f>[1]sens_0_spec_90_PSA!L459</f>
        <v>1</v>
      </c>
      <c r="M459">
        <f>[1]sens_0_spec_90_PSA!M459</f>
        <v>0</v>
      </c>
    </row>
    <row r="460" spans="1:13" x14ac:dyDescent="0.25">
      <c r="A460">
        <v>459</v>
      </c>
      <c r="B460">
        <f>[1]sens_0_spec_90_PSA!B460</f>
        <v>0</v>
      </c>
      <c r="C460" t="str">
        <f>[1]sens_0_spec_90_PSA!C460</f>
        <v>NA</v>
      </c>
      <c r="D460">
        <f>[1]sens_0_spec_90_PSA!D460</f>
        <v>0</v>
      </c>
      <c r="E460" s="1">
        <f>[1]sens_0_spec_90_PSA!E460</f>
        <v>0.13769999999999999</v>
      </c>
      <c r="F460" s="1">
        <f>[1]sens_0_spec_90_PSA!F460</f>
        <v>2.3E-2</v>
      </c>
      <c r="G460" s="2">
        <f>[1]sens_0_spec_90_PSA!G460</f>
        <v>19.7143367845065</v>
      </c>
      <c r="H460" s="2">
        <f>[1]sens_0_spec_90_PSA!H460</f>
        <v>13.996783424612699</v>
      </c>
      <c r="I460" s="2">
        <f>[1]sens_0_spec_90_PSA!I460</f>
        <v>8.359090709358</v>
      </c>
      <c r="J460" s="3">
        <f>[1]sens_0_spec_90_PSA!J460</f>
        <v>281863.08314950601</v>
      </c>
      <c r="K460" s="3">
        <f>[1]sens_0_spec_90_PSA!K460</f>
        <v>163849.55745855</v>
      </c>
      <c r="L460">
        <f>[1]sens_0_spec_90_PSA!L460</f>
        <v>1</v>
      </c>
      <c r="M460">
        <f>[1]sens_0_spec_90_PSA!M460</f>
        <v>0</v>
      </c>
    </row>
    <row r="461" spans="1:13" x14ac:dyDescent="0.25">
      <c r="A461">
        <v>460</v>
      </c>
      <c r="B461">
        <f>[1]sens_0_spec_90_PSA!B461</f>
        <v>0</v>
      </c>
      <c r="C461" t="str">
        <f>[1]sens_0_spec_90_PSA!C461</f>
        <v>NA</v>
      </c>
      <c r="D461">
        <f>[1]sens_0_spec_90_PSA!D461</f>
        <v>0</v>
      </c>
      <c r="E461" s="1">
        <f>[1]sens_0_spec_90_PSA!E461</f>
        <v>0.1469</v>
      </c>
      <c r="F461" s="1">
        <f>[1]sens_0_spec_90_PSA!F461</f>
        <v>5.2600000000000001E-2</v>
      </c>
      <c r="G461" s="2">
        <f>[1]sens_0_spec_90_PSA!G461</f>
        <v>18.361076467711399</v>
      </c>
      <c r="H461" s="2">
        <f>[1]sens_0_spec_90_PSA!H461</f>
        <v>13.545567289958299</v>
      </c>
      <c r="I461" s="2">
        <f>[1]sens_0_spec_90_PSA!I461</f>
        <v>8.1486309991697308</v>
      </c>
      <c r="J461" s="3">
        <f>[1]sens_0_spec_90_PSA!J461</f>
        <v>182962.96574019099</v>
      </c>
      <c r="K461" s="3">
        <f>[1]sens_0_spec_90_PSA!K461</f>
        <v>110114.287295573</v>
      </c>
      <c r="L461">
        <f>[1]sens_0_spec_90_PSA!L461</f>
        <v>1</v>
      </c>
      <c r="M461">
        <f>[1]sens_0_spec_90_PSA!M461</f>
        <v>0</v>
      </c>
    </row>
    <row r="462" spans="1:13" x14ac:dyDescent="0.25">
      <c r="A462">
        <v>461</v>
      </c>
      <c r="B462">
        <f>[1]sens_0_spec_90_PSA!B462</f>
        <v>0</v>
      </c>
      <c r="C462" t="str">
        <f>[1]sens_0_spec_90_PSA!C462</f>
        <v>NA</v>
      </c>
      <c r="D462">
        <f>[1]sens_0_spec_90_PSA!D462</f>
        <v>0</v>
      </c>
      <c r="E462" s="1">
        <f>[1]sens_0_spec_90_PSA!E462</f>
        <v>0.21210000000000001</v>
      </c>
      <c r="F462" s="1">
        <f>[1]sens_0_spec_90_PSA!F462</f>
        <v>4.3799999999999999E-2</v>
      </c>
      <c r="G462" s="2">
        <f>[1]sens_0_spec_90_PSA!G462</f>
        <v>16.189549105520499</v>
      </c>
      <c r="H462" s="2">
        <f>[1]sens_0_spec_90_PSA!H462</f>
        <v>10.8315542143283</v>
      </c>
      <c r="I462" s="2">
        <f>[1]sens_0_spec_90_PSA!I462</f>
        <v>6.6266603197630696</v>
      </c>
      <c r="J462" s="3">
        <f>[1]sens_0_spec_90_PSA!J462</f>
        <v>176949.04198123701</v>
      </c>
      <c r="K462" s="3">
        <f>[1]sens_0_spec_90_PSA!K462</f>
        <v>108228.971024178</v>
      </c>
      <c r="L462">
        <f>[1]sens_0_spec_90_PSA!L462</f>
        <v>1</v>
      </c>
      <c r="M462">
        <f>[1]sens_0_spec_90_PSA!M462</f>
        <v>0</v>
      </c>
    </row>
    <row r="463" spans="1:13" x14ac:dyDescent="0.25">
      <c r="A463">
        <v>462</v>
      </c>
      <c r="B463">
        <f>[1]sens_0_spec_90_PSA!B463</f>
        <v>0</v>
      </c>
      <c r="C463" t="str">
        <f>[1]sens_0_spec_90_PSA!C463</f>
        <v>NA</v>
      </c>
      <c r="D463">
        <f>[1]sens_0_spec_90_PSA!D463</f>
        <v>0</v>
      </c>
      <c r="E463" s="1">
        <f>[1]sens_0_spec_90_PSA!E463</f>
        <v>0.23119999999999999</v>
      </c>
      <c r="F463" s="1">
        <f>[1]sens_0_spec_90_PSA!F463</f>
        <v>4.5699999999999998E-2</v>
      </c>
      <c r="G463" s="2">
        <f>[1]sens_0_spec_90_PSA!G463</f>
        <v>17.0125440596447</v>
      </c>
      <c r="H463" s="2">
        <f>[1]sens_0_spec_90_PSA!H463</f>
        <v>12.5988367869338</v>
      </c>
      <c r="I463" s="2">
        <f>[1]sens_0_spec_90_PSA!I463</f>
        <v>7.5854271302928904</v>
      </c>
      <c r="J463" s="3">
        <f>[1]sens_0_spec_90_PSA!J463</f>
        <v>148055.972093255</v>
      </c>
      <c r="K463" s="3">
        <f>[1]sens_0_spec_90_PSA!K463</f>
        <v>90115.784260385495</v>
      </c>
      <c r="L463">
        <f>[1]sens_0_spec_90_PSA!L463</f>
        <v>1</v>
      </c>
      <c r="M463">
        <f>[1]sens_0_spec_90_PSA!M463</f>
        <v>0</v>
      </c>
    </row>
    <row r="464" spans="1:13" x14ac:dyDescent="0.25">
      <c r="A464">
        <v>463</v>
      </c>
      <c r="B464">
        <f>[1]sens_0_spec_90_PSA!B464</f>
        <v>0</v>
      </c>
      <c r="C464" t="str">
        <f>[1]sens_0_spec_90_PSA!C464</f>
        <v>NA</v>
      </c>
      <c r="D464">
        <f>[1]sens_0_spec_90_PSA!D464</f>
        <v>0</v>
      </c>
      <c r="E464" s="1">
        <f>[1]sens_0_spec_90_PSA!E464</f>
        <v>8.5199999999999998E-2</v>
      </c>
      <c r="F464" s="1">
        <f>[1]sens_0_spec_90_PSA!F464</f>
        <v>3.8300000000000001E-2</v>
      </c>
      <c r="G464" s="2">
        <f>[1]sens_0_spec_90_PSA!G464</f>
        <v>20.774546733437798</v>
      </c>
      <c r="H464" s="2">
        <f>[1]sens_0_spec_90_PSA!H464</f>
        <v>16.403113187828701</v>
      </c>
      <c r="I464" s="2">
        <f>[1]sens_0_spec_90_PSA!I464</f>
        <v>9.7373589536683003</v>
      </c>
      <c r="J464" s="3">
        <f>[1]sens_0_spec_90_PSA!J464</f>
        <v>224721.64061693699</v>
      </c>
      <c r="K464" s="3">
        <f>[1]sens_0_spec_90_PSA!K464</f>
        <v>131599.145830828</v>
      </c>
      <c r="L464">
        <f>[1]sens_0_spec_90_PSA!L464</f>
        <v>1</v>
      </c>
      <c r="M464">
        <f>[1]sens_0_spec_90_PSA!M464</f>
        <v>0</v>
      </c>
    </row>
    <row r="465" spans="1:13" x14ac:dyDescent="0.25">
      <c r="A465">
        <v>464</v>
      </c>
      <c r="B465">
        <f>[1]sens_0_spec_90_PSA!B465</f>
        <v>0</v>
      </c>
      <c r="C465" t="str">
        <f>[1]sens_0_spec_90_PSA!C465</f>
        <v>NA</v>
      </c>
      <c r="D465">
        <f>[1]sens_0_spec_90_PSA!D465</f>
        <v>0</v>
      </c>
      <c r="E465" s="1">
        <f>[1]sens_0_spec_90_PSA!E465</f>
        <v>0.14000000000000001</v>
      </c>
      <c r="F465" s="1">
        <f>[1]sens_0_spec_90_PSA!F465</f>
        <v>4.8500000000000001E-2</v>
      </c>
      <c r="G465" s="2">
        <f>[1]sens_0_spec_90_PSA!G465</f>
        <v>18.711164425221</v>
      </c>
      <c r="H465" s="2">
        <f>[1]sens_0_spec_90_PSA!H465</f>
        <v>13.6218613915338</v>
      </c>
      <c r="I465" s="2">
        <f>[1]sens_0_spec_90_PSA!I465</f>
        <v>8.1652565424847907</v>
      </c>
      <c r="J465" s="3">
        <f>[1]sens_0_spec_90_PSA!J465</f>
        <v>241650.375233959</v>
      </c>
      <c r="K465" s="3">
        <f>[1]sens_0_spec_90_PSA!K465</f>
        <v>142073.29230602499</v>
      </c>
      <c r="L465">
        <f>[1]sens_0_spec_90_PSA!L465</f>
        <v>1</v>
      </c>
      <c r="M465">
        <f>[1]sens_0_spec_90_PSA!M465</f>
        <v>0</v>
      </c>
    </row>
    <row r="466" spans="1:13" x14ac:dyDescent="0.25">
      <c r="A466">
        <v>465</v>
      </c>
      <c r="B466">
        <f>[1]sens_0_spec_90_PSA!B466</f>
        <v>0</v>
      </c>
      <c r="C466" t="str">
        <f>[1]sens_0_spec_90_PSA!C466</f>
        <v>NA</v>
      </c>
      <c r="D466">
        <f>[1]sens_0_spec_90_PSA!D466</f>
        <v>0</v>
      </c>
      <c r="E466" s="1">
        <f>[1]sens_0_spec_90_PSA!E466</f>
        <v>0.28520000000000001</v>
      </c>
      <c r="F466" s="1">
        <f>[1]sens_0_spec_90_PSA!F466</f>
        <v>5.11E-2</v>
      </c>
      <c r="G466" s="2">
        <f>[1]sens_0_spec_90_PSA!G466</f>
        <v>16.242327441400899</v>
      </c>
      <c r="H466" s="2">
        <f>[1]sens_0_spec_90_PSA!H466</f>
        <v>12.762628728385</v>
      </c>
      <c r="I466" s="2">
        <f>[1]sens_0_spec_90_PSA!I466</f>
        <v>7.6145932717884302</v>
      </c>
      <c r="J466" s="3">
        <f>[1]sens_0_spec_90_PSA!J466</f>
        <v>161701.73890831199</v>
      </c>
      <c r="K466" s="3">
        <f>[1]sens_0_spec_90_PSA!K466</f>
        <v>96411.487699236401</v>
      </c>
      <c r="L466">
        <f>[1]sens_0_spec_90_PSA!L466</f>
        <v>1</v>
      </c>
      <c r="M466">
        <f>[1]sens_0_spec_90_PSA!M466</f>
        <v>0</v>
      </c>
    </row>
    <row r="467" spans="1:13" x14ac:dyDescent="0.25">
      <c r="A467">
        <v>466</v>
      </c>
      <c r="B467">
        <f>[1]sens_0_spec_90_PSA!B467</f>
        <v>0</v>
      </c>
      <c r="C467" t="str">
        <f>[1]sens_0_spec_90_PSA!C467</f>
        <v>NA</v>
      </c>
      <c r="D467">
        <f>[1]sens_0_spec_90_PSA!D467</f>
        <v>0</v>
      </c>
      <c r="E467" s="1">
        <f>[1]sens_0_spec_90_PSA!E467</f>
        <v>0.14349999999999999</v>
      </c>
      <c r="F467" s="1">
        <f>[1]sens_0_spec_90_PSA!F467</f>
        <v>4.2000000000000003E-2</v>
      </c>
      <c r="G467" s="2">
        <f>[1]sens_0_spec_90_PSA!G467</f>
        <v>18.285083601867601</v>
      </c>
      <c r="H467" s="2">
        <f>[1]sens_0_spec_90_PSA!H467</f>
        <v>14.6719145226233</v>
      </c>
      <c r="I467" s="2">
        <f>[1]sens_0_spec_90_PSA!I467</f>
        <v>8.8898910291190898</v>
      </c>
      <c r="J467" s="3">
        <f>[1]sens_0_spec_90_PSA!J467</f>
        <v>151045.83158587199</v>
      </c>
      <c r="K467" s="3">
        <f>[1]sens_0_spec_90_PSA!K467</f>
        <v>92751.474199444201</v>
      </c>
      <c r="L467">
        <f>[1]sens_0_spec_90_PSA!L467</f>
        <v>1</v>
      </c>
      <c r="M467">
        <f>[1]sens_0_spec_90_PSA!M467</f>
        <v>0</v>
      </c>
    </row>
    <row r="468" spans="1:13" x14ac:dyDescent="0.25">
      <c r="A468">
        <v>467</v>
      </c>
      <c r="B468">
        <f>[1]sens_0_spec_90_PSA!B468</f>
        <v>0</v>
      </c>
      <c r="C468" t="str">
        <f>[1]sens_0_spec_90_PSA!C468</f>
        <v>NA</v>
      </c>
      <c r="D468">
        <f>[1]sens_0_spec_90_PSA!D468</f>
        <v>0</v>
      </c>
      <c r="E468" s="1">
        <f>[1]sens_0_spec_90_PSA!E468</f>
        <v>0.1245</v>
      </c>
      <c r="F468" s="1">
        <f>[1]sens_0_spec_90_PSA!F468</f>
        <v>5.28E-2</v>
      </c>
      <c r="G468" s="2">
        <f>[1]sens_0_spec_90_PSA!G468</f>
        <v>18.029920398257801</v>
      </c>
      <c r="H468" s="2">
        <f>[1]sens_0_spec_90_PSA!H468</f>
        <v>13.7146009002987</v>
      </c>
      <c r="I468" s="2">
        <f>[1]sens_0_spec_90_PSA!I468</f>
        <v>8.3569816072138696</v>
      </c>
      <c r="J468" s="3">
        <f>[1]sens_0_spec_90_PSA!J468</f>
        <v>159182.36605030001</v>
      </c>
      <c r="K468" s="3">
        <f>[1]sens_0_spec_90_PSA!K468</f>
        <v>97908.006696435303</v>
      </c>
      <c r="L468">
        <f>[1]sens_0_spec_90_PSA!L468</f>
        <v>1</v>
      </c>
      <c r="M468">
        <f>[1]sens_0_spec_90_PSA!M468</f>
        <v>0</v>
      </c>
    </row>
    <row r="469" spans="1:13" x14ac:dyDescent="0.25">
      <c r="A469">
        <v>468</v>
      </c>
      <c r="B469">
        <f>[1]sens_0_spec_90_PSA!B469</f>
        <v>0</v>
      </c>
      <c r="C469" t="str">
        <f>[1]sens_0_spec_90_PSA!C469</f>
        <v>NA</v>
      </c>
      <c r="D469">
        <f>[1]sens_0_spec_90_PSA!D469</f>
        <v>0</v>
      </c>
      <c r="E469" s="1">
        <f>[1]sens_0_spec_90_PSA!E469</f>
        <v>0.23599999999999999</v>
      </c>
      <c r="F469" s="1">
        <f>[1]sens_0_spec_90_PSA!F469</f>
        <v>3.9800000000000002E-2</v>
      </c>
      <c r="G469" s="2">
        <f>[1]sens_0_spec_90_PSA!G469</f>
        <v>18.1361436588328</v>
      </c>
      <c r="H469" s="2">
        <f>[1]sens_0_spec_90_PSA!H469</f>
        <v>11.8182060358172</v>
      </c>
      <c r="I469" s="2">
        <f>[1]sens_0_spec_90_PSA!I469</f>
        <v>6.9651247593430696</v>
      </c>
      <c r="J469" s="3">
        <f>[1]sens_0_spec_90_PSA!J469</f>
        <v>241686.28193976899</v>
      </c>
      <c r="K469" s="3">
        <f>[1]sens_0_spec_90_PSA!K469</f>
        <v>138864.07635822301</v>
      </c>
      <c r="L469">
        <f>[1]sens_0_spec_90_PSA!L469</f>
        <v>1</v>
      </c>
      <c r="M469">
        <f>[1]sens_0_spec_90_PSA!M469</f>
        <v>0</v>
      </c>
    </row>
    <row r="470" spans="1:13" x14ac:dyDescent="0.25">
      <c r="A470">
        <v>469</v>
      </c>
      <c r="B470">
        <f>[1]sens_0_spec_90_PSA!B470</f>
        <v>0</v>
      </c>
      <c r="C470" t="str">
        <f>[1]sens_0_spec_90_PSA!C470</f>
        <v>NA</v>
      </c>
      <c r="D470">
        <f>[1]sens_0_spec_90_PSA!D470</f>
        <v>0</v>
      </c>
      <c r="E470" s="1">
        <f>[1]sens_0_spec_90_PSA!E470</f>
        <v>0.1525</v>
      </c>
      <c r="F470" s="1">
        <f>[1]sens_0_spec_90_PSA!F470</f>
        <v>4.4400000000000002E-2</v>
      </c>
      <c r="G470" s="2">
        <f>[1]sens_0_spec_90_PSA!G470</f>
        <v>19.418415845520698</v>
      </c>
      <c r="H470" s="2">
        <f>[1]sens_0_spec_90_PSA!H470</f>
        <v>14.100608355741301</v>
      </c>
      <c r="I470" s="2">
        <f>[1]sens_0_spec_90_PSA!I470</f>
        <v>8.3544558521407204</v>
      </c>
      <c r="J470" s="3">
        <f>[1]sens_0_spec_90_PSA!J470</f>
        <v>252938.57569268299</v>
      </c>
      <c r="K470" s="3">
        <f>[1]sens_0_spec_90_PSA!K470</f>
        <v>146284.68950387</v>
      </c>
      <c r="L470">
        <f>[1]sens_0_spec_90_PSA!L470</f>
        <v>1</v>
      </c>
      <c r="M470">
        <f>[1]sens_0_spec_90_PSA!M470</f>
        <v>0</v>
      </c>
    </row>
    <row r="471" spans="1:13" x14ac:dyDescent="0.25">
      <c r="A471">
        <v>470</v>
      </c>
      <c r="B471">
        <f>[1]sens_0_spec_90_PSA!B471</f>
        <v>0</v>
      </c>
      <c r="C471" t="str">
        <f>[1]sens_0_spec_90_PSA!C471</f>
        <v>NA</v>
      </c>
      <c r="D471">
        <f>[1]sens_0_spec_90_PSA!D471</f>
        <v>0</v>
      </c>
      <c r="E471" s="1">
        <f>[1]sens_0_spec_90_PSA!E471</f>
        <v>0.1285</v>
      </c>
      <c r="F471" s="1">
        <f>[1]sens_0_spec_90_PSA!F471</f>
        <v>3.5200000000000002E-2</v>
      </c>
      <c r="G471" s="2">
        <f>[1]sens_0_spec_90_PSA!G471</f>
        <v>18.805888034922699</v>
      </c>
      <c r="H471" s="2">
        <f>[1]sens_0_spec_90_PSA!H471</f>
        <v>13.595686873796801</v>
      </c>
      <c r="I471" s="2">
        <f>[1]sens_0_spec_90_PSA!I471</f>
        <v>8.2129938201874708</v>
      </c>
      <c r="J471" s="3">
        <f>[1]sens_0_spec_90_PSA!J471</f>
        <v>169453.11208372001</v>
      </c>
      <c r="K471" s="3">
        <f>[1]sens_0_spec_90_PSA!K471</f>
        <v>102981.82059800799</v>
      </c>
      <c r="L471">
        <f>[1]sens_0_spec_90_PSA!L471</f>
        <v>1</v>
      </c>
      <c r="M471">
        <f>[1]sens_0_spec_90_PSA!M471</f>
        <v>0</v>
      </c>
    </row>
    <row r="472" spans="1:13" x14ac:dyDescent="0.25">
      <c r="A472">
        <v>471</v>
      </c>
      <c r="B472">
        <f>[1]sens_0_spec_90_PSA!B472</f>
        <v>0</v>
      </c>
      <c r="C472" t="str">
        <f>[1]sens_0_spec_90_PSA!C472</f>
        <v>NA</v>
      </c>
      <c r="D472">
        <f>[1]sens_0_spec_90_PSA!D472</f>
        <v>0</v>
      </c>
      <c r="E472" s="1">
        <f>[1]sens_0_spec_90_PSA!E472</f>
        <v>0.14829999999999999</v>
      </c>
      <c r="F472" s="1">
        <f>[1]sens_0_spec_90_PSA!F472</f>
        <v>4.0599999999999997E-2</v>
      </c>
      <c r="G472" s="2">
        <f>[1]sens_0_spec_90_PSA!G472</f>
        <v>18.990787095483601</v>
      </c>
      <c r="H472" s="2">
        <f>[1]sens_0_spec_90_PSA!H472</f>
        <v>13.701108649077501</v>
      </c>
      <c r="I472" s="2">
        <f>[1]sens_0_spec_90_PSA!I472</f>
        <v>8.1746418264793093</v>
      </c>
      <c r="J472" s="3">
        <f>[1]sens_0_spec_90_PSA!J472</f>
        <v>264776.92133783601</v>
      </c>
      <c r="K472" s="3">
        <f>[1]sens_0_spec_90_PSA!K472</f>
        <v>154192.04250793901</v>
      </c>
      <c r="L472">
        <f>[1]sens_0_spec_90_PSA!L472</f>
        <v>1</v>
      </c>
      <c r="M472">
        <f>[1]sens_0_spec_90_PSA!M472</f>
        <v>0</v>
      </c>
    </row>
    <row r="473" spans="1:13" x14ac:dyDescent="0.25">
      <c r="A473">
        <v>472</v>
      </c>
      <c r="B473">
        <f>[1]sens_0_spec_90_PSA!B473</f>
        <v>0</v>
      </c>
      <c r="C473" t="str">
        <f>[1]sens_0_spec_90_PSA!C473</f>
        <v>NA</v>
      </c>
      <c r="D473">
        <f>[1]sens_0_spec_90_PSA!D473</f>
        <v>0</v>
      </c>
      <c r="E473" s="1">
        <f>[1]sens_0_spec_90_PSA!E473</f>
        <v>0.15809999999999999</v>
      </c>
      <c r="F473" s="1">
        <f>[1]sens_0_spec_90_PSA!F473</f>
        <v>2.98E-2</v>
      </c>
      <c r="G473" s="2">
        <f>[1]sens_0_spec_90_PSA!G473</f>
        <v>18.1455962567155</v>
      </c>
      <c r="H473" s="2">
        <f>[1]sens_0_spec_90_PSA!H473</f>
        <v>13.582188383430299</v>
      </c>
      <c r="I473" s="2">
        <f>[1]sens_0_spec_90_PSA!I473</f>
        <v>8.23295255143268</v>
      </c>
      <c r="J473" s="3">
        <f>[1]sens_0_spec_90_PSA!J473</f>
        <v>185114.25634027101</v>
      </c>
      <c r="K473" s="3">
        <f>[1]sens_0_spec_90_PSA!K473</f>
        <v>112123.85949050001</v>
      </c>
      <c r="L473">
        <f>[1]sens_0_spec_90_PSA!L473</f>
        <v>1</v>
      </c>
      <c r="M473">
        <f>[1]sens_0_spec_90_PSA!M473</f>
        <v>0</v>
      </c>
    </row>
    <row r="474" spans="1:13" x14ac:dyDescent="0.25">
      <c r="A474">
        <v>473</v>
      </c>
      <c r="B474">
        <f>[1]sens_0_spec_90_PSA!B474</f>
        <v>0</v>
      </c>
      <c r="C474" t="str">
        <f>[1]sens_0_spec_90_PSA!C474</f>
        <v>NA</v>
      </c>
      <c r="D474">
        <f>[1]sens_0_spec_90_PSA!D474</f>
        <v>0</v>
      </c>
      <c r="E474" s="1">
        <f>[1]sens_0_spec_90_PSA!E474</f>
        <v>0.24560000000000001</v>
      </c>
      <c r="F474" s="1">
        <f>[1]sens_0_spec_90_PSA!F474</f>
        <v>4.2700000000000002E-2</v>
      </c>
      <c r="G474" s="2">
        <f>[1]sens_0_spec_90_PSA!G474</f>
        <v>17.362047487147201</v>
      </c>
      <c r="H474" s="2">
        <f>[1]sens_0_spec_90_PSA!H474</f>
        <v>11.912046327308699</v>
      </c>
      <c r="I474" s="2">
        <f>[1]sens_0_spec_90_PSA!I474</f>
        <v>7.0939520749572402</v>
      </c>
      <c r="J474" s="3">
        <f>[1]sens_0_spec_90_PSA!J474</f>
        <v>205643.53514330901</v>
      </c>
      <c r="K474" s="3">
        <f>[1]sens_0_spec_90_PSA!K474</f>
        <v>120839.62632132501</v>
      </c>
      <c r="L474">
        <f>[1]sens_0_spec_90_PSA!L474</f>
        <v>1</v>
      </c>
      <c r="M474">
        <f>[1]sens_0_spec_90_PSA!M474</f>
        <v>0</v>
      </c>
    </row>
    <row r="475" spans="1:13" x14ac:dyDescent="0.25">
      <c r="A475">
        <v>474</v>
      </c>
      <c r="B475">
        <f>[1]sens_0_spec_90_PSA!B475</f>
        <v>0</v>
      </c>
      <c r="C475" t="str">
        <f>[1]sens_0_spec_90_PSA!C475</f>
        <v>NA</v>
      </c>
      <c r="D475">
        <f>[1]sens_0_spec_90_PSA!D475</f>
        <v>0</v>
      </c>
      <c r="E475" s="1">
        <f>[1]sens_0_spec_90_PSA!E475</f>
        <v>0.24160000000000001</v>
      </c>
      <c r="F475" s="1">
        <f>[1]sens_0_spec_90_PSA!F475</f>
        <v>4.1099999999999998E-2</v>
      </c>
      <c r="G475" s="2">
        <f>[1]sens_0_spec_90_PSA!G475</f>
        <v>18.176689745803898</v>
      </c>
      <c r="H475" s="2">
        <f>[1]sens_0_spec_90_PSA!H475</f>
        <v>12.7973705962211</v>
      </c>
      <c r="I475" s="2">
        <f>[1]sens_0_spec_90_PSA!I475</f>
        <v>7.5361115136542898</v>
      </c>
      <c r="J475" s="3">
        <f>[1]sens_0_spec_90_PSA!J475</f>
        <v>218367.734443197</v>
      </c>
      <c r="K475" s="3">
        <f>[1]sens_0_spec_90_PSA!K475</f>
        <v>125977.034614665</v>
      </c>
      <c r="L475">
        <f>[1]sens_0_spec_90_PSA!L475</f>
        <v>1</v>
      </c>
      <c r="M475">
        <f>[1]sens_0_spec_90_PSA!M475</f>
        <v>0</v>
      </c>
    </row>
    <row r="476" spans="1:13" x14ac:dyDescent="0.25">
      <c r="A476">
        <v>475</v>
      </c>
      <c r="B476">
        <f>[1]sens_0_spec_90_PSA!B476</f>
        <v>0</v>
      </c>
      <c r="C476" t="str">
        <f>[1]sens_0_spec_90_PSA!C476</f>
        <v>NA</v>
      </c>
      <c r="D476">
        <f>[1]sens_0_spec_90_PSA!D476</f>
        <v>0</v>
      </c>
      <c r="E476" s="1">
        <f>[1]sens_0_spec_90_PSA!E476</f>
        <v>0.15540000000000001</v>
      </c>
      <c r="F476" s="1">
        <f>[1]sens_0_spec_90_PSA!F476</f>
        <v>6.13E-2</v>
      </c>
      <c r="G476" s="2">
        <f>[1]sens_0_spec_90_PSA!G476</f>
        <v>18.638362941112302</v>
      </c>
      <c r="H476" s="2">
        <f>[1]sens_0_spec_90_PSA!H476</f>
        <v>12.671889513492401</v>
      </c>
      <c r="I476" s="2">
        <f>[1]sens_0_spec_90_PSA!I476</f>
        <v>7.5320191291628804</v>
      </c>
      <c r="J476" s="3">
        <f>[1]sens_0_spec_90_PSA!J476</f>
        <v>168213.84143460201</v>
      </c>
      <c r="K476" s="3">
        <f>[1]sens_0_spec_90_PSA!K476</f>
        <v>100282.85562526</v>
      </c>
      <c r="L476">
        <f>[1]sens_0_spec_90_PSA!L476</f>
        <v>1</v>
      </c>
      <c r="M476">
        <f>[1]sens_0_spec_90_PSA!M476</f>
        <v>0</v>
      </c>
    </row>
    <row r="477" spans="1:13" x14ac:dyDescent="0.25">
      <c r="A477">
        <v>476</v>
      </c>
      <c r="B477">
        <f>[1]sens_0_spec_90_PSA!B477</f>
        <v>0</v>
      </c>
      <c r="C477" t="str">
        <f>[1]sens_0_spec_90_PSA!C477</f>
        <v>NA</v>
      </c>
      <c r="D477">
        <f>[1]sens_0_spec_90_PSA!D477</f>
        <v>0</v>
      </c>
      <c r="E477" s="1">
        <f>[1]sens_0_spec_90_PSA!E477</f>
        <v>0.19220000000000001</v>
      </c>
      <c r="F477" s="1">
        <f>[1]sens_0_spec_90_PSA!F477</f>
        <v>4.36E-2</v>
      </c>
      <c r="G477" s="2">
        <f>[1]sens_0_spec_90_PSA!G477</f>
        <v>17.126966958293199</v>
      </c>
      <c r="H477" s="2">
        <f>[1]sens_0_spec_90_PSA!H477</f>
        <v>13.7549764366736</v>
      </c>
      <c r="I477" s="2">
        <f>[1]sens_0_spec_90_PSA!I477</f>
        <v>8.3427610843683802</v>
      </c>
      <c r="J477" s="3">
        <f>[1]sens_0_spec_90_PSA!J477</f>
        <v>178739.14225523101</v>
      </c>
      <c r="K477" s="3">
        <f>[1]sens_0_spec_90_PSA!K477</f>
        <v>108490.97963009799</v>
      </c>
      <c r="L477">
        <f>[1]sens_0_spec_90_PSA!L477</f>
        <v>1</v>
      </c>
      <c r="M477">
        <f>[1]sens_0_spec_90_PSA!M477</f>
        <v>0</v>
      </c>
    </row>
    <row r="478" spans="1:13" x14ac:dyDescent="0.25">
      <c r="A478">
        <v>477</v>
      </c>
      <c r="B478">
        <f>[1]sens_0_spec_90_PSA!B478</f>
        <v>0</v>
      </c>
      <c r="C478" t="str">
        <f>[1]sens_0_spec_90_PSA!C478</f>
        <v>NA</v>
      </c>
      <c r="D478">
        <f>[1]sens_0_spec_90_PSA!D478</f>
        <v>0</v>
      </c>
      <c r="E478" s="1">
        <f>[1]sens_0_spec_90_PSA!E478</f>
        <v>0.17810000000000001</v>
      </c>
      <c r="F478" s="1">
        <f>[1]sens_0_spec_90_PSA!F478</f>
        <v>3.1699999999999999E-2</v>
      </c>
      <c r="G478" s="2">
        <f>[1]sens_0_spec_90_PSA!G478</f>
        <v>20.734135894985801</v>
      </c>
      <c r="H478" s="2">
        <f>[1]sens_0_spec_90_PSA!H478</f>
        <v>13.7612163899762</v>
      </c>
      <c r="I478" s="2">
        <f>[1]sens_0_spec_90_PSA!I478</f>
        <v>7.9677719269827403</v>
      </c>
      <c r="J478" s="3">
        <f>[1]sens_0_spec_90_PSA!J478</f>
        <v>234965.41149813699</v>
      </c>
      <c r="K478" s="3">
        <f>[1]sens_0_spec_90_PSA!K478</f>
        <v>132454.91582256599</v>
      </c>
      <c r="L478">
        <f>[1]sens_0_spec_90_PSA!L478</f>
        <v>1</v>
      </c>
      <c r="M478">
        <f>[1]sens_0_spec_90_PSA!M478</f>
        <v>0</v>
      </c>
    </row>
    <row r="479" spans="1:13" x14ac:dyDescent="0.25">
      <c r="A479">
        <v>478</v>
      </c>
      <c r="B479">
        <f>[1]sens_0_spec_90_PSA!B479</f>
        <v>0</v>
      </c>
      <c r="C479" t="str">
        <f>[1]sens_0_spec_90_PSA!C479</f>
        <v>NA</v>
      </c>
      <c r="D479">
        <f>[1]sens_0_spec_90_PSA!D479</f>
        <v>0</v>
      </c>
      <c r="E479" s="1">
        <f>[1]sens_0_spec_90_PSA!E479</f>
        <v>0.20749999999999999</v>
      </c>
      <c r="F479" s="1">
        <f>[1]sens_0_spec_90_PSA!F479</f>
        <v>5.1999999999999998E-2</v>
      </c>
      <c r="G479" s="2">
        <f>[1]sens_0_spec_90_PSA!G479</f>
        <v>17.7703087070348</v>
      </c>
      <c r="H479" s="2">
        <f>[1]sens_0_spec_90_PSA!H479</f>
        <v>13.604409552870299</v>
      </c>
      <c r="I479" s="2">
        <f>[1]sens_0_spec_90_PSA!I479</f>
        <v>8.12966112371425</v>
      </c>
      <c r="J479" s="3">
        <f>[1]sens_0_spec_90_PSA!J479</f>
        <v>238428.781249689</v>
      </c>
      <c r="K479" s="3">
        <f>[1]sens_0_spec_90_PSA!K479</f>
        <v>139427.607226194</v>
      </c>
      <c r="L479">
        <f>[1]sens_0_spec_90_PSA!L479</f>
        <v>1</v>
      </c>
      <c r="M479">
        <f>[1]sens_0_spec_90_PSA!M479</f>
        <v>0</v>
      </c>
    </row>
    <row r="480" spans="1:13" x14ac:dyDescent="0.25">
      <c r="A480">
        <v>479</v>
      </c>
      <c r="B480">
        <f>[1]sens_0_spec_90_PSA!B480</f>
        <v>0</v>
      </c>
      <c r="C480" t="str">
        <f>[1]sens_0_spec_90_PSA!C480</f>
        <v>NA</v>
      </c>
      <c r="D480">
        <f>[1]sens_0_spec_90_PSA!D480</f>
        <v>0</v>
      </c>
      <c r="E480" s="1">
        <f>[1]sens_0_spec_90_PSA!E480</f>
        <v>0.2427</v>
      </c>
      <c r="F480" s="1">
        <f>[1]sens_0_spec_90_PSA!F480</f>
        <v>2.5899999999999999E-2</v>
      </c>
      <c r="G480" s="2">
        <f>[1]sens_0_spec_90_PSA!G480</f>
        <v>17.538997727791301</v>
      </c>
      <c r="H480" s="2">
        <f>[1]sens_0_spec_90_PSA!H480</f>
        <v>12.022617529066901</v>
      </c>
      <c r="I480" s="2">
        <f>[1]sens_0_spec_90_PSA!I480</f>
        <v>7.1637733183398504</v>
      </c>
      <c r="J480" s="3">
        <f>[1]sens_0_spec_90_PSA!J480</f>
        <v>244522.671589645</v>
      </c>
      <c r="K480" s="3">
        <f>[1]sens_0_spec_90_PSA!K480</f>
        <v>142460.456057</v>
      </c>
      <c r="L480">
        <f>[1]sens_0_spec_90_PSA!L480</f>
        <v>1</v>
      </c>
      <c r="M480">
        <f>[1]sens_0_spec_90_PSA!M480</f>
        <v>0</v>
      </c>
    </row>
    <row r="481" spans="1:13" x14ac:dyDescent="0.25">
      <c r="A481">
        <v>480</v>
      </c>
      <c r="B481">
        <f>[1]sens_0_spec_90_PSA!B481</f>
        <v>0</v>
      </c>
      <c r="C481" t="str">
        <f>[1]sens_0_spec_90_PSA!C481</f>
        <v>NA</v>
      </c>
      <c r="D481">
        <f>[1]sens_0_spec_90_PSA!D481</f>
        <v>0</v>
      </c>
      <c r="E481" s="1">
        <f>[1]sens_0_spec_90_PSA!E481</f>
        <v>0.23330000000000001</v>
      </c>
      <c r="F481" s="1">
        <f>[1]sens_0_spec_90_PSA!F481</f>
        <v>3.49E-2</v>
      </c>
      <c r="G481" s="2">
        <f>[1]sens_0_spec_90_PSA!G481</f>
        <v>16.542798483313899</v>
      </c>
      <c r="H481" s="2">
        <f>[1]sens_0_spec_90_PSA!H481</f>
        <v>12.1296913987164</v>
      </c>
      <c r="I481" s="2">
        <f>[1]sens_0_spec_90_PSA!I481</f>
        <v>7.3656031941437403</v>
      </c>
      <c r="J481" s="3">
        <f>[1]sens_0_spec_90_PSA!J481</f>
        <v>190296.043071286</v>
      </c>
      <c r="K481" s="3">
        <f>[1]sens_0_spec_90_PSA!K481</f>
        <v>114911.166281008</v>
      </c>
      <c r="L481">
        <f>[1]sens_0_spec_90_PSA!L481</f>
        <v>1</v>
      </c>
      <c r="M481">
        <f>[1]sens_0_spec_90_PSA!M481</f>
        <v>0</v>
      </c>
    </row>
    <row r="482" spans="1:13" x14ac:dyDescent="0.25">
      <c r="A482">
        <v>481</v>
      </c>
      <c r="B482">
        <f>[1]sens_0_spec_90_PSA!B482</f>
        <v>0</v>
      </c>
      <c r="C482" t="str">
        <f>[1]sens_0_spec_90_PSA!C482</f>
        <v>NA</v>
      </c>
      <c r="D482">
        <f>[1]sens_0_spec_90_PSA!D482</f>
        <v>0</v>
      </c>
      <c r="E482" s="1">
        <f>[1]sens_0_spec_90_PSA!E482</f>
        <v>0.1668</v>
      </c>
      <c r="F482" s="1">
        <f>[1]sens_0_spec_90_PSA!F482</f>
        <v>4.3099999999999999E-2</v>
      </c>
      <c r="G482" s="2">
        <f>[1]sens_0_spec_90_PSA!G482</f>
        <v>18.8557379051813</v>
      </c>
      <c r="H482" s="2">
        <f>[1]sens_0_spec_90_PSA!H482</f>
        <v>12.309331250123</v>
      </c>
      <c r="I482" s="2">
        <f>[1]sens_0_spec_90_PSA!I482</f>
        <v>7.3203649586499404</v>
      </c>
      <c r="J482" s="3">
        <f>[1]sens_0_spec_90_PSA!J482</f>
        <v>337547.184529113</v>
      </c>
      <c r="K482" s="3">
        <f>[1]sens_0_spec_90_PSA!K482</f>
        <v>193285.614974486</v>
      </c>
      <c r="L482">
        <f>[1]sens_0_spec_90_PSA!L482</f>
        <v>1</v>
      </c>
      <c r="M482">
        <f>[1]sens_0_spec_90_PSA!M482</f>
        <v>0</v>
      </c>
    </row>
    <row r="483" spans="1:13" x14ac:dyDescent="0.25">
      <c r="A483">
        <v>482</v>
      </c>
      <c r="B483">
        <f>[1]sens_0_spec_90_PSA!B483</f>
        <v>0</v>
      </c>
      <c r="C483" t="str">
        <f>[1]sens_0_spec_90_PSA!C483</f>
        <v>NA</v>
      </c>
      <c r="D483">
        <f>[1]sens_0_spec_90_PSA!D483</f>
        <v>0</v>
      </c>
      <c r="E483" s="1">
        <f>[1]sens_0_spec_90_PSA!E483</f>
        <v>0.17150000000000001</v>
      </c>
      <c r="F483" s="1">
        <f>[1]sens_0_spec_90_PSA!F483</f>
        <v>4.2000000000000003E-2</v>
      </c>
      <c r="G483" s="2">
        <f>[1]sens_0_spec_90_PSA!G483</f>
        <v>17.068049686407502</v>
      </c>
      <c r="H483" s="2">
        <f>[1]sens_0_spec_90_PSA!H483</f>
        <v>11.635991895449401</v>
      </c>
      <c r="I483" s="2">
        <f>[1]sens_0_spec_90_PSA!I483</f>
        <v>7.1148373469289501</v>
      </c>
      <c r="J483" s="3">
        <f>[1]sens_0_spec_90_PSA!J483</f>
        <v>169614.844051286</v>
      </c>
      <c r="K483" s="3">
        <f>[1]sens_0_spec_90_PSA!K483</f>
        <v>104406.147568746</v>
      </c>
      <c r="L483">
        <f>[1]sens_0_spec_90_PSA!L483</f>
        <v>1</v>
      </c>
      <c r="M483">
        <f>[1]sens_0_spec_90_PSA!M483</f>
        <v>0</v>
      </c>
    </row>
    <row r="484" spans="1:13" x14ac:dyDescent="0.25">
      <c r="A484">
        <v>483</v>
      </c>
      <c r="B484">
        <f>[1]sens_0_spec_90_PSA!B484</f>
        <v>0</v>
      </c>
      <c r="C484" t="str">
        <f>[1]sens_0_spec_90_PSA!C484</f>
        <v>NA</v>
      </c>
      <c r="D484">
        <f>[1]sens_0_spec_90_PSA!D484</f>
        <v>0</v>
      </c>
      <c r="E484" s="1">
        <f>[1]sens_0_spec_90_PSA!E484</f>
        <v>0.19120000000000001</v>
      </c>
      <c r="F484" s="1">
        <f>[1]sens_0_spec_90_PSA!F484</f>
        <v>4.3400000000000001E-2</v>
      </c>
      <c r="G484" s="2">
        <f>[1]sens_0_spec_90_PSA!G484</f>
        <v>17.629313186444602</v>
      </c>
      <c r="H484" s="2">
        <f>[1]sens_0_spec_90_PSA!H484</f>
        <v>12.2640904130515</v>
      </c>
      <c r="I484" s="2">
        <f>[1]sens_0_spec_90_PSA!I484</f>
        <v>7.3968132419714596</v>
      </c>
      <c r="J484" s="3">
        <f>[1]sens_0_spec_90_PSA!J484</f>
        <v>203980.59365901101</v>
      </c>
      <c r="K484" s="3">
        <f>[1]sens_0_spec_90_PSA!K484</f>
        <v>121696.40607500399</v>
      </c>
      <c r="L484">
        <f>[1]sens_0_spec_90_PSA!L484</f>
        <v>1</v>
      </c>
      <c r="M484">
        <f>[1]sens_0_spec_90_PSA!M484</f>
        <v>0</v>
      </c>
    </row>
    <row r="485" spans="1:13" x14ac:dyDescent="0.25">
      <c r="A485">
        <v>484</v>
      </c>
      <c r="B485">
        <f>[1]sens_0_spec_90_PSA!B485</f>
        <v>0</v>
      </c>
      <c r="C485" t="str">
        <f>[1]sens_0_spec_90_PSA!C485</f>
        <v>NA</v>
      </c>
      <c r="D485">
        <f>[1]sens_0_spec_90_PSA!D485</f>
        <v>0</v>
      </c>
      <c r="E485" s="1">
        <f>[1]sens_0_spec_90_PSA!E485</f>
        <v>0.2109</v>
      </c>
      <c r="F485" s="1">
        <f>[1]sens_0_spec_90_PSA!F485</f>
        <v>3.5299999999999998E-2</v>
      </c>
      <c r="G485" s="2">
        <f>[1]sens_0_spec_90_PSA!G485</f>
        <v>17.031000677921</v>
      </c>
      <c r="H485" s="2">
        <f>[1]sens_0_spec_90_PSA!H485</f>
        <v>12.578477469399401</v>
      </c>
      <c r="I485" s="2">
        <f>[1]sens_0_spec_90_PSA!I485</f>
        <v>7.6342638018204996</v>
      </c>
      <c r="J485" s="3">
        <f>[1]sens_0_spec_90_PSA!J485</f>
        <v>196257.22681724199</v>
      </c>
      <c r="K485" s="3">
        <f>[1]sens_0_spec_90_PSA!K485</f>
        <v>118393.328837031</v>
      </c>
      <c r="L485">
        <f>[1]sens_0_spec_90_PSA!L485</f>
        <v>1</v>
      </c>
      <c r="M485">
        <f>[1]sens_0_spec_90_PSA!M485</f>
        <v>0</v>
      </c>
    </row>
    <row r="486" spans="1:13" x14ac:dyDescent="0.25">
      <c r="A486">
        <v>485</v>
      </c>
      <c r="B486">
        <f>[1]sens_0_spec_90_PSA!B486</f>
        <v>0</v>
      </c>
      <c r="C486" t="str">
        <f>[1]sens_0_spec_90_PSA!C486</f>
        <v>NA</v>
      </c>
      <c r="D486">
        <f>[1]sens_0_spec_90_PSA!D486</f>
        <v>0</v>
      </c>
      <c r="E486" s="1">
        <f>[1]sens_0_spec_90_PSA!E486</f>
        <v>0.28199999999999997</v>
      </c>
      <c r="F486" s="1">
        <f>[1]sens_0_spec_90_PSA!F486</f>
        <v>3.78E-2</v>
      </c>
      <c r="G486" s="2">
        <f>[1]sens_0_spec_90_PSA!G486</f>
        <v>14.9100331298844</v>
      </c>
      <c r="H486" s="2">
        <f>[1]sens_0_spec_90_PSA!H486</f>
        <v>10.607550196139499</v>
      </c>
      <c r="I486" s="2">
        <f>[1]sens_0_spec_90_PSA!I486</f>
        <v>6.4852820742199002</v>
      </c>
      <c r="J486" s="3">
        <f>[1]sens_0_spec_90_PSA!J486</f>
        <v>188459.55948828699</v>
      </c>
      <c r="K486" s="3">
        <f>[1]sens_0_spec_90_PSA!K486</f>
        <v>114321.94120193001</v>
      </c>
      <c r="L486">
        <f>[1]sens_0_spec_90_PSA!L486</f>
        <v>1</v>
      </c>
      <c r="M486">
        <f>[1]sens_0_spec_90_PSA!M486</f>
        <v>0</v>
      </c>
    </row>
    <row r="487" spans="1:13" x14ac:dyDescent="0.25">
      <c r="A487">
        <v>486</v>
      </c>
      <c r="B487">
        <f>[1]sens_0_spec_90_PSA!B487</f>
        <v>0</v>
      </c>
      <c r="C487" t="str">
        <f>[1]sens_0_spec_90_PSA!C487</f>
        <v>NA</v>
      </c>
      <c r="D487">
        <f>[1]sens_0_spec_90_PSA!D487</f>
        <v>0</v>
      </c>
      <c r="E487" s="1">
        <f>[1]sens_0_spec_90_PSA!E487</f>
        <v>0.2281</v>
      </c>
      <c r="F487" s="1">
        <f>[1]sens_0_spec_90_PSA!F487</f>
        <v>5.6300000000000003E-2</v>
      </c>
      <c r="G487" s="2">
        <f>[1]sens_0_spec_90_PSA!G487</f>
        <v>17.534756870852</v>
      </c>
      <c r="H487" s="2">
        <f>[1]sens_0_spec_90_PSA!H487</f>
        <v>12.132183216228601</v>
      </c>
      <c r="I487" s="2">
        <f>[1]sens_0_spec_90_PSA!I487</f>
        <v>7.1890600933915501</v>
      </c>
      <c r="J487" s="3">
        <f>[1]sens_0_spec_90_PSA!J487</f>
        <v>136217.50110161101</v>
      </c>
      <c r="K487" s="3">
        <f>[1]sens_0_spec_90_PSA!K487</f>
        <v>82078.743085257403</v>
      </c>
      <c r="L487">
        <f>[1]sens_0_spec_90_PSA!L487</f>
        <v>1</v>
      </c>
      <c r="M487">
        <f>[1]sens_0_spec_90_PSA!M487</f>
        <v>0</v>
      </c>
    </row>
    <row r="488" spans="1:13" x14ac:dyDescent="0.25">
      <c r="A488">
        <v>487</v>
      </c>
      <c r="B488">
        <f>[1]sens_0_spec_90_PSA!B488</f>
        <v>0</v>
      </c>
      <c r="C488" t="str">
        <f>[1]sens_0_spec_90_PSA!C488</f>
        <v>NA</v>
      </c>
      <c r="D488">
        <f>[1]sens_0_spec_90_PSA!D488</f>
        <v>0</v>
      </c>
      <c r="E488" s="1">
        <f>[1]sens_0_spec_90_PSA!E488</f>
        <v>0.1421</v>
      </c>
      <c r="F488" s="1">
        <f>[1]sens_0_spec_90_PSA!F488</f>
        <v>3.9699999999999999E-2</v>
      </c>
      <c r="G488" s="2">
        <f>[1]sens_0_spec_90_PSA!G488</f>
        <v>18.0681065938494</v>
      </c>
      <c r="H488" s="2">
        <f>[1]sens_0_spec_90_PSA!H488</f>
        <v>12.9415071922463</v>
      </c>
      <c r="I488" s="2">
        <f>[1]sens_0_spec_90_PSA!I488</f>
        <v>7.8766596611982704</v>
      </c>
      <c r="J488" s="3">
        <f>[1]sens_0_spec_90_PSA!J488</f>
        <v>178699.945913162</v>
      </c>
      <c r="K488" s="3">
        <f>[1]sens_0_spec_90_PSA!K488</f>
        <v>109060.09364798899</v>
      </c>
      <c r="L488">
        <f>[1]sens_0_spec_90_PSA!L488</f>
        <v>1</v>
      </c>
      <c r="M488">
        <f>[1]sens_0_spec_90_PSA!M488</f>
        <v>0</v>
      </c>
    </row>
    <row r="489" spans="1:13" x14ac:dyDescent="0.25">
      <c r="A489">
        <v>488</v>
      </c>
      <c r="B489">
        <f>[1]sens_0_spec_90_PSA!B489</f>
        <v>0</v>
      </c>
      <c r="C489" t="str">
        <f>[1]sens_0_spec_90_PSA!C489</f>
        <v>NA</v>
      </c>
      <c r="D489">
        <f>[1]sens_0_spec_90_PSA!D489</f>
        <v>0</v>
      </c>
      <c r="E489" s="1">
        <f>[1]sens_0_spec_90_PSA!E489</f>
        <v>0.1719</v>
      </c>
      <c r="F489" s="1">
        <f>[1]sens_0_spec_90_PSA!F489</f>
        <v>5.3999999999999999E-2</v>
      </c>
      <c r="G489" s="2">
        <f>[1]sens_0_spec_90_PSA!G489</f>
        <v>17.690156986987699</v>
      </c>
      <c r="H489" s="2">
        <f>[1]sens_0_spec_90_PSA!H489</f>
        <v>12.859496315037701</v>
      </c>
      <c r="I489" s="2">
        <f>[1]sens_0_spec_90_PSA!I489</f>
        <v>7.7613881154878204</v>
      </c>
      <c r="J489" s="3">
        <f>[1]sens_0_spec_90_PSA!J489</f>
        <v>164297.795515932</v>
      </c>
      <c r="K489" s="3">
        <f>[1]sens_0_spec_90_PSA!K489</f>
        <v>99685.454807779097</v>
      </c>
      <c r="L489">
        <f>[1]sens_0_spec_90_PSA!L489</f>
        <v>1</v>
      </c>
      <c r="M489">
        <f>[1]sens_0_spec_90_PSA!M489</f>
        <v>0</v>
      </c>
    </row>
    <row r="490" spans="1:13" x14ac:dyDescent="0.25">
      <c r="A490">
        <v>489</v>
      </c>
      <c r="B490">
        <f>[1]sens_0_spec_90_PSA!B490</f>
        <v>0</v>
      </c>
      <c r="C490" t="str">
        <f>[1]sens_0_spec_90_PSA!C490</f>
        <v>NA</v>
      </c>
      <c r="D490">
        <f>[1]sens_0_spec_90_PSA!D490</f>
        <v>0</v>
      </c>
      <c r="E490" s="1">
        <f>[1]sens_0_spec_90_PSA!E490</f>
        <v>0.17799999999999999</v>
      </c>
      <c r="F490" s="1">
        <f>[1]sens_0_spec_90_PSA!F490</f>
        <v>3.3700000000000001E-2</v>
      </c>
      <c r="G490" s="2">
        <f>[1]sens_0_spec_90_PSA!G490</f>
        <v>17.1407240572122</v>
      </c>
      <c r="H490" s="2">
        <f>[1]sens_0_spec_90_PSA!H490</f>
        <v>12.054063847060799</v>
      </c>
      <c r="I490" s="2">
        <f>[1]sens_0_spec_90_PSA!I490</f>
        <v>7.3797867565052897</v>
      </c>
      <c r="J490" s="3">
        <f>[1]sens_0_spec_90_PSA!J490</f>
        <v>150476.398891919</v>
      </c>
      <c r="K490" s="3">
        <f>[1]sens_0_spec_90_PSA!K490</f>
        <v>93199.486637284703</v>
      </c>
      <c r="L490">
        <f>[1]sens_0_spec_90_PSA!L490</f>
        <v>1</v>
      </c>
      <c r="M490">
        <f>[1]sens_0_spec_90_PSA!M490</f>
        <v>0</v>
      </c>
    </row>
    <row r="491" spans="1:13" x14ac:dyDescent="0.25">
      <c r="A491">
        <v>490</v>
      </c>
      <c r="B491">
        <f>[1]sens_0_spec_90_PSA!B491</f>
        <v>0</v>
      </c>
      <c r="C491" t="str">
        <f>[1]sens_0_spec_90_PSA!C491</f>
        <v>NA</v>
      </c>
      <c r="D491">
        <f>[1]sens_0_spec_90_PSA!D491</f>
        <v>0</v>
      </c>
      <c r="E491" s="1">
        <f>[1]sens_0_spec_90_PSA!E491</f>
        <v>0.15190000000000001</v>
      </c>
      <c r="F491" s="1">
        <f>[1]sens_0_spec_90_PSA!F491</f>
        <v>2.9000000000000001E-2</v>
      </c>
      <c r="G491" s="2">
        <f>[1]sens_0_spec_90_PSA!G491</f>
        <v>17.546415118586999</v>
      </c>
      <c r="H491" s="2">
        <f>[1]sens_0_spec_90_PSA!H491</f>
        <v>12.5361705072881</v>
      </c>
      <c r="I491" s="2">
        <f>[1]sens_0_spec_90_PSA!I491</f>
        <v>7.6699414665444401</v>
      </c>
      <c r="J491" s="3">
        <f>[1]sens_0_spec_90_PSA!J491</f>
        <v>150204.452744471</v>
      </c>
      <c r="K491" s="3">
        <f>[1]sens_0_spec_90_PSA!K491</f>
        <v>93348.340495494995</v>
      </c>
      <c r="L491">
        <f>[1]sens_0_spec_90_PSA!L491</f>
        <v>1</v>
      </c>
      <c r="M491">
        <f>[1]sens_0_spec_90_PSA!M491</f>
        <v>0</v>
      </c>
    </row>
    <row r="492" spans="1:13" x14ac:dyDescent="0.25">
      <c r="A492">
        <v>491</v>
      </c>
      <c r="B492">
        <f>[1]sens_0_spec_90_PSA!B492</f>
        <v>0</v>
      </c>
      <c r="C492" t="str">
        <f>[1]sens_0_spec_90_PSA!C492</f>
        <v>NA</v>
      </c>
      <c r="D492">
        <f>[1]sens_0_spec_90_PSA!D492</f>
        <v>0</v>
      </c>
      <c r="E492" s="1">
        <f>[1]sens_0_spec_90_PSA!E492</f>
        <v>0.3236</v>
      </c>
      <c r="F492" s="1">
        <f>[1]sens_0_spec_90_PSA!F492</f>
        <v>3.8199999999999998E-2</v>
      </c>
      <c r="G492" s="2">
        <f>[1]sens_0_spec_90_PSA!G492</f>
        <v>15.0097869749612</v>
      </c>
      <c r="H492" s="2">
        <f>[1]sens_0_spec_90_PSA!H492</f>
        <v>10.731613489597599</v>
      </c>
      <c r="I492" s="2">
        <f>[1]sens_0_spec_90_PSA!I492</f>
        <v>6.4401933982237303</v>
      </c>
      <c r="J492" s="3">
        <f>[1]sens_0_spec_90_PSA!J492</f>
        <v>195782.03732222901</v>
      </c>
      <c r="K492" s="3">
        <f>[1]sens_0_spec_90_PSA!K492</f>
        <v>116162.143110643</v>
      </c>
      <c r="L492">
        <f>[1]sens_0_spec_90_PSA!L492</f>
        <v>1</v>
      </c>
      <c r="M492">
        <f>[1]sens_0_spec_90_PSA!M492</f>
        <v>0</v>
      </c>
    </row>
    <row r="493" spans="1:13" x14ac:dyDescent="0.25">
      <c r="A493">
        <v>492</v>
      </c>
      <c r="B493">
        <f>[1]sens_0_spec_90_PSA!B493</f>
        <v>0</v>
      </c>
      <c r="C493" t="str">
        <f>[1]sens_0_spec_90_PSA!C493</f>
        <v>NA</v>
      </c>
      <c r="D493">
        <f>[1]sens_0_spec_90_PSA!D493</f>
        <v>0</v>
      </c>
      <c r="E493" s="1">
        <f>[1]sens_0_spec_90_PSA!E493</f>
        <v>0.15479999999999999</v>
      </c>
      <c r="F493" s="1">
        <f>[1]sens_0_spec_90_PSA!F493</f>
        <v>6.6400000000000001E-2</v>
      </c>
      <c r="G493" s="2">
        <f>[1]sens_0_spec_90_PSA!G493</f>
        <v>18.2585481905767</v>
      </c>
      <c r="H493" s="2">
        <f>[1]sens_0_spec_90_PSA!H493</f>
        <v>13.3575067813345</v>
      </c>
      <c r="I493" s="2">
        <f>[1]sens_0_spec_90_PSA!I493</f>
        <v>7.9909374298245996</v>
      </c>
      <c r="J493" s="3">
        <f>[1]sens_0_spec_90_PSA!J493</f>
        <v>262855.74738410302</v>
      </c>
      <c r="K493" s="3">
        <f>[1]sens_0_spec_90_PSA!K493</f>
        <v>153341.489147908</v>
      </c>
      <c r="L493">
        <f>[1]sens_0_spec_90_PSA!L493</f>
        <v>1</v>
      </c>
      <c r="M493">
        <f>[1]sens_0_spec_90_PSA!M493</f>
        <v>0</v>
      </c>
    </row>
    <row r="494" spans="1:13" x14ac:dyDescent="0.25">
      <c r="A494">
        <v>493</v>
      </c>
      <c r="B494">
        <f>[1]sens_0_spec_90_PSA!B494</f>
        <v>0</v>
      </c>
      <c r="C494" t="str">
        <f>[1]sens_0_spec_90_PSA!C494</f>
        <v>NA</v>
      </c>
      <c r="D494">
        <f>[1]sens_0_spec_90_PSA!D494</f>
        <v>0</v>
      </c>
      <c r="E494" s="1">
        <f>[1]sens_0_spec_90_PSA!E494</f>
        <v>0.16439999999999999</v>
      </c>
      <c r="F494" s="1">
        <f>[1]sens_0_spec_90_PSA!F494</f>
        <v>4.53E-2</v>
      </c>
      <c r="G494" s="2">
        <f>[1]sens_0_spec_90_PSA!G494</f>
        <v>17.429265288535401</v>
      </c>
      <c r="H494" s="2">
        <f>[1]sens_0_spec_90_PSA!H494</f>
        <v>11.062656037851999</v>
      </c>
      <c r="I494" s="2">
        <f>[1]sens_0_spec_90_PSA!I494</f>
        <v>6.7264020648082603</v>
      </c>
      <c r="J494" s="3">
        <f>[1]sens_0_spec_90_PSA!J494</f>
        <v>188680.18978575099</v>
      </c>
      <c r="K494" s="3">
        <f>[1]sens_0_spec_90_PSA!K494</f>
        <v>114547.9714372</v>
      </c>
      <c r="L494">
        <f>[1]sens_0_spec_90_PSA!L494</f>
        <v>1</v>
      </c>
      <c r="M494">
        <f>[1]sens_0_spec_90_PSA!M494</f>
        <v>0</v>
      </c>
    </row>
    <row r="495" spans="1:13" x14ac:dyDescent="0.25">
      <c r="A495">
        <v>494</v>
      </c>
      <c r="B495">
        <f>[1]sens_0_spec_90_PSA!B495</f>
        <v>0</v>
      </c>
      <c r="C495" t="str">
        <f>[1]sens_0_spec_90_PSA!C495</f>
        <v>NA</v>
      </c>
      <c r="D495">
        <f>[1]sens_0_spec_90_PSA!D495</f>
        <v>0</v>
      </c>
      <c r="E495" s="1">
        <f>[1]sens_0_spec_90_PSA!E495</f>
        <v>0.1037</v>
      </c>
      <c r="F495" s="1">
        <f>[1]sens_0_spec_90_PSA!F495</f>
        <v>3.7199999999999997E-2</v>
      </c>
      <c r="G495" s="2">
        <f>[1]sens_0_spec_90_PSA!G495</f>
        <v>19.951916614354399</v>
      </c>
      <c r="H495" s="2">
        <f>[1]sens_0_spec_90_PSA!H495</f>
        <v>12.8999921740254</v>
      </c>
      <c r="I495" s="2">
        <f>[1]sens_0_spec_90_PSA!I495</f>
        <v>7.7093504538876196</v>
      </c>
      <c r="J495" s="3">
        <f>[1]sens_0_spec_90_PSA!J495</f>
        <v>210637.22256869299</v>
      </c>
      <c r="K495" s="3">
        <f>[1]sens_0_spec_90_PSA!K495</f>
        <v>124584.12327127</v>
      </c>
      <c r="L495">
        <f>[1]sens_0_spec_90_PSA!L495</f>
        <v>1</v>
      </c>
      <c r="M495">
        <f>[1]sens_0_spec_90_PSA!M495</f>
        <v>0</v>
      </c>
    </row>
    <row r="496" spans="1:13" x14ac:dyDescent="0.25">
      <c r="A496">
        <v>495</v>
      </c>
      <c r="B496">
        <f>[1]sens_0_spec_90_PSA!B496</f>
        <v>0</v>
      </c>
      <c r="C496" t="str">
        <f>[1]sens_0_spec_90_PSA!C496</f>
        <v>NA</v>
      </c>
      <c r="D496">
        <f>[1]sens_0_spec_90_PSA!D496</f>
        <v>0</v>
      </c>
      <c r="E496" s="1">
        <f>[1]sens_0_spec_90_PSA!E496</f>
        <v>0.153</v>
      </c>
      <c r="F496" s="1">
        <f>[1]sens_0_spec_90_PSA!F496</f>
        <v>3.9600000000000003E-2</v>
      </c>
      <c r="G496" s="2">
        <f>[1]sens_0_spec_90_PSA!G496</f>
        <v>19.268771902126002</v>
      </c>
      <c r="H496" s="2">
        <f>[1]sens_0_spec_90_PSA!H496</f>
        <v>14.096229489082001</v>
      </c>
      <c r="I496" s="2">
        <f>[1]sens_0_spec_90_PSA!I496</f>
        <v>8.4058176857590503</v>
      </c>
      <c r="J496" s="3">
        <f>[1]sens_0_spec_90_PSA!J496</f>
        <v>226386.245191986</v>
      </c>
      <c r="K496" s="3">
        <f>[1]sens_0_spec_90_PSA!K496</f>
        <v>132745.44800375501</v>
      </c>
      <c r="L496">
        <f>[1]sens_0_spec_90_PSA!L496</f>
        <v>1</v>
      </c>
      <c r="M496">
        <f>[1]sens_0_spec_90_PSA!M496</f>
        <v>0</v>
      </c>
    </row>
    <row r="497" spans="1:13" x14ac:dyDescent="0.25">
      <c r="A497">
        <v>496</v>
      </c>
      <c r="B497">
        <f>[1]sens_0_spec_90_PSA!B497</f>
        <v>0</v>
      </c>
      <c r="C497" t="str">
        <f>[1]sens_0_spec_90_PSA!C497</f>
        <v>NA</v>
      </c>
      <c r="D497">
        <f>[1]sens_0_spec_90_PSA!D497</f>
        <v>0</v>
      </c>
      <c r="E497" s="1">
        <f>[1]sens_0_spec_90_PSA!E497</f>
        <v>0.129</v>
      </c>
      <c r="F497" s="1">
        <f>[1]sens_0_spec_90_PSA!F497</f>
        <v>5.0599999999999999E-2</v>
      </c>
      <c r="G497" s="2">
        <f>[1]sens_0_spec_90_PSA!G497</f>
        <v>18.516511575310901</v>
      </c>
      <c r="H497" s="2">
        <f>[1]sens_0_spec_90_PSA!H497</f>
        <v>13.5084282135746</v>
      </c>
      <c r="I497" s="2">
        <f>[1]sens_0_spec_90_PSA!I497</f>
        <v>8.1539434229235699</v>
      </c>
      <c r="J497" s="3">
        <f>[1]sens_0_spec_90_PSA!J497</f>
        <v>269157.32671418902</v>
      </c>
      <c r="K497" s="3">
        <f>[1]sens_0_spec_90_PSA!K497</f>
        <v>158854.347477826</v>
      </c>
      <c r="L497">
        <f>[1]sens_0_spec_90_PSA!L497</f>
        <v>1</v>
      </c>
      <c r="M497">
        <f>[1]sens_0_spec_90_PSA!M497</f>
        <v>0</v>
      </c>
    </row>
    <row r="498" spans="1:13" x14ac:dyDescent="0.25">
      <c r="A498">
        <v>497</v>
      </c>
      <c r="B498">
        <f>[1]sens_0_spec_90_PSA!B498</f>
        <v>0</v>
      </c>
      <c r="C498" t="str">
        <f>[1]sens_0_spec_90_PSA!C498</f>
        <v>NA</v>
      </c>
      <c r="D498">
        <f>[1]sens_0_spec_90_PSA!D498</f>
        <v>0</v>
      </c>
      <c r="E498" s="1">
        <f>[1]sens_0_spec_90_PSA!E498</f>
        <v>0.2349</v>
      </c>
      <c r="F498" s="1">
        <f>[1]sens_0_spec_90_PSA!F498</f>
        <v>2.6499999999999999E-2</v>
      </c>
      <c r="G498" s="2">
        <f>[1]sens_0_spec_90_PSA!G498</f>
        <v>15.6487339748808</v>
      </c>
      <c r="H498" s="2">
        <f>[1]sens_0_spec_90_PSA!H498</f>
        <v>10.9692367877165</v>
      </c>
      <c r="I498" s="2">
        <f>[1]sens_0_spec_90_PSA!I498</f>
        <v>6.7717209091353299</v>
      </c>
      <c r="J498" s="3">
        <f>[1]sens_0_spec_90_PSA!J498</f>
        <v>161023.97049550901</v>
      </c>
      <c r="K498" s="3">
        <f>[1]sens_0_spec_90_PSA!K498</f>
        <v>100319.215018908</v>
      </c>
      <c r="L498">
        <f>[1]sens_0_spec_90_PSA!L498</f>
        <v>1</v>
      </c>
      <c r="M498">
        <f>[1]sens_0_spec_90_PSA!M498</f>
        <v>0</v>
      </c>
    </row>
    <row r="499" spans="1:13" x14ac:dyDescent="0.25">
      <c r="A499">
        <v>498</v>
      </c>
      <c r="B499">
        <f>[1]sens_0_spec_90_PSA!B499</f>
        <v>0</v>
      </c>
      <c r="C499" t="str">
        <f>[1]sens_0_spec_90_PSA!C499</f>
        <v>NA</v>
      </c>
      <c r="D499">
        <f>[1]sens_0_spec_90_PSA!D499</f>
        <v>0</v>
      </c>
      <c r="E499" s="1">
        <f>[1]sens_0_spec_90_PSA!E499</f>
        <v>0.20180000000000001</v>
      </c>
      <c r="F499" s="1">
        <f>[1]sens_0_spec_90_PSA!F499</f>
        <v>3.73E-2</v>
      </c>
      <c r="G499" s="2">
        <f>[1]sens_0_spec_90_PSA!G499</f>
        <v>17.197615539613501</v>
      </c>
      <c r="H499" s="2">
        <f>[1]sens_0_spec_90_PSA!H499</f>
        <v>11.110791609920399</v>
      </c>
      <c r="I499" s="2">
        <f>[1]sens_0_spec_90_PSA!I499</f>
        <v>6.7490686491384002</v>
      </c>
      <c r="J499" s="3">
        <f>[1]sens_0_spec_90_PSA!J499</f>
        <v>246214.76399643201</v>
      </c>
      <c r="K499" s="3">
        <f>[1]sens_0_spec_90_PSA!K499</f>
        <v>146665.09064767501</v>
      </c>
      <c r="L499">
        <f>[1]sens_0_spec_90_PSA!L499</f>
        <v>1</v>
      </c>
      <c r="M499">
        <f>[1]sens_0_spec_90_PSA!M499</f>
        <v>0</v>
      </c>
    </row>
    <row r="500" spans="1:13" x14ac:dyDescent="0.25">
      <c r="A500">
        <v>499</v>
      </c>
      <c r="B500">
        <f>[1]sens_0_spec_90_PSA!B500</f>
        <v>0</v>
      </c>
      <c r="C500" t="str">
        <f>[1]sens_0_spec_90_PSA!C500</f>
        <v>NA</v>
      </c>
      <c r="D500">
        <f>[1]sens_0_spec_90_PSA!D500</f>
        <v>0</v>
      </c>
      <c r="E500" s="1">
        <f>[1]sens_0_spec_90_PSA!E500</f>
        <v>0.22339999999999999</v>
      </c>
      <c r="F500" s="1">
        <f>[1]sens_0_spec_90_PSA!F500</f>
        <v>4.1599999999999998E-2</v>
      </c>
      <c r="G500" s="2">
        <f>[1]sens_0_spec_90_PSA!G500</f>
        <v>16.778199661237799</v>
      </c>
      <c r="H500" s="2">
        <f>[1]sens_0_spec_90_PSA!H500</f>
        <v>13.1316668359218</v>
      </c>
      <c r="I500" s="2">
        <f>[1]sens_0_spec_90_PSA!I500</f>
        <v>7.9720538799980201</v>
      </c>
      <c r="J500" s="3">
        <f>[1]sens_0_spec_90_PSA!J500</f>
        <v>243065.793914904</v>
      </c>
      <c r="K500" s="3">
        <f>[1]sens_0_spec_90_PSA!K500</f>
        <v>144768.103152822</v>
      </c>
      <c r="L500">
        <f>[1]sens_0_spec_90_PSA!L500</f>
        <v>1</v>
      </c>
      <c r="M500">
        <f>[1]sens_0_spec_90_PSA!M500</f>
        <v>0</v>
      </c>
    </row>
    <row r="501" spans="1:13" x14ac:dyDescent="0.25">
      <c r="A501">
        <v>500</v>
      </c>
      <c r="B501">
        <f>[1]sens_0_spec_90_PSA!B501</f>
        <v>0</v>
      </c>
      <c r="C501" t="str">
        <f>[1]sens_0_spec_90_PSA!C501</f>
        <v>NA</v>
      </c>
      <c r="D501">
        <f>[1]sens_0_spec_90_PSA!D501</f>
        <v>0</v>
      </c>
      <c r="E501" s="1">
        <f>[1]sens_0_spec_90_PSA!E501</f>
        <v>0.17460000000000001</v>
      </c>
      <c r="F501" s="1">
        <f>[1]sens_0_spec_90_PSA!F501</f>
        <v>4.07E-2</v>
      </c>
      <c r="G501" s="2">
        <f>[1]sens_0_spec_90_PSA!G501</f>
        <v>18.954576360490801</v>
      </c>
      <c r="H501" s="2">
        <f>[1]sens_0_spec_90_PSA!H501</f>
        <v>12.9090671407151</v>
      </c>
      <c r="I501" s="2">
        <f>[1]sens_0_spec_90_PSA!I501</f>
        <v>7.68018402179489</v>
      </c>
      <c r="J501" s="3">
        <f>[1]sens_0_spec_90_PSA!J501</f>
        <v>259594.03419753001</v>
      </c>
      <c r="K501" s="3">
        <f>[1]sens_0_spec_90_PSA!K501</f>
        <v>150734.31827831699</v>
      </c>
      <c r="L501">
        <f>[1]sens_0_spec_90_PSA!L501</f>
        <v>1</v>
      </c>
      <c r="M501">
        <f>[1]sens_0_spec_90_PSA!M501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4DC26-65D5-4F2E-908B-2C513779B447}">
  <sheetPr codeName="Sheet5"/>
  <dimension ref="A1:P519"/>
  <sheetViews>
    <sheetView topLeftCell="A473" workbookViewId="0">
      <selection activeCell="R486" sqref="R486"/>
    </sheetView>
  </sheetViews>
  <sheetFormatPr defaultRowHeight="15" x14ac:dyDescent="0.25"/>
  <cols>
    <col min="4" max="4" width="11.140625" bestFit="1" customWidth="1"/>
    <col min="8" max="9" width="10.140625" bestFit="1" customWidth="1"/>
    <col min="10" max="10" width="18.85546875" bestFit="1" customWidth="1"/>
    <col min="11" max="11" width="23.42578125" bestFit="1" customWidth="1"/>
    <col min="12" max="12" width="23.42578125" customWidth="1"/>
  </cols>
  <sheetData>
    <row r="1" spans="1:16" x14ac:dyDescent="0.25">
      <c r="A1" t="s">
        <v>6</v>
      </c>
      <c r="B1" s="3">
        <f>AVERAGE(B4:B503)</f>
        <v>118587.29619143535</v>
      </c>
      <c r="C1" s="2">
        <f>AVERAGE(C4:C503)</f>
        <v>7.7076735916717052</v>
      </c>
      <c r="D1" s="3">
        <f>AVERAGE(D4:D503)</f>
        <v>124679.96341817056</v>
      </c>
      <c r="E1" s="2">
        <f>AVERAGE(E4:E503)</f>
        <v>8.0968505609729835</v>
      </c>
      <c r="F1" s="3">
        <f>AVERAGE(F4:F503)</f>
        <v>6092.6672267351869</v>
      </c>
      <c r="G1" s="2">
        <f>AVERAGE(G4:G503)</f>
        <v>0.38917696930127765</v>
      </c>
      <c r="M1" t="s">
        <v>11</v>
      </c>
    </row>
    <row r="2" spans="1:16" x14ac:dyDescent="0.25">
      <c r="B2" s="4" t="s">
        <v>2</v>
      </c>
      <c r="C2" s="4"/>
      <c r="D2" s="4" t="s">
        <v>5</v>
      </c>
      <c r="E2" s="4"/>
      <c r="F2" s="4" t="s">
        <v>10</v>
      </c>
      <c r="G2" s="4"/>
      <c r="H2" s="4" t="s">
        <v>7</v>
      </c>
      <c r="I2" s="4"/>
      <c r="J2" t="s">
        <v>9</v>
      </c>
      <c r="K2" t="s">
        <v>14</v>
      </c>
      <c r="M2" t="s">
        <v>12</v>
      </c>
      <c r="N2">
        <v>50000</v>
      </c>
      <c r="O2" t="s">
        <v>13</v>
      </c>
      <c r="P2">
        <v>100</v>
      </c>
    </row>
    <row r="3" spans="1:16" x14ac:dyDescent="0.25">
      <c r="B3" t="s">
        <v>3</v>
      </c>
      <c r="C3" t="s">
        <v>4</v>
      </c>
      <c r="D3" t="s">
        <v>3</v>
      </c>
      <c r="E3" t="s">
        <v>4</v>
      </c>
      <c r="F3" t="s">
        <v>3</v>
      </c>
      <c r="G3" t="s">
        <v>4</v>
      </c>
      <c r="H3" t="s">
        <v>5</v>
      </c>
      <c r="I3" t="s">
        <v>2</v>
      </c>
      <c r="J3">
        <f>AVERAGE(J4:J503)</f>
        <v>0.998</v>
      </c>
      <c r="K3">
        <f>1-J3</f>
        <v>2.0000000000000018E-3</v>
      </c>
      <c r="M3" t="s">
        <v>17</v>
      </c>
      <c r="N3" t="s">
        <v>5</v>
      </c>
      <c r="O3" t="s">
        <v>15</v>
      </c>
    </row>
    <row r="4" spans="1:16" x14ac:dyDescent="0.25">
      <c r="A4">
        <v>1</v>
      </c>
      <c r="B4" s="3">
        <f>NoMTC!K2</f>
        <v>108144.657838156</v>
      </c>
      <c r="C4" s="2">
        <f>NoMTC!I2</f>
        <v>7.5077767282872703</v>
      </c>
      <c r="D4" s="3">
        <f>MTC!K2</f>
        <v>115274.601516942</v>
      </c>
      <c r="E4" s="2">
        <f>MTC!I2</f>
        <v>8.0214473083461098</v>
      </c>
      <c r="F4" s="2">
        <f>D4-B4</f>
        <v>7129.9436787860031</v>
      </c>
      <c r="G4" s="2">
        <f>E4-C4</f>
        <v>0.51367058005883948</v>
      </c>
      <c r="H4" s="3">
        <f>E4*Lambda-D4</f>
        <v>285797.76390036347</v>
      </c>
      <c r="I4" s="3">
        <f>C4*Lambda-B4</f>
        <v>267244.17857620755</v>
      </c>
      <c r="J4">
        <f>IF(H4=MAX(H4:I4),1,0)</f>
        <v>1</v>
      </c>
      <c r="M4">
        <v>0</v>
      </c>
      <c r="N4">
        <v>6.0000000000000001E-3</v>
      </c>
      <c r="O4">
        <v>0.99399999999999999</v>
      </c>
    </row>
    <row r="5" spans="1:16" x14ac:dyDescent="0.25">
      <c r="A5">
        <v>2</v>
      </c>
      <c r="B5" s="3">
        <f>NoMTC!K3</f>
        <v>96513.837566222894</v>
      </c>
      <c r="C5" s="2">
        <f>NoMTC!I3</f>
        <v>7.7317906267995804</v>
      </c>
      <c r="D5" s="3">
        <f>MTC!K3</f>
        <v>105797.95558785299</v>
      </c>
      <c r="E5" s="2">
        <f>MTC!I3</f>
        <v>8.5030756028219603</v>
      </c>
      <c r="F5" s="2">
        <f t="shared" ref="F5:F68" si="0">D5-B5</f>
        <v>9284.1180216301</v>
      </c>
      <c r="G5" s="2">
        <f t="shared" ref="G5:G68" si="1">E5-C5</f>
        <v>0.77128497602237989</v>
      </c>
      <c r="H5" s="3">
        <f>E5*Lambda-D5</f>
        <v>319355.82455324504</v>
      </c>
      <c r="I5" s="3">
        <f>C5*Lambda-B5</f>
        <v>290075.69377375615</v>
      </c>
      <c r="J5">
        <f t="shared" ref="J5:J68" si="2">IF(H5=MAX(H5:I5),1,0)</f>
        <v>1</v>
      </c>
      <c r="M5">
        <v>100</v>
      </c>
      <c r="N5">
        <v>6.0000000000000001E-3</v>
      </c>
      <c r="O5">
        <v>0.99399999999999999</v>
      </c>
    </row>
    <row r="6" spans="1:16" x14ac:dyDescent="0.25">
      <c r="A6">
        <v>3</v>
      </c>
      <c r="B6" s="3">
        <f>NoMTC!K4</f>
        <v>110756.03978756801</v>
      </c>
      <c r="C6" s="2">
        <f>NoMTC!I4</f>
        <v>7.45120445151555</v>
      </c>
      <c r="D6" s="3">
        <f>MTC!K4</f>
        <v>114447.85611545001</v>
      </c>
      <c r="E6" s="2">
        <f>MTC!I4</f>
        <v>7.7133534104733403</v>
      </c>
      <c r="F6" s="2">
        <f t="shared" si="0"/>
        <v>3691.8163278819993</v>
      </c>
      <c r="G6" s="2">
        <f t="shared" si="1"/>
        <v>0.26214895895779033</v>
      </c>
      <c r="H6" s="3">
        <f>E6*Lambda-D6</f>
        <v>271219.81440821697</v>
      </c>
      <c r="I6" s="3">
        <f>C6*Lambda-B6</f>
        <v>261804.18278820949</v>
      </c>
      <c r="J6">
        <f t="shared" si="2"/>
        <v>1</v>
      </c>
      <c r="M6">
        <v>200</v>
      </c>
      <c r="N6">
        <v>6.0000000000000001E-3</v>
      </c>
      <c r="O6">
        <v>0.99399999999999999</v>
      </c>
    </row>
    <row r="7" spans="1:16" x14ac:dyDescent="0.25">
      <c r="A7">
        <v>4</v>
      </c>
      <c r="B7" s="3">
        <f>NoMTC!K5</f>
        <v>163202.913266346</v>
      </c>
      <c r="C7" s="2">
        <f>NoMTC!I5</f>
        <v>8.1788172351023007</v>
      </c>
      <c r="D7" s="3">
        <f>MTC!K5</f>
        <v>170984.91512819499</v>
      </c>
      <c r="E7" s="2">
        <f>MTC!I5</f>
        <v>8.5441762712485207</v>
      </c>
      <c r="F7" s="2">
        <f t="shared" si="0"/>
        <v>7782.0018618489848</v>
      </c>
      <c r="G7" s="2">
        <f t="shared" si="1"/>
        <v>0.36535903614622001</v>
      </c>
      <c r="H7" s="3">
        <f>E7*Lambda-D7</f>
        <v>256223.89843423103</v>
      </c>
      <c r="I7" s="3">
        <f>C7*Lambda-B7</f>
        <v>245737.94848876903</v>
      </c>
      <c r="J7">
        <f t="shared" si="2"/>
        <v>1</v>
      </c>
      <c r="M7">
        <v>300</v>
      </c>
      <c r="N7">
        <v>6.0000000000000001E-3</v>
      </c>
      <c r="O7">
        <v>0.99399999999999999</v>
      </c>
    </row>
    <row r="8" spans="1:16" x14ac:dyDescent="0.25">
      <c r="A8">
        <v>5</v>
      </c>
      <c r="B8" s="3">
        <f>NoMTC!K6</f>
        <v>150677.06134947401</v>
      </c>
      <c r="C8" s="2">
        <f>NoMTC!I6</f>
        <v>8.5462484127584304</v>
      </c>
      <c r="D8" s="3">
        <f>MTC!K6</f>
        <v>154798.17643044199</v>
      </c>
      <c r="E8" s="2">
        <f>MTC!I6</f>
        <v>8.7533952799996797</v>
      </c>
      <c r="F8" s="2">
        <f t="shared" si="0"/>
        <v>4121.1150809679821</v>
      </c>
      <c r="G8" s="2">
        <f t="shared" si="1"/>
        <v>0.20714686724124931</v>
      </c>
      <c r="H8" s="3">
        <f>E8*Lambda-D8</f>
        <v>282871.587569542</v>
      </c>
      <c r="I8" s="3">
        <f>C8*Lambda-B8</f>
        <v>276635.35928844754</v>
      </c>
      <c r="J8">
        <f t="shared" si="2"/>
        <v>1</v>
      </c>
      <c r="M8">
        <v>400</v>
      </c>
      <c r="N8">
        <v>6.0000000000000001E-3</v>
      </c>
      <c r="O8">
        <v>0.99399999999999999</v>
      </c>
    </row>
    <row r="9" spans="1:16" x14ac:dyDescent="0.25">
      <c r="A9">
        <v>6</v>
      </c>
      <c r="B9" s="3">
        <f>NoMTC!K7</f>
        <v>104008.303315157</v>
      </c>
      <c r="C9" s="2">
        <f>NoMTC!I7</f>
        <v>8.2265943752777897</v>
      </c>
      <c r="D9" s="3">
        <f>MTC!K7</f>
        <v>110561.062907046</v>
      </c>
      <c r="E9" s="2">
        <f>MTC!I7</f>
        <v>8.7510868390971197</v>
      </c>
      <c r="F9" s="2">
        <f t="shared" si="0"/>
        <v>6552.7595918890001</v>
      </c>
      <c r="G9" s="2">
        <f t="shared" si="1"/>
        <v>0.52449246381933001</v>
      </c>
      <c r="H9" s="3">
        <f>E9*Lambda-D9</f>
        <v>326993.27904781001</v>
      </c>
      <c r="I9" s="3">
        <f>C9*Lambda-B9</f>
        <v>307321.4154487325</v>
      </c>
      <c r="J9">
        <f t="shared" si="2"/>
        <v>1</v>
      </c>
      <c r="M9">
        <v>500</v>
      </c>
      <c r="N9">
        <v>6.0000000000000001E-3</v>
      </c>
      <c r="O9">
        <v>0.99399999999999999</v>
      </c>
    </row>
    <row r="10" spans="1:16" x14ac:dyDescent="0.25">
      <c r="A10">
        <v>7</v>
      </c>
      <c r="B10" s="3">
        <f>NoMTC!K8</f>
        <v>108423.24705716599</v>
      </c>
      <c r="C10" s="2">
        <f>NoMTC!I8</f>
        <v>8.1326048456268101</v>
      </c>
      <c r="D10" s="3">
        <f>MTC!K8</f>
        <v>114914.67152156599</v>
      </c>
      <c r="E10" s="2">
        <f>MTC!I8</f>
        <v>8.6409349851977293</v>
      </c>
      <c r="F10" s="2">
        <f t="shared" si="0"/>
        <v>6491.4244643999991</v>
      </c>
      <c r="G10" s="2">
        <f t="shared" si="1"/>
        <v>0.50833013957091921</v>
      </c>
      <c r="H10" s="3">
        <f>E10*Lambda-D10</f>
        <v>317132.07773832045</v>
      </c>
      <c r="I10" s="3">
        <f>C10*Lambda-B10</f>
        <v>298206.99522417452</v>
      </c>
      <c r="J10">
        <f t="shared" si="2"/>
        <v>1</v>
      </c>
      <c r="M10">
        <v>600</v>
      </c>
      <c r="N10">
        <v>6.0000000000000001E-3</v>
      </c>
      <c r="O10">
        <v>0.99399999999999999</v>
      </c>
    </row>
    <row r="11" spans="1:16" x14ac:dyDescent="0.25">
      <c r="A11">
        <v>8</v>
      </c>
      <c r="B11" s="3">
        <f>NoMTC!K9</f>
        <v>103295.68149041</v>
      </c>
      <c r="C11" s="2">
        <f>NoMTC!I9</f>
        <v>6.8100274836357304</v>
      </c>
      <c r="D11" s="3">
        <f>MTC!K9</f>
        <v>110645.110823095</v>
      </c>
      <c r="E11" s="2">
        <f>MTC!I9</f>
        <v>7.2892824047515896</v>
      </c>
      <c r="F11" s="2">
        <f t="shared" si="0"/>
        <v>7349.429332685002</v>
      </c>
      <c r="G11" s="2">
        <f t="shared" si="1"/>
        <v>0.47925492111585921</v>
      </c>
      <c r="H11" s="3">
        <f>E11*Lambda-D11</f>
        <v>253819.00941448443</v>
      </c>
      <c r="I11" s="3">
        <f>C11*Lambda-B11</f>
        <v>237205.69269137649</v>
      </c>
      <c r="J11">
        <f t="shared" si="2"/>
        <v>1</v>
      </c>
      <c r="M11">
        <v>700</v>
      </c>
      <c r="N11">
        <v>6.0000000000000001E-3</v>
      </c>
      <c r="O11">
        <v>0.99399999999999999</v>
      </c>
    </row>
    <row r="12" spans="1:16" x14ac:dyDescent="0.25">
      <c r="A12">
        <v>9</v>
      </c>
      <c r="B12" s="3">
        <f>NoMTC!K10</f>
        <v>139402.238861708</v>
      </c>
      <c r="C12" s="2">
        <f>NoMTC!I10</f>
        <v>8.5052634844433008</v>
      </c>
      <c r="D12" s="3">
        <f>MTC!K10</f>
        <v>145581.90791006599</v>
      </c>
      <c r="E12" s="2">
        <f>MTC!I10</f>
        <v>8.8752581297113196</v>
      </c>
      <c r="F12" s="2">
        <f t="shared" si="0"/>
        <v>6179.6690483579878</v>
      </c>
      <c r="G12" s="2">
        <f t="shared" si="1"/>
        <v>0.36999464526801873</v>
      </c>
      <c r="H12" s="3">
        <f>E12*Lambda-D12</f>
        <v>298180.99857549998</v>
      </c>
      <c r="I12" s="3">
        <f>C12*Lambda-B12</f>
        <v>285860.93536045705</v>
      </c>
      <c r="J12">
        <f t="shared" si="2"/>
        <v>1</v>
      </c>
      <c r="M12">
        <v>800</v>
      </c>
      <c r="N12">
        <v>6.0000000000000001E-3</v>
      </c>
      <c r="O12">
        <v>0.99399999999999999</v>
      </c>
    </row>
    <row r="13" spans="1:16" x14ac:dyDescent="0.25">
      <c r="A13">
        <v>10</v>
      </c>
      <c r="B13" s="3">
        <f>NoMTC!K11</f>
        <v>97237.516426479604</v>
      </c>
      <c r="C13" s="2">
        <f>NoMTC!I11</f>
        <v>6.80221217608503</v>
      </c>
      <c r="D13" s="3">
        <f>MTC!K11</f>
        <v>98839.637707992006</v>
      </c>
      <c r="E13" s="2">
        <f>MTC!I11</f>
        <v>6.9409630898077301</v>
      </c>
      <c r="F13" s="2">
        <f t="shared" si="0"/>
        <v>1602.1212815124018</v>
      </c>
      <c r="G13" s="2">
        <f t="shared" si="1"/>
        <v>0.1387509137227001</v>
      </c>
      <c r="H13" s="3">
        <f>E13*Lambda-D13</f>
        <v>248208.51678239449</v>
      </c>
      <c r="I13" s="3">
        <f>C13*Lambda-B13</f>
        <v>242873.09237777186</v>
      </c>
      <c r="J13">
        <f t="shared" si="2"/>
        <v>1</v>
      </c>
      <c r="M13">
        <v>900</v>
      </c>
      <c r="N13">
        <v>6.0000000000000001E-3</v>
      </c>
      <c r="O13">
        <v>0.99399999999999999</v>
      </c>
    </row>
    <row r="14" spans="1:16" x14ac:dyDescent="0.25">
      <c r="A14">
        <v>11</v>
      </c>
      <c r="B14" s="3">
        <f>NoMTC!K12</f>
        <v>127991.368796011</v>
      </c>
      <c r="C14" s="2">
        <f>NoMTC!I12</f>
        <v>8.4318269093934095</v>
      </c>
      <c r="D14" s="3">
        <f>MTC!K12</f>
        <v>134352.16552770199</v>
      </c>
      <c r="E14" s="2">
        <f>MTC!I12</f>
        <v>8.8701496186625803</v>
      </c>
      <c r="F14" s="2">
        <f t="shared" si="0"/>
        <v>6360.7967316909926</v>
      </c>
      <c r="G14" s="2">
        <f t="shared" si="1"/>
        <v>0.43832270926917083</v>
      </c>
      <c r="H14" s="3">
        <f>E14*Lambda-D14</f>
        <v>309155.31540542701</v>
      </c>
      <c r="I14" s="3">
        <f>C14*Lambda-B14</f>
        <v>293599.97667365952</v>
      </c>
      <c r="J14">
        <f t="shared" si="2"/>
        <v>1</v>
      </c>
      <c r="M14">
        <v>1000</v>
      </c>
      <c r="N14">
        <v>6.0000000000000001E-3</v>
      </c>
      <c r="O14">
        <v>0.99399999999999999</v>
      </c>
    </row>
    <row r="15" spans="1:16" x14ac:dyDescent="0.25">
      <c r="A15">
        <v>12</v>
      </c>
      <c r="B15" s="3">
        <f>NoMTC!K13</f>
        <v>111904.382445264</v>
      </c>
      <c r="C15" s="2">
        <f>NoMTC!I13</f>
        <v>6.3436778444747297</v>
      </c>
      <c r="D15" s="3">
        <f>MTC!K13</f>
        <v>117412.253555594</v>
      </c>
      <c r="E15" s="2">
        <f>MTC!I13</f>
        <v>6.6762719317161601</v>
      </c>
      <c r="F15" s="2">
        <f t="shared" si="0"/>
        <v>5507.8711103300011</v>
      </c>
      <c r="G15" s="2">
        <f t="shared" si="1"/>
        <v>0.33259408724143036</v>
      </c>
      <c r="H15" s="3">
        <f>E15*Lambda-D15</f>
        <v>216401.34303021402</v>
      </c>
      <c r="I15" s="3">
        <f>C15*Lambda-B15</f>
        <v>205279.50977847251</v>
      </c>
      <c r="J15">
        <f t="shared" si="2"/>
        <v>1</v>
      </c>
      <c r="M15">
        <v>1100</v>
      </c>
      <c r="N15">
        <v>6.0000000000000001E-3</v>
      </c>
      <c r="O15">
        <v>0.99399999999999999</v>
      </c>
    </row>
    <row r="16" spans="1:16" x14ac:dyDescent="0.25">
      <c r="A16">
        <v>13</v>
      </c>
      <c r="B16" s="3">
        <f>NoMTC!K14</f>
        <v>120963.271966963</v>
      </c>
      <c r="C16" s="2">
        <f>NoMTC!I14</f>
        <v>8.3520949820968404</v>
      </c>
      <c r="D16" s="3">
        <f>MTC!K14</f>
        <v>125963.140969389</v>
      </c>
      <c r="E16" s="2">
        <f>MTC!I14</f>
        <v>8.7127921036539302</v>
      </c>
      <c r="F16" s="2">
        <f t="shared" si="0"/>
        <v>4999.8690024259995</v>
      </c>
      <c r="G16" s="2">
        <f t="shared" si="1"/>
        <v>0.36069712155708977</v>
      </c>
      <c r="H16" s="3">
        <f>E16*Lambda-D16</f>
        <v>309676.46421330748</v>
      </c>
      <c r="I16" s="3">
        <f>C16*Lambda-B16</f>
        <v>296641.477137879</v>
      </c>
      <c r="J16">
        <f t="shared" si="2"/>
        <v>1</v>
      </c>
      <c r="M16">
        <v>1200</v>
      </c>
      <c r="N16">
        <v>6.0000000000000001E-3</v>
      </c>
      <c r="O16">
        <v>0.99399999999999999</v>
      </c>
    </row>
    <row r="17" spans="1:15" x14ac:dyDescent="0.25">
      <c r="A17">
        <v>14</v>
      </c>
      <c r="B17" s="3">
        <f>NoMTC!K15</f>
        <v>86908.440147728499</v>
      </c>
      <c r="C17" s="2">
        <f>NoMTC!I15</f>
        <v>6.6703172371726902</v>
      </c>
      <c r="D17" s="3">
        <f>MTC!K15</f>
        <v>86652.835241822206</v>
      </c>
      <c r="E17" s="2">
        <f>MTC!I15</f>
        <v>6.6930528930683204</v>
      </c>
      <c r="F17" s="2">
        <f t="shared" si="0"/>
        <v>-255.60490590629342</v>
      </c>
      <c r="G17" s="2">
        <f t="shared" si="1"/>
        <v>2.2735655895630202E-2</v>
      </c>
      <c r="H17" s="3">
        <f>E17*Lambda-D17</f>
        <v>247999.8094115938</v>
      </c>
      <c r="I17" s="3">
        <f>C17*Lambda-B17</f>
        <v>246607.42171090603</v>
      </c>
      <c r="J17">
        <f t="shared" si="2"/>
        <v>1</v>
      </c>
      <c r="M17">
        <v>1300</v>
      </c>
      <c r="N17">
        <v>6.0000000000000001E-3</v>
      </c>
      <c r="O17">
        <v>0.99399999999999999</v>
      </c>
    </row>
    <row r="18" spans="1:15" x14ac:dyDescent="0.25">
      <c r="A18">
        <v>15</v>
      </c>
      <c r="B18" s="3">
        <f>NoMTC!K16</f>
        <v>115959.043140536</v>
      </c>
      <c r="C18" s="2">
        <f>NoMTC!I16</f>
        <v>7.4803501622454602</v>
      </c>
      <c r="D18" s="3">
        <f>MTC!K16</f>
        <v>121369.996045967</v>
      </c>
      <c r="E18" s="2">
        <f>MTC!I16</f>
        <v>7.8330813744268601</v>
      </c>
      <c r="F18" s="2">
        <f t="shared" si="0"/>
        <v>5410.9529054309969</v>
      </c>
      <c r="G18" s="2">
        <f t="shared" si="1"/>
        <v>0.35273121218139991</v>
      </c>
      <c r="H18" s="3">
        <f>E18*Lambda-D18</f>
        <v>270284.07267537602</v>
      </c>
      <c r="I18" s="3">
        <f>C18*Lambda-B18</f>
        <v>258058.464971737</v>
      </c>
      <c r="J18">
        <f t="shared" si="2"/>
        <v>1</v>
      </c>
      <c r="M18">
        <v>1400</v>
      </c>
      <c r="N18">
        <v>6.0000000000000001E-3</v>
      </c>
      <c r="O18">
        <v>0.99399999999999999</v>
      </c>
    </row>
    <row r="19" spans="1:15" x14ac:dyDescent="0.25">
      <c r="A19">
        <v>16</v>
      </c>
      <c r="B19" s="3">
        <f>NoMTC!K17</f>
        <v>108162.662765815</v>
      </c>
      <c r="C19" s="2">
        <f>NoMTC!I17</f>
        <v>8.1828242872223793</v>
      </c>
      <c r="D19" s="3">
        <f>MTC!K17</f>
        <v>115832.26142874701</v>
      </c>
      <c r="E19" s="2">
        <f>MTC!I17</f>
        <v>8.7584538521275093</v>
      </c>
      <c r="F19" s="2">
        <f t="shared" si="0"/>
        <v>7669.5986629320105</v>
      </c>
      <c r="G19" s="2">
        <f t="shared" si="1"/>
        <v>0.57562956490512995</v>
      </c>
      <c r="H19" s="3">
        <f>E19*Lambda-D19</f>
        <v>322090.43117762846</v>
      </c>
      <c r="I19" s="3">
        <f>C19*Lambda-B19</f>
        <v>300978.55159530399</v>
      </c>
      <c r="J19">
        <f t="shared" si="2"/>
        <v>1</v>
      </c>
      <c r="M19">
        <v>1500</v>
      </c>
      <c r="N19">
        <v>6.0000000000000001E-3</v>
      </c>
      <c r="O19">
        <v>0.99399999999999999</v>
      </c>
    </row>
    <row r="20" spans="1:15" x14ac:dyDescent="0.25">
      <c r="A20">
        <v>17</v>
      </c>
      <c r="B20" s="3">
        <f>NoMTC!K18</f>
        <v>101623.84357715301</v>
      </c>
      <c r="C20" s="2">
        <f>NoMTC!I18</f>
        <v>6.9467453032751498</v>
      </c>
      <c r="D20" s="3">
        <f>MTC!K18</f>
        <v>111278.669105062</v>
      </c>
      <c r="E20" s="2">
        <f>MTC!I18</f>
        <v>7.5854791424451697</v>
      </c>
      <c r="F20" s="2">
        <f t="shared" si="0"/>
        <v>9654.8255279089935</v>
      </c>
      <c r="G20" s="2">
        <f t="shared" si="1"/>
        <v>0.63873383917001991</v>
      </c>
      <c r="H20" s="3">
        <f>E20*Lambda-D20</f>
        <v>267995.28801719646</v>
      </c>
      <c r="I20" s="3">
        <f>C20*Lambda-B20</f>
        <v>245713.4215866045</v>
      </c>
      <c r="J20">
        <f t="shared" si="2"/>
        <v>1</v>
      </c>
      <c r="M20">
        <v>1600</v>
      </c>
      <c r="N20">
        <v>6.0000000000000001E-3</v>
      </c>
      <c r="O20">
        <v>0.99399999999999999</v>
      </c>
    </row>
    <row r="21" spans="1:15" x14ac:dyDescent="0.25">
      <c r="A21">
        <v>18</v>
      </c>
      <c r="B21" s="3">
        <f>NoMTC!K19</f>
        <v>101110.02539649799</v>
      </c>
      <c r="C21" s="2">
        <f>NoMTC!I19</f>
        <v>7.4900299559168202</v>
      </c>
      <c r="D21" s="3">
        <f>MTC!K19</f>
        <v>110852.18413244899</v>
      </c>
      <c r="E21" s="2">
        <f>MTC!I19</f>
        <v>8.1983679551063293</v>
      </c>
      <c r="F21" s="2">
        <f t="shared" si="0"/>
        <v>9742.1587359510013</v>
      </c>
      <c r="G21" s="2">
        <f t="shared" si="1"/>
        <v>0.70833799918950913</v>
      </c>
      <c r="H21" s="3">
        <f>E21*Lambda-D21</f>
        <v>299066.21362286748</v>
      </c>
      <c r="I21" s="3">
        <f>C21*Lambda-B21</f>
        <v>273391.47239934304</v>
      </c>
      <c r="J21">
        <f t="shared" si="2"/>
        <v>1</v>
      </c>
      <c r="M21">
        <v>1700</v>
      </c>
      <c r="N21">
        <v>6.0000000000000001E-3</v>
      </c>
      <c r="O21">
        <v>0.99399999999999999</v>
      </c>
    </row>
    <row r="22" spans="1:15" x14ac:dyDescent="0.25">
      <c r="A22">
        <v>19</v>
      </c>
      <c r="B22" s="3">
        <f>NoMTC!K20</f>
        <v>113143.45153207501</v>
      </c>
      <c r="C22" s="2">
        <f>NoMTC!I20</f>
        <v>8.4597830977045607</v>
      </c>
      <c r="D22" s="3">
        <f>MTC!K20</f>
        <v>118219.601616418</v>
      </c>
      <c r="E22" s="2">
        <f>MTC!I20</f>
        <v>8.8292343251725107</v>
      </c>
      <c r="F22" s="2">
        <f t="shared" si="0"/>
        <v>5076.1500843429967</v>
      </c>
      <c r="G22" s="2">
        <f t="shared" si="1"/>
        <v>0.36945122746795001</v>
      </c>
      <c r="H22" s="3">
        <f>E22*Lambda-D22</f>
        <v>323242.11464220757</v>
      </c>
      <c r="I22" s="3">
        <f>C22*Lambda-B22</f>
        <v>309845.70335315302</v>
      </c>
      <c r="J22">
        <f t="shared" si="2"/>
        <v>1</v>
      </c>
      <c r="M22">
        <v>1800</v>
      </c>
      <c r="N22">
        <v>6.0000000000000001E-3</v>
      </c>
      <c r="O22">
        <v>0.99399999999999999</v>
      </c>
    </row>
    <row r="23" spans="1:15" x14ac:dyDescent="0.25">
      <c r="A23">
        <v>20</v>
      </c>
      <c r="B23" s="3">
        <f>NoMTC!K21</f>
        <v>97154.4139620731</v>
      </c>
      <c r="C23" s="2">
        <f>NoMTC!I21</f>
        <v>6.8522651001841401</v>
      </c>
      <c r="D23" s="3">
        <f>MTC!K21</f>
        <v>103232.105953166</v>
      </c>
      <c r="E23" s="2">
        <f>MTC!I21</f>
        <v>7.2576047067592198</v>
      </c>
      <c r="F23" s="2">
        <f t="shared" si="0"/>
        <v>6077.6919910928991</v>
      </c>
      <c r="G23" s="2">
        <f t="shared" si="1"/>
        <v>0.40533960657507961</v>
      </c>
      <c r="H23" s="3">
        <f>E23*Lambda-D23</f>
        <v>259648.129384795</v>
      </c>
      <c r="I23" s="3">
        <f>C23*Lambda-B23</f>
        <v>245458.8410471339</v>
      </c>
      <c r="J23">
        <f t="shared" si="2"/>
        <v>1</v>
      </c>
      <c r="M23">
        <v>1900</v>
      </c>
      <c r="N23">
        <v>6.0000000000000001E-3</v>
      </c>
      <c r="O23">
        <v>0.99399999999999999</v>
      </c>
    </row>
    <row r="24" spans="1:15" x14ac:dyDescent="0.25">
      <c r="A24">
        <v>21</v>
      </c>
      <c r="B24" s="3">
        <f>NoMTC!K22</f>
        <v>108799.645164313</v>
      </c>
      <c r="C24" s="2">
        <f>NoMTC!I22</f>
        <v>6.7699934046668799</v>
      </c>
      <c r="D24" s="3">
        <f>MTC!K22</f>
        <v>123897.513490927</v>
      </c>
      <c r="E24" s="2">
        <f>MTC!I22</f>
        <v>7.6582573849514297</v>
      </c>
      <c r="F24" s="2">
        <f t="shared" si="0"/>
        <v>15097.868326614</v>
      </c>
      <c r="G24" s="2">
        <f t="shared" si="1"/>
        <v>0.88826398028454978</v>
      </c>
      <c r="H24" s="3">
        <f>E24*Lambda-D24</f>
        <v>259015.35575664451</v>
      </c>
      <c r="I24" s="3">
        <f>C24*Lambda-B24</f>
        <v>229700.02506903102</v>
      </c>
      <c r="J24">
        <f t="shared" si="2"/>
        <v>1</v>
      </c>
      <c r="M24">
        <v>2000</v>
      </c>
      <c r="N24">
        <v>6.0000000000000001E-3</v>
      </c>
      <c r="O24">
        <v>0.99399999999999999</v>
      </c>
    </row>
    <row r="25" spans="1:15" x14ac:dyDescent="0.25">
      <c r="A25">
        <v>22</v>
      </c>
      <c r="B25" s="3">
        <f>NoMTC!K23</f>
        <v>121034.408200971</v>
      </c>
      <c r="C25" s="2">
        <f>NoMTC!I23</f>
        <v>7.3693562118017999</v>
      </c>
      <c r="D25" s="3">
        <f>MTC!K23</f>
        <v>127767.640543919</v>
      </c>
      <c r="E25" s="2">
        <f>MTC!I23</f>
        <v>7.7823406327587499</v>
      </c>
      <c r="F25" s="2">
        <f t="shared" si="0"/>
        <v>6733.232342948002</v>
      </c>
      <c r="G25" s="2">
        <f t="shared" si="1"/>
        <v>0.41298442095694998</v>
      </c>
      <c r="H25" s="3">
        <f>E25*Lambda-D25</f>
        <v>261349.39109401847</v>
      </c>
      <c r="I25" s="3">
        <f>C25*Lambda-B25</f>
        <v>247433.402389119</v>
      </c>
      <c r="J25">
        <f t="shared" si="2"/>
        <v>1</v>
      </c>
      <c r="M25">
        <v>2100</v>
      </c>
      <c r="N25">
        <v>6.0000000000000001E-3</v>
      </c>
      <c r="O25">
        <v>0.99399999999999999</v>
      </c>
    </row>
    <row r="26" spans="1:15" x14ac:dyDescent="0.25">
      <c r="A26">
        <v>23</v>
      </c>
      <c r="B26" s="3">
        <f>NoMTC!K24</f>
        <v>107116.50914492299</v>
      </c>
      <c r="C26" s="2">
        <f>NoMTC!I24</f>
        <v>6.9526146439150702</v>
      </c>
      <c r="D26" s="3">
        <f>MTC!K24</f>
        <v>115295.699653068</v>
      </c>
      <c r="E26" s="2">
        <f>MTC!I24</f>
        <v>7.4769533926870304</v>
      </c>
      <c r="F26" s="2">
        <f t="shared" si="0"/>
        <v>8179.1905081450095</v>
      </c>
      <c r="G26" s="2">
        <f t="shared" si="1"/>
        <v>0.52433874877196018</v>
      </c>
      <c r="H26" s="3">
        <f>E26*Lambda-D26</f>
        <v>258551.9699812835</v>
      </c>
      <c r="I26" s="3">
        <f>C26*Lambda-B26</f>
        <v>240514.22305083048</v>
      </c>
      <c r="J26">
        <f t="shared" si="2"/>
        <v>1</v>
      </c>
      <c r="M26">
        <v>2200</v>
      </c>
      <c r="N26">
        <v>6.0000000000000001E-3</v>
      </c>
      <c r="O26">
        <v>0.99399999999999999</v>
      </c>
    </row>
    <row r="27" spans="1:15" x14ac:dyDescent="0.25">
      <c r="A27">
        <v>24</v>
      </c>
      <c r="B27" s="3">
        <f>NoMTC!K25</f>
        <v>144286.31108066399</v>
      </c>
      <c r="C27" s="2">
        <f>NoMTC!I25</f>
        <v>7.0287448154200201</v>
      </c>
      <c r="D27" s="3">
        <f>MTC!K25</f>
        <v>152290.59120916901</v>
      </c>
      <c r="E27" s="2">
        <f>MTC!I25</f>
        <v>7.3763508409798098</v>
      </c>
      <c r="F27" s="2">
        <f t="shared" si="0"/>
        <v>8004.2801285050227</v>
      </c>
      <c r="G27" s="2">
        <f t="shared" si="1"/>
        <v>0.3476060255597897</v>
      </c>
      <c r="H27" s="3">
        <f>E27*Lambda-D27</f>
        <v>216526.95083982148</v>
      </c>
      <c r="I27" s="3">
        <f>C27*Lambda-B27</f>
        <v>207150.92969033704</v>
      </c>
      <c r="J27">
        <f t="shared" si="2"/>
        <v>1</v>
      </c>
      <c r="M27">
        <v>2300</v>
      </c>
      <c r="N27">
        <v>6.0000000000000001E-3</v>
      </c>
      <c r="O27">
        <v>0.99399999999999999</v>
      </c>
    </row>
    <row r="28" spans="1:15" x14ac:dyDescent="0.25">
      <c r="A28">
        <v>25</v>
      </c>
      <c r="B28" s="3">
        <f>NoMTC!K26</f>
        <v>131403.97359176999</v>
      </c>
      <c r="C28" s="2">
        <f>NoMTC!I26</f>
        <v>8.9468643858571699</v>
      </c>
      <c r="D28" s="3">
        <f>MTC!K26</f>
        <v>138436.25904889801</v>
      </c>
      <c r="E28" s="2">
        <f>MTC!I26</f>
        <v>9.4351166363800498</v>
      </c>
      <c r="F28" s="2">
        <f t="shared" si="0"/>
        <v>7032.2854571280186</v>
      </c>
      <c r="G28" s="2">
        <f t="shared" si="1"/>
        <v>0.4882522505228799</v>
      </c>
      <c r="H28" s="3">
        <f>E28*Lambda-D28</f>
        <v>333319.57277010451</v>
      </c>
      <c r="I28" s="3">
        <f>C28*Lambda-B28</f>
        <v>315939.24570108851</v>
      </c>
      <c r="J28">
        <f t="shared" si="2"/>
        <v>1</v>
      </c>
      <c r="M28">
        <v>2400</v>
      </c>
      <c r="N28">
        <v>6.0000000000000001E-3</v>
      </c>
      <c r="O28">
        <v>0.99399999999999999</v>
      </c>
    </row>
    <row r="29" spans="1:15" x14ac:dyDescent="0.25">
      <c r="A29">
        <v>26</v>
      </c>
      <c r="B29" s="3">
        <f>NoMTC!K27</f>
        <v>142718.28437343301</v>
      </c>
      <c r="C29" s="2">
        <f>NoMTC!I27</f>
        <v>8.2885112601675797</v>
      </c>
      <c r="D29" s="3">
        <f>MTC!K27</f>
        <v>150167.388001769</v>
      </c>
      <c r="E29" s="2">
        <f>MTC!I27</f>
        <v>8.7190333809987894</v>
      </c>
      <c r="F29" s="2">
        <f t="shared" si="0"/>
        <v>7449.1036283359863</v>
      </c>
      <c r="G29" s="2">
        <f t="shared" si="1"/>
        <v>0.43052212083120978</v>
      </c>
      <c r="H29" s="3">
        <f>E29*Lambda-D29</f>
        <v>285784.28104817052</v>
      </c>
      <c r="I29" s="3">
        <f>C29*Lambda-B29</f>
        <v>271707.27863494598</v>
      </c>
      <c r="J29">
        <f t="shared" si="2"/>
        <v>1</v>
      </c>
      <c r="M29">
        <v>2500</v>
      </c>
      <c r="N29">
        <v>6.0000000000000001E-3</v>
      </c>
      <c r="O29">
        <v>0.99399999999999999</v>
      </c>
    </row>
    <row r="30" spans="1:15" x14ac:dyDescent="0.25">
      <c r="A30">
        <v>27</v>
      </c>
      <c r="B30" s="3">
        <f>NoMTC!K28</f>
        <v>83327.433858743301</v>
      </c>
      <c r="C30" s="2">
        <f>NoMTC!I28</f>
        <v>8.5391348842286394</v>
      </c>
      <c r="D30" s="3">
        <f>MTC!K28</f>
        <v>87484.977713879096</v>
      </c>
      <c r="E30" s="2">
        <f>MTC!I28</f>
        <v>8.9545027088740206</v>
      </c>
      <c r="F30" s="2">
        <f t="shared" si="0"/>
        <v>4157.5438551357947</v>
      </c>
      <c r="G30" s="2">
        <f t="shared" si="1"/>
        <v>0.41536782464538113</v>
      </c>
      <c r="H30" s="3">
        <f>E30*Lambda-D30</f>
        <v>360240.15772982192</v>
      </c>
      <c r="I30" s="3">
        <f>C30*Lambda-B30</f>
        <v>343629.31035268871</v>
      </c>
      <c r="J30">
        <f t="shared" si="2"/>
        <v>1</v>
      </c>
      <c r="M30">
        <v>2600</v>
      </c>
      <c r="N30">
        <v>6.0000000000000001E-3</v>
      </c>
      <c r="O30">
        <v>0.99399999999999999</v>
      </c>
    </row>
    <row r="31" spans="1:15" x14ac:dyDescent="0.25">
      <c r="A31">
        <v>28</v>
      </c>
      <c r="B31" s="3">
        <f>NoMTC!K29</f>
        <v>115688.758905514</v>
      </c>
      <c r="C31" s="2">
        <f>NoMTC!I29</f>
        <v>7.9258730118534597</v>
      </c>
      <c r="D31" s="3">
        <f>MTC!K29</f>
        <v>119060.252759788</v>
      </c>
      <c r="E31" s="2">
        <f>MTC!I29</f>
        <v>8.1496124262087299</v>
      </c>
      <c r="F31" s="2">
        <f t="shared" si="0"/>
        <v>3371.4938542739983</v>
      </c>
      <c r="G31" s="2">
        <f t="shared" si="1"/>
        <v>0.22373941435527023</v>
      </c>
      <c r="H31" s="3">
        <f>E31*Lambda-D31</f>
        <v>288420.36855064851</v>
      </c>
      <c r="I31" s="3">
        <f>C31*Lambda-B31</f>
        <v>280604.89168715896</v>
      </c>
      <c r="J31">
        <f t="shared" si="2"/>
        <v>1</v>
      </c>
      <c r="M31">
        <v>2700</v>
      </c>
      <c r="N31">
        <v>6.0000000000000001E-3</v>
      </c>
      <c r="O31">
        <v>0.99399999999999999</v>
      </c>
    </row>
    <row r="32" spans="1:15" x14ac:dyDescent="0.25">
      <c r="A32">
        <v>29</v>
      </c>
      <c r="B32" s="3">
        <f>NoMTC!K30</f>
        <v>98690.947340457395</v>
      </c>
      <c r="C32" s="2">
        <f>NoMTC!I30</f>
        <v>6.2600021134513799</v>
      </c>
      <c r="D32" s="3">
        <f>MTC!K30</f>
        <v>102909.429320152</v>
      </c>
      <c r="E32" s="2">
        <f>MTC!I30</f>
        <v>6.5239554862304301</v>
      </c>
      <c r="F32" s="2">
        <f t="shared" si="0"/>
        <v>4218.4819796946103</v>
      </c>
      <c r="G32" s="2">
        <f t="shared" si="1"/>
        <v>0.26395337277905018</v>
      </c>
      <c r="H32" s="3">
        <f>E32*Lambda-D32</f>
        <v>223288.34499136949</v>
      </c>
      <c r="I32" s="3">
        <f>C32*Lambda-B32</f>
        <v>214309.1583321116</v>
      </c>
      <c r="J32">
        <f t="shared" si="2"/>
        <v>1</v>
      </c>
      <c r="M32">
        <v>2800</v>
      </c>
      <c r="N32">
        <v>6.0000000000000001E-3</v>
      </c>
      <c r="O32">
        <v>0.99399999999999999</v>
      </c>
    </row>
    <row r="33" spans="1:15" x14ac:dyDescent="0.25">
      <c r="A33">
        <v>30</v>
      </c>
      <c r="B33" s="3">
        <f>NoMTC!K31</f>
        <v>109314.959009807</v>
      </c>
      <c r="C33" s="2">
        <f>NoMTC!I31</f>
        <v>7.7883006076900303</v>
      </c>
      <c r="D33" s="3">
        <f>MTC!K31</f>
        <v>113758.489887813</v>
      </c>
      <c r="E33" s="2">
        <f>MTC!I31</f>
        <v>8.0957788210166601</v>
      </c>
      <c r="F33" s="2">
        <f t="shared" si="0"/>
        <v>4443.5308780060004</v>
      </c>
      <c r="G33" s="2">
        <f t="shared" si="1"/>
        <v>0.30747821332662983</v>
      </c>
      <c r="H33" s="3">
        <f>E33*Lambda-D33</f>
        <v>291030.45116302004</v>
      </c>
      <c r="I33" s="3">
        <f>C33*Lambda-B33</f>
        <v>280100.07137469447</v>
      </c>
      <c r="J33">
        <f t="shared" si="2"/>
        <v>1</v>
      </c>
      <c r="M33">
        <v>2900</v>
      </c>
      <c r="N33">
        <v>6.0000000000000001E-3</v>
      </c>
      <c r="O33">
        <v>0.99399999999999999</v>
      </c>
    </row>
    <row r="34" spans="1:15" x14ac:dyDescent="0.25">
      <c r="A34">
        <v>31</v>
      </c>
      <c r="B34" s="3">
        <f>NoMTC!K32</f>
        <v>134796.86901801301</v>
      </c>
      <c r="C34" s="2">
        <f>NoMTC!I32</f>
        <v>8.5093135286556194</v>
      </c>
      <c r="D34" s="3">
        <f>MTC!K32</f>
        <v>142310.81726932101</v>
      </c>
      <c r="E34" s="2">
        <f>MTC!I32</f>
        <v>8.9432119237354701</v>
      </c>
      <c r="F34" s="2">
        <f t="shared" si="0"/>
        <v>7513.9482513080002</v>
      </c>
      <c r="G34" s="2">
        <f t="shared" si="1"/>
        <v>0.43389839507985073</v>
      </c>
      <c r="H34" s="3">
        <f>E34*Lambda-D34</f>
        <v>304849.7789174525</v>
      </c>
      <c r="I34" s="3">
        <f>C34*Lambda-B34</f>
        <v>290668.80741476797</v>
      </c>
      <c r="J34">
        <f t="shared" si="2"/>
        <v>1</v>
      </c>
      <c r="M34">
        <v>3000</v>
      </c>
      <c r="N34">
        <v>6.0000000000000001E-3</v>
      </c>
      <c r="O34">
        <v>0.99399999999999999</v>
      </c>
    </row>
    <row r="35" spans="1:15" x14ac:dyDescent="0.25">
      <c r="A35">
        <v>32</v>
      </c>
      <c r="B35" s="3">
        <f>NoMTC!K33</f>
        <v>102360.697812183</v>
      </c>
      <c r="C35" s="2">
        <f>NoMTC!I33</f>
        <v>6.5402613176126003</v>
      </c>
      <c r="D35" s="3">
        <f>MTC!K33</f>
        <v>105825.394316843</v>
      </c>
      <c r="E35" s="2">
        <f>MTC!I33</f>
        <v>6.7738380115680101</v>
      </c>
      <c r="F35" s="2">
        <f t="shared" si="0"/>
        <v>3464.6965046599944</v>
      </c>
      <c r="G35" s="2">
        <f t="shared" si="1"/>
        <v>0.23357669395540981</v>
      </c>
      <c r="H35" s="3">
        <f>E35*Lambda-D35</f>
        <v>232866.50626155752</v>
      </c>
      <c r="I35" s="3">
        <f>C35*Lambda-B35</f>
        <v>224652.36806844699</v>
      </c>
      <c r="J35">
        <f t="shared" si="2"/>
        <v>1</v>
      </c>
      <c r="M35">
        <v>3100</v>
      </c>
      <c r="N35">
        <v>6.0000000000000001E-3</v>
      </c>
      <c r="O35">
        <v>0.99399999999999999</v>
      </c>
    </row>
    <row r="36" spans="1:15" x14ac:dyDescent="0.25">
      <c r="A36">
        <v>33</v>
      </c>
      <c r="B36" s="3">
        <f>NoMTC!K34</f>
        <v>101455.311670005</v>
      </c>
      <c r="C36" s="2">
        <f>NoMTC!I34</f>
        <v>8.3390028905276292</v>
      </c>
      <c r="D36" s="3">
        <f>MTC!K34</f>
        <v>108991.677372506</v>
      </c>
      <c r="E36" s="2">
        <f>MTC!I34</f>
        <v>8.9617455051268209</v>
      </c>
      <c r="F36" s="2">
        <f t="shared" si="0"/>
        <v>7536.3657025010034</v>
      </c>
      <c r="G36" s="2">
        <f t="shared" si="1"/>
        <v>0.62274261459919167</v>
      </c>
      <c r="H36" s="3">
        <f>E36*Lambda-D36</f>
        <v>339095.59788383503</v>
      </c>
      <c r="I36" s="3">
        <f>C36*Lambda-B36</f>
        <v>315494.83285637642</v>
      </c>
      <c r="J36">
        <f t="shared" si="2"/>
        <v>1</v>
      </c>
      <c r="M36">
        <v>3200</v>
      </c>
      <c r="N36">
        <v>6.0000000000000001E-3</v>
      </c>
      <c r="O36">
        <v>0.99399999999999999</v>
      </c>
    </row>
    <row r="37" spans="1:15" x14ac:dyDescent="0.25">
      <c r="A37">
        <v>34</v>
      </c>
      <c r="B37" s="3">
        <f>NoMTC!K35</f>
        <v>153038.50026862201</v>
      </c>
      <c r="C37" s="2">
        <f>NoMTC!I35</f>
        <v>8.7820015148803101</v>
      </c>
      <c r="D37" s="3">
        <f>MTC!K35</f>
        <v>159627.59610242199</v>
      </c>
      <c r="E37" s="2">
        <f>MTC!I35</f>
        <v>9.1365077177090495</v>
      </c>
      <c r="F37" s="2">
        <f t="shared" si="0"/>
        <v>6589.0958337999764</v>
      </c>
      <c r="G37" s="2">
        <f t="shared" si="1"/>
        <v>0.35450620282873935</v>
      </c>
      <c r="H37" s="3">
        <f>E37*Lambda-D37</f>
        <v>297197.78978303046</v>
      </c>
      <c r="I37" s="3">
        <f>C37*Lambda-B37</f>
        <v>286061.5754753935</v>
      </c>
      <c r="J37">
        <f t="shared" si="2"/>
        <v>1</v>
      </c>
      <c r="M37">
        <v>3300</v>
      </c>
      <c r="N37">
        <v>6.0000000000000001E-3</v>
      </c>
      <c r="O37">
        <v>0.99399999999999999</v>
      </c>
    </row>
    <row r="38" spans="1:15" x14ac:dyDescent="0.25">
      <c r="A38">
        <v>35</v>
      </c>
      <c r="B38" s="3">
        <f>NoMTC!K36</f>
        <v>97628.794437955905</v>
      </c>
      <c r="C38" s="2">
        <f>NoMTC!I36</f>
        <v>8.6018122212132297</v>
      </c>
      <c r="D38" s="3">
        <f>MTC!K36</f>
        <v>105153.200933562</v>
      </c>
      <c r="E38" s="2">
        <f>MTC!I36</f>
        <v>9.2060079188694992</v>
      </c>
      <c r="F38" s="2">
        <f t="shared" si="0"/>
        <v>7524.4064956060902</v>
      </c>
      <c r="G38" s="2">
        <f t="shared" si="1"/>
        <v>0.60419569765626946</v>
      </c>
      <c r="H38" s="3">
        <f>E38*Lambda-D38</f>
        <v>355147.19500991295</v>
      </c>
      <c r="I38" s="3">
        <f>C38*Lambda-B38</f>
        <v>332461.81662270561</v>
      </c>
      <c r="J38">
        <f t="shared" si="2"/>
        <v>1</v>
      </c>
      <c r="M38">
        <v>3400</v>
      </c>
      <c r="N38">
        <v>6.0000000000000001E-3</v>
      </c>
      <c r="O38">
        <v>0.99399999999999999</v>
      </c>
    </row>
    <row r="39" spans="1:15" x14ac:dyDescent="0.25">
      <c r="A39">
        <v>36</v>
      </c>
      <c r="B39" s="3">
        <f>NoMTC!K37</f>
        <v>131114.46867427201</v>
      </c>
      <c r="C39" s="2">
        <f>NoMTC!I37</f>
        <v>8.3505698362098997</v>
      </c>
      <c r="D39" s="3">
        <f>MTC!K37</f>
        <v>137529.73375165899</v>
      </c>
      <c r="E39" s="2">
        <f>MTC!I37</f>
        <v>8.7442393846439099</v>
      </c>
      <c r="F39" s="2">
        <f t="shared" si="0"/>
        <v>6415.2650773869827</v>
      </c>
      <c r="G39" s="2">
        <f t="shared" si="1"/>
        <v>0.39366954843401025</v>
      </c>
      <c r="H39" s="3">
        <f>E39*Lambda-D39</f>
        <v>299682.23548053653</v>
      </c>
      <c r="I39" s="3">
        <f>C39*Lambda-B39</f>
        <v>286414.02313622297</v>
      </c>
      <c r="J39">
        <f t="shared" si="2"/>
        <v>1</v>
      </c>
      <c r="M39">
        <v>3500</v>
      </c>
      <c r="N39">
        <v>6.0000000000000001E-3</v>
      </c>
      <c r="O39">
        <v>0.99399999999999999</v>
      </c>
    </row>
    <row r="40" spans="1:15" x14ac:dyDescent="0.25">
      <c r="A40">
        <v>37</v>
      </c>
      <c r="B40" s="3">
        <f>NoMTC!K38</f>
        <v>128182.963294473</v>
      </c>
      <c r="C40" s="2">
        <f>NoMTC!I38</f>
        <v>9.1417923809147599</v>
      </c>
      <c r="D40" s="3">
        <f>MTC!K38</f>
        <v>136043.60720037401</v>
      </c>
      <c r="E40" s="2">
        <f>MTC!I38</f>
        <v>9.68334033147298</v>
      </c>
      <c r="F40" s="2">
        <f t="shared" si="0"/>
        <v>7860.6439059010154</v>
      </c>
      <c r="G40" s="2">
        <f t="shared" si="1"/>
        <v>0.54154795055822014</v>
      </c>
      <c r="H40" s="3">
        <f>E40*Lambda-D40</f>
        <v>348123.409373275</v>
      </c>
      <c r="I40" s="3">
        <f>C40*Lambda-B40</f>
        <v>328906.655751265</v>
      </c>
      <c r="J40">
        <f t="shared" si="2"/>
        <v>1</v>
      </c>
      <c r="M40">
        <v>3600</v>
      </c>
      <c r="N40">
        <v>6.0000000000000001E-3</v>
      </c>
      <c r="O40">
        <v>0.99399999999999999</v>
      </c>
    </row>
    <row r="41" spans="1:15" x14ac:dyDescent="0.25">
      <c r="A41">
        <v>38</v>
      </c>
      <c r="B41" s="3">
        <f>NoMTC!K39</f>
        <v>134865.02467325301</v>
      </c>
      <c r="C41" s="2">
        <f>NoMTC!I39</f>
        <v>7.9305275656690704</v>
      </c>
      <c r="D41" s="3">
        <f>MTC!K39</f>
        <v>141136.180941642</v>
      </c>
      <c r="E41" s="2">
        <f>MTC!I39</f>
        <v>8.2979360553007595</v>
      </c>
      <c r="F41" s="2">
        <f t="shared" si="0"/>
        <v>6271.1562683889933</v>
      </c>
      <c r="G41" s="2">
        <f t="shared" si="1"/>
        <v>0.36740848963168915</v>
      </c>
      <c r="H41" s="3">
        <f>E41*Lambda-D41</f>
        <v>273760.62182339595</v>
      </c>
      <c r="I41" s="3">
        <f>C41*Lambda-B41</f>
        <v>261661.35361020052</v>
      </c>
      <c r="J41">
        <f t="shared" si="2"/>
        <v>1</v>
      </c>
      <c r="M41">
        <v>3700</v>
      </c>
      <c r="N41">
        <v>6.0000000000000001E-3</v>
      </c>
      <c r="O41">
        <v>0.99399999999999999</v>
      </c>
    </row>
    <row r="42" spans="1:15" x14ac:dyDescent="0.25">
      <c r="A42">
        <v>39</v>
      </c>
      <c r="B42" s="3">
        <f>NoMTC!K40</f>
        <v>104087.183111066</v>
      </c>
      <c r="C42" s="2">
        <f>NoMTC!I40</f>
        <v>6.7334919657015702</v>
      </c>
      <c r="D42" s="3">
        <f>MTC!K40</f>
        <v>107820.21306251999</v>
      </c>
      <c r="E42" s="2">
        <f>MTC!I40</f>
        <v>6.9745972356947803</v>
      </c>
      <c r="F42" s="2">
        <f t="shared" si="0"/>
        <v>3733.0299514539947</v>
      </c>
      <c r="G42" s="2">
        <f t="shared" si="1"/>
        <v>0.24110526999321014</v>
      </c>
      <c r="H42" s="3">
        <f>E42*Lambda-D42</f>
        <v>240909.64872221902</v>
      </c>
      <c r="I42" s="3">
        <f>C42*Lambda-B42</f>
        <v>232587.41517401254</v>
      </c>
      <c r="J42">
        <f t="shared" si="2"/>
        <v>1</v>
      </c>
      <c r="M42">
        <v>3800</v>
      </c>
      <c r="N42">
        <v>6.0000000000000001E-3</v>
      </c>
      <c r="O42">
        <v>0.99399999999999999</v>
      </c>
    </row>
    <row r="43" spans="1:15" x14ac:dyDescent="0.25">
      <c r="A43">
        <v>40</v>
      </c>
      <c r="B43" s="3">
        <f>NoMTC!K41</f>
        <v>180813.664679487</v>
      </c>
      <c r="C43" s="2">
        <f>NoMTC!I41</f>
        <v>8.3337005047628807</v>
      </c>
      <c r="D43" s="3">
        <f>MTC!K41</f>
        <v>185494.75916565201</v>
      </c>
      <c r="E43" s="2">
        <f>MTC!I41</f>
        <v>8.54193415926078</v>
      </c>
      <c r="F43" s="2">
        <f t="shared" si="0"/>
        <v>4681.0944861650059</v>
      </c>
      <c r="G43" s="2">
        <f t="shared" si="1"/>
        <v>0.20823365449789932</v>
      </c>
      <c r="H43" s="3">
        <f>E43*Lambda-D43</f>
        <v>241601.94879738698</v>
      </c>
      <c r="I43" s="3">
        <f>C43*Lambda-B43</f>
        <v>235871.36055865703</v>
      </c>
      <c r="J43">
        <f t="shared" si="2"/>
        <v>1</v>
      </c>
      <c r="M43">
        <v>3900</v>
      </c>
      <c r="N43">
        <v>6.0000000000000001E-3</v>
      </c>
      <c r="O43">
        <v>0.99399999999999999</v>
      </c>
    </row>
    <row r="44" spans="1:15" x14ac:dyDescent="0.25">
      <c r="A44">
        <v>41</v>
      </c>
      <c r="B44" s="3">
        <f>NoMTC!K42</f>
        <v>90938.829085085206</v>
      </c>
      <c r="C44" s="2">
        <f>NoMTC!I42</f>
        <v>7.5837255749771</v>
      </c>
      <c r="D44" s="3">
        <f>MTC!K42</f>
        <v>93992.942893219195</v>
      </c>
      <c r="E44" s="2">
        <f>MTC!I42</f>
        <v>7.89681404982188</v>
      </c>
      <c r="F44" s="2">
        <f t="shared" si="0"/>
        <v>3054.1138081339886</v>
      </c>
      <c r="G44" s="2">
        <f t="shared" si="1"/>
        <v>0.31308847484477997</v>
      </c>
      <c r="H44" s="3">
        <f>E44*Lambda-D44</f>
        <v>300847.75959787483</v>
      </c>
      <c r="I44" s="3">
        <f>C44*Lambda-B44</f>
        <v>288247.4496637698</v>
      </c>
      <c r="J44">
        <f t="shared" si="2"/>
        <v>1</v>
      </c>
      <c r="M44">
        <v>4000</v>
      </c>
      <c r="N44">
        <v>6.0000000000000001E-3</v>
      </c>
      <c r="O44">
        <v>0.99399999999999999</v>
      </c>
    </row>
    <row r="45" spans="1:15" x14ac:dyDescent="0.25">
      <c r="A45">
        <v>42</v>
      </c>
      <c r="B45" s="3">
        <f>NoMTC!K43</f>
        <v>91308.141207028704</v>
      </c>
      <c r="C45" s="2">
        <f>NoMTC!I43</f>
        <v>7.5598270811628803</v>
      </c>
      <c r="D45" s="3">
        <f>MTC!K43</f>
        <v>96089.108303046902</v>
      </c>
      <c r="E45" s="2">
        <f>MTC!I43</f>
        <v>7.9806961467578201</v>
      </c>
      <c r="F45" s="2">
        <f t="shared" si="0"/>
        <v>4780.9670960181975</v>
      </c>
      <c r="G45" s="2">
        <f t="shared" si="1"/>
        <v>0.42086906559493986</v>
      </c>
      <c r="H45" s="3">
        <f>E45*Lambda-D45</f>
        <v>302945.69903484412</v>
      </c>
      <c r="I45" s="3">
        <f>C45*Lambda-B45</f>
        <v>286683.21285111533</v>
      </c>
      <c r="J45">
        <f t="shared" si="2"/>
        <v>1</v>
      </c>
      <c r="M45">
        <v>4100</v>
      </c>
      <c r="N45">
        <v>6.0000000000000001E-3</v>
      </c>
      <c r="O45">
        <v>0.99399999999999999</v>
      </c>
    </row>
    <row r="46" spans="1:15" x14ac:dyDescent="0.25">
      <c r="A46">
        <v>43</v>
      </c>
      <c r="B46" s="3">
        <f>NoMTC!K44</f>
        <v>143879.89647369299</v>
      </c>
      <c r="C46" s="2">
        <f>NoMTC!I44</f>
        <v>7.9126231572484196</v>
      </c>
      <c r="D46" s="3">
        <f>MTC!K44</f>
        <v>152693.90301164601</v>
      </c>
      <c r="E46" s="2">
        <f>MTC!I44</f>
        <v>8.3755578331902107</v>
      </c>
      <c r="F46" s="2">
        <f t="shared" si="0"/>
        <v>8814.0065379530133</v>
      </c>
      <c r="G46" s="2">
        <f t="shared" si="1"/>
        <v>0.46293467594179116</v>
      </c>
      <c r="H46" s="3">
        <f>E46*Lambda-D46</f>
        <v>266083.98864786455</v>
      </c>
      <c r="I46" s="3">
        <f>C46*Lambda-B46</f>
        <v>251751.26138872796</v>
      </c>
      <c r="J46">
        <f t="shared" si="2"/>
        <v>1</v>
      </c>
      <c r="M46">
        <v>4200</v>
      </c>
      <c r="N46">
        <v>6.0000000000000001E-3</v>
      </c>
      <c r="O46">
        <v>0.99399999999999999</v>
      </c>
    </row>
    <row r="47" spans="1:15" x14ac:dyDescent="0.25">
      <c r="A47">
        <v>44</v>
      </c>
      <c r="B47" s="3">
        <f>NoMTC!K45</f>
        <v>91288.769533044193</v>
      </c>
      <c r="C47" s="2">
        <f>NoMTC!I45</f>
        <v>7.7422517467352696</v>
      </c>
      <c r="D47" s="3">
        <f>MTC!K45</f>
        <v>98932.850087106606</v>
      </c>
      <c r="E47" s="2">
        <f>MTC!I45</f>
        <v>8.3839124238170406</v>
      </c>
      <c r="F47" s="2">
        <f t="shared" si="0"/>
        <v>7644.0805540624133</v>
      </c>
      <c r="G47" s="2">
        <f t="shared" si="1"/>
        <v>0.64166067708177099</v>
      </c>
      <c r="H47" s="3">
        <f>E47*Lambda-D47</f>
        <v>320262.77110374544</v>
      </c>
      <c r="I47" s="3">
        <f>C47*Lambda-B47</f>
        <v>295823.81780371931</v>
      </c>
      <c r="J47">
        <f t="shared" si="2"/>
        <v>1</v>
      </c>
      <c r="M47">
        <v>4300</v>
      </c>
      <c r="N47">
        <v>6.0000000000000001E-3</v>
      </c>
      <c r="O47">
        <v>0.99399999999999999</v>
      </c>
    </row>
    <row r="48" spans="1:15" x14ac:dyDescent="0.25">
      <c r="A48">
        <v>45</v>
      </c>
      <c r="B48" s="3">
        <f>NoMTC!K46</f>
        <v>111773.449635824</v>
      </c>
      <c r="C48" s="2">
        <f>NoMTC!I46</f>
        <v>8.0026213260115604</v>
      </c>
      <c r="D48" s="3">
        <f>MTC!K46</f>
        <v>117968.488127965</v>
      </c>
      <c r="E48" s="2">
        <f>MTC!I46</f>
        <v>8.4209899854998493</v>
      </c>
      <c r="F48" s="2">
        <f t="shared" si="0"/>
        <v>6195.0384921410005</v>
      </c>
      <c r="G48" s="2">
        <f t="shared" si="1"/>
        <v>0.41836865948828894</v>
      </c>
      <c r="H48" s="3">
        <f>E48*Lambda-D48</f>
        <v>303081.01114702743</v>
      </c>
      <c r="I48" s="3">
        <f>C48*Lambda-B48</f>
        <v>288357.61666475399</v>
      </c>
      <c r="J48">
        <f t="shared" si="2"/>
        <v>1</v>
      </c>
      <c r="M48">
        <v>4400</v>
      </c>
      <c r="N48">
        <v>6.0000000000000001E-3</v>
      </c>
      <c r="O48">
        <v>0.99399999999999999</v>
      </c>
    </row>
    <row r="49" spans="1:15" x14ac:dyDescent="0.25">
      <c r="A49">
        <v>46</v>
      </c>
      <c r="B49" s="3">
        <f>NoMTC!K47</f>
        <v>110162.82745461899</v>
      </c>
      <c r="C49" s="2">
        <f>NoMTC!I47</f>
        <v>8.2087456123328799</v>
      </c>
      <c r="D49" s="3">
        <f>MTC!K47</f>
        <v>114977.601054623</v>
      </c>
      <c r="E49" s="2">
        <f>MTC!I47</f>
        <v>8.5566822891697498</v>
      </c>
      <c r="F49" s="2">
        <f t="shared" si="0"/>
        <v>4814.7736000040022</v>
      </c>
      <c r="G49" s="2">
        <f t="shared" si="1"/>
        <v>0.34793667683686991</v>
      </c>
      <c r="H49" s="3">
        <f>E49*Lambda-D49</f>
        <v>312856.51340386446</v>
      </c>
      <c r="I49" s="3">
        <f>C49*Lambda-B49</f>
        <v>300274.45316202502</v>
      </c>
      <c r="J49">
        <f t="shared" si="2"/>
        <v>1</v>
      </c>
      <c r="M49">
        <v>4500</v>
      </c>
      <c r="N49">
        <v>6.0000000000000001E-3</v>
      </c>
      <c r="O49">
        <v>0.99399999999999999</v>
      </c>
    </row>
    <row r="50" spans="1:15" x14ac:dyDescent="0.25">
      <c r="A50">
        <v>47</v>
      </c>
      <c r="B50" s="3">
        <f>NoMTC!K48</f>
        <v>128988.318830737</v>
      </c>
      <c r="C50" s="2">
        <f>NoMTC!I48</f>
        <v>8.4375131857521808</v>
      </c>
      <c r="D50" s="3">
        <f>MTC!K48</f>
        <v>133822.78231513099</v>
      </c>
      <c r="E50" s="2">
        <f>MTC!I48</f>
        <v>8.7673056578645294</v>
      </c>
      <c r="F50" s="2">
        <f t="shared" si="0"/>
        <v>4834.4634843939857</v>
      </c>
      <c r="G50" s="2">
        <f t="shared" si="1"/>
        <v>0.32979247211234863</v>
      </c>
      <c r="H50" s="3">
        <f>E50*Lambda-D50</f>
        <v>304542.5005780955</v>
      </c>
      <c r="I50" s="3">
        <f>C50*Lambda-B50</f>
        <v>292887.34045687201</v>
      </c>
      <c r="J50">
        <f t="shared" si="2"/>
        <v>1</v>
      </c>
      <c r="M50">
        <v>4600</v>
      </c>
      <c r="N50">
        <v>6.0000000000000001E-3</v>
      </c>
      <c r="O50">
        <v>0.99399999999999999</v>
      </c>
    </row>
    <row r="51" spans="1:15" x14ac:dyDescent="0.25">
      <c r="A51">
        <v>48</v>
      </c>
      <c r="B51" s="3">
        <f>NoMTC!K49</f>
        <v>122163.926756056</v>
      </c>
      <c r="C51" s="2">
        <f>NoMTC!I49</f>
        <v>9.3273708502810795</v>
      </c>
      <c r="D51" s="3">
        <f>MTC!K49</f>
        <v>128996.860437608</v>
      </c>
      <c r="E51" s="2">
        <f>MTC!I49</f>
        <v>9.8545545766416094</v>
      </c>
      <c r="F51" s="2">
        <f t="shared" si="0"/>
        <v>6832.9336815520073</v>
      </c>
      <c r="G51" s="2">
        <f t="shared" si="1"/>
        <v>0.5271837263605299</v>
      </c>
      <c r="H51" s="3">
        <f>E51*Lambda-D51</f>
        <v>363730.86839447252</v>
      </c>
      <c r="I51" s="3">
        <f>C51*Lambda-B51</f>
        <v>344204.61575799796</v>
      </c>
      <c r="J51">
        <f t="shared" si="2"/>
        <v>1</v>
      </c>
      <c r="M51">
        <v>4700</v>
      </c>
      <c r="N51">
        <v>6.0000000000000001E-3</v>
      </c>
      <c r="O51">
        <v>0.99399999999999999</v>
      </c>
    </row>
    <row r="52" spans="1:15" x14ac:dyDescent="0.25">
      <c r="A52">
        <v>49</v>
      </c>
      <c r="B52" s="3">
        <f>NoMTC!K50</f>
        <v>85700.7664756343</v>
      </c>
      <c r="C52" s="2">
        <f>NoMTC!I50</f>
        <v>7.28241753957942</v>
      </c>
      <c r="D52" s="3">
        <f>MTC!K50</f>
        <v>91444.837881444793</v>
      </c>
      <c r="E52" s="2">
        <f>MTC!I50</f>
        <v>7.7643601115549297</v>
      </c>
      <c r="F52" s="2">
        <f t="shared" si="0"/>
        <v>5744.0714058104932</v>
      </c>
      <c r="G52" s="2">
        <f t="shared" si="1"/>
        <v>0.48194257197550971</v>
      </c>
      <c r="H52" s="3">
        <f>E52*Lambda-D52</f>
        <v>296773.16769630171</v>
      </c>
      <c r="I52" s="3">
        <f>C52*Lambda-B52</f>
        <v>278420.11050333671</v>
      </c>
      <c r="J52">
        <f t="shared" si="2"/>
        <v>1</v>
      </c>
      <c r="M52">
        <v>4800</v>
      </c>
      <c r="N52">
        <v>6.0000000000000001E-3</v>
      </c>
      <c r="O52">
        <v>0.99399999999999999</v>
      </c>
    </row>
    <row r="53" spans="1:15" x14ac:dyDescent="0.25">
      <c r="A53">
        <v>50</v>
      </c>
      <c r="B53" s="3">
        <f>NoMTC!K51</f>
        <v>110148.7760427</v>
      </c>
      <c r="C53" s="2">
        <f>NoMTC!I51</f>
        <v>8.5709996374895994</v>
      </c>
      <c r="D53" s="3">
        <f>MTC!K51</f>
        <v>114850.10560626601</v>
      </c>
      <c r="E53" s="2">
        <f>MTC!I51</f>
        <v>8.9297618737587996</v>
      </c>
      <c r="F53" s="2">
        <f t="shared" si="0"/>
        <v>4701.3295635660033</v>
      </c>
      <c r="G53" s="2">
        <f t="shared" si="1"/>
        <v>0.35876223626920023</v>
      </c>
      <c r="H53" s="3">
        <f>E53*Lambda-D53</f>
        <v>331637.98808167398</v>
      </c>
      <c r="I53" s="3">
        <f>C53*Lambda-B53</f>
        <v>318401.20583177998</v>
      </c>
      <c r="J53">
        <f t="shared" si="2"/>
        <v>1</v>
      </c>
      <c r="M53">
        <v>4900</v>
      </c>
      <c r="N53">
        <v>6.0000000000000001E-3</v>
      </c>
      <c r="O53">
        <v>0.99399999999999999</v>
      </c>
    </row>
    <row r="54" spans="1:15" x14ac:dyDescent="0.25">
      <c r="A54">
        <v>51</v>
      </c>
      <c r="B54" s="3">
        <f>NoMTC!K52</f>
        <v>102169.739651207</v>
      </c>
      <c r="C54" s="2">
        <f>NoMTC!I52</f>
        <v>7.4138592741940803</v>
      </c>
      <c r="D54" s="3">
        <f>MTC!K52</f>
        <v>109581.60977471199</v>
      </c>
      <c r="E54" s="2">
        <f>MTC!I52</f>
        <v>7.9361925737931598</v>
      </c>
      <c r="F54" s="2">
        <f t="shared" si="0"/>
        <v>7411.8701235049957</v>
      </c>
      <c r="G54" s="2">
        <f t="shared" si="1"/>
        <v>0.52233329959907948</v>
      </c>
      <c r="H54" s="3">
        <f>E54*Lambda-D54</f>
        <v>287228.01891494601</v>
      </c>
      <c r="I54" s="3">
        <f>C54*Lambda-B54</f>
        <v>268523.224058497</v>
      </c>
      <c r="J54">
        <f t="shared" si="2"/>
        <v>1</v>
      </c>
      <c r="M54">
        <v>5000</v>
      </c>
      <c r="N54">
        <v>6.0000000000000001E-3</v>
      </c>
      <c r="O54">
        <v>0.99399999999999999</v>
      </c>
    </row>
    <row r="55" spans="1:15" x14ac:dyDescent="0.25">
      <c r="A55">
        <v>52</v>
      </c>
      <c r="B55" s="3">
        <f>NoMTC!K53</f>
        <v>116299.404807806</v>
      </c>
      <c r="C55" s="2">
        <f>NoMTC!I53</f>
        <v>7.6313830974143304</v>
      </c>
      <c r="D55" s="3">
        <f>MTC!K53</f>
        <v>122401.76465669301</v>
      </c>
      <c r="E55" s="2">
        <f>MTC!I53</f>
        <v>8.0208394272369503</v>
      </c>
      <c r="F55" s="2">
        <f t="shared" si="0"/>
        <v>6102.3598488870048</v>
      </c>
      <c r="G55" s="2">
        <f t="shared" si="1"/>
        <v>0.38945632982261991</v>
      </c>
      <c r="H55" s="3">
        <f>E55*Lambda-D55</f>
        <v>278640.2067051545</v>
      </c>
      <c r="I55" s="3">
        <f>C55*Lambda-B55</f>
        <v>265269.75006291049</v>
      </c>
      <c r="J55">
        <f t="shared" si="2"/>
        <v>1</v>
      </c>
      <c r="M55">
        <v>5100</v>
      </c>
      <c r="N55">
        <v>6.0000000000000001E-3</v>
      </c>
      <c r="O55">
        <v>0.99399999999999999</v>
      </c>
    </row>
    <row r="56" spans="1:15" x14ac:dyDescent="0.25">
      <c r="A56">
        <v>53</v>
      </c>
      <c r="B56" s="3">
        <f>NoMTC!K54</f>
        <v>126580.253598371</v>
      </c>
      <c r="C56" s="2">
        <f>NoMTC!I54</f>
        <v>8.7470303995825294</v>
      </c>
      <c r="D56" s="3">
        <f>MTC!K54</f>
        <v>134814.61696128501</v>
      </c>
      <c r="E56" s="2">
        <f>MTC!I54</f>
        <v>9.3004894799434208</v>
      </c>
      <c r="F56" s="2">
        <f t="shared" si="0"/>
        <v>8234.3633629140095</v>
      </c>
      <c r="G56" s="2">
        <f t="shared" si="1"/>
        <v>0.55345908036089142</v>
      </c>
      <c r="H56" s="3">
        <f>E56*Lambda-D56</f>
        <v>330209.85703588603</v>
      </c>
      <c r="I56" s="3">
        <f>C56*Lambda-B56</f>
        <v>310771.26638075546</v>
      </c>
      <c r="J56">
        <f t="shared" si="2"/>
        <v>1</v>
      </c>
      <c r="M56">
        <v>5200</v>
      </c>
      <c r="N56">
        <v>6.0000000000000001E-3</v>
      </c>
      <c r="O56">
        <v>0.99399999999999999</v>
      </c>
    </row>
    <row r="57" spans="1:15" x14ac:dyDescent="0.25">
      <c r="A57">
        <v>54</v>
      </c>
      <c r="B57" s="3">
        <f>NoMTC!K55</f>
        <v>85599.709118127095</v>
      </c>
      <c r="C57" s="2">
        <f>NoMTC!I55</f>
        <v>6.8561876993753899</v>
      </c>
      <c r="D57" s="3">
        <f>MTC!K55</f>
        <v>91438.807178416202</v>
      </c>
      <c r="E57" s="2">
        <f>MTC!I55</f>
        <v>7.3560679183164801</v>
      </c>
      <c r="F57" s="2">
        <f t="shared" si="0"/>
        <v>5839.0980602891068</v>
      </c>
      <c r="G57" s="2">
        <f t="shared" si="1"/>
        <v>0.49988021894109025</v>
      </c>
      <c r="H57" s="3">
        <f>E57*Lambda-D57</f>
        <v>276364.58873740782</v>
      </c>
      <c r="I57" s="3">
        <f>C57*Lambda-B57</f>
        <v>257209.67585064241</v>
      </c>
      <c r="J57">
        <f t="shared" si="2"/>
        <v>1</v>
      </c>
      <c r="M57">
        <v>5300</v>
      </c>
      <c r="N57">
        <v>6.0000000000000001E-3</v>
      </c>
      <c r="O57">
        <v>0.99399999999999999</v>
      </c>
    </row>
    <row r="58" spans="1:15" x14ac:dyDescent="0.25">
      <c r="A58">
        <v>55</v>
      </c>
      <c r="B58" s="3">
        <f>NoMTC!K56</f>
        <v>157700.946022241</v>
      </c>
      <c r="C58" s="2">
        <f>NoMTC!I56</f>
        <v>8.2258938613866892</v>
      </c>
      <c r="D58" s="3">
        <f>MTC!K56</f>
        <v>164328.42604852101</v>
      </c>
      <c r="E58" s="2">
        <f>MTC!I56</f>
        <v>8.5544768270666207</v>
      </c>
      <c r="F58" s="2">
        <f t="shared" si="0"/>
        <v>6627.4800262800127</v>
      </c>
      <c r="G58" s="2">
        <f t="shared" si="1"/>
        <v>0.3285829656799315</v>
      </c>
      <c r="H58" s="3">
        <f>E58*Lambda-D58</f>
        <v>263395.41530481004</v>
      </c>
      <c r="I58" s="3">
        <f>C58*Lambda-B58</f>
        <v>253593.74704709343</v>
      </c>
      <c r="J58">
        <f t="shared" si="2"/>
        <v>1</v>
      </c>
      <c r="M58">
        <v>5400</v>
      </c>
      <c r="N58">
        <v>6.0000000000000001E-3</v>
      </c>
      <c r="O58">
        <v>0.99399999999999999</v>
      </c>
    </row>
    <row r="59" spans="1:15" x14ac:dyDescent="0.25">
      <c r="A59">
        <v>56</v>
      </c>
      <c r="B59" s="3">
        <f>NoMTC!K57</f>
        <v>102487.70368649899</v>
      </c>
      <c r="C59" s="2">
        <f>NoMTC!I57</f>
        <v>7.3773672563600696</v>
      </c>
      <c r="D59" s="3">
        <f>MTC!K57</f>
        <v>108526.184160415</v>
      </c>
      <c r="E59" s="2">
        <f>MTC!I57</f>
        <v>7.7944105324350703</v>
      </c>
      <c r="F59" s="2">
        <f t="shared" si="0"/>
        <v>6038.4804739160027</v>
      </c>
      <c r="G59" s="2">
        <f t="shared" si="1"/>
        <v>0.41704327607500069</v>
      </c>
      <c r="H59" s="3">
        <f>E59*Lambda-D59</f>
        <v>281194.3424613385</v>
      </c>
      <c r="I59" s="3">
        <f>C59*Lambda-B59</f>
        <v>266380.65913150448</v>
      </c>
      <c r="J59">
        <f t="shared" si="2"/>
        <v>1</v>
      </c>
      <c r="M59">
        <v>5500</v>
      </c>
      <c r="N59">
        <v>6.0000000000000001E-3</v>
      </c>
      <c r="O59">
        <v>0.99399999999999999</v>
      </c>
    </row>
    <row r="60" spans="1:15" x14ac:dyDescent="0.25">
      <c r="A60">
        <v>57</v>
      </c>
      <c r="B60" s="3">
        <f>NoMTC!K58</f>
        <v>108078.376118646</v>
      </c>
      <c r="C60" s="2">
        <f>NoMTC!I58</f>
        <v>7.5221759207551999</v>
      </c>
      <c r="D60" s="3">
        <f>MTC!K58</f>
        <v>111384.80967674901</v>
      </c>
      <c r="E60" s="2">
        <f>MTC!I58</f>
        <v>7.7759285217584901</v>
      </c>
      <c r="F60" s="2">
        <f t="shared" si="0"/>
        <v>3306.4335581030027</v>
      </c>
      <c r="G60" s="2">
        <f t="shared" si="1"/>
        <v>0.25375260100329022</v>
      </c>
      <c r="H60" s="3">
        <f>E60*Lambda-D60</f>
        <v>277411.61641117552</v>
      </c>
      <c r="I60" s="3">
        <f>C60*Lambda-B60</f>
        <v>268030.41991911398</v>
      </c>
      <c r="J60">
        <f t="shared" si="2"/>
        <v>1</v>
      </c>
      <c r="M60">
        <v>5600</v>
      </c>
      <c r="N60">
        <v>6.0000000000000001E-3</v>
      </c>
      <c r="O60">
        <v>0.99399999999999999</v>
      </c>
    </row>
    <row r="61" spans="1:15" x14ac:dyDescent="0.25">
      <c r="A61">
        <v>58</v>
      </c>
      <c r="B61" s="3">
        <f>NoMTC!K59</f>
        <v>97939.465667288998</v>
      </c>
      <c r="C61" s="2">
        <f>NoMTC!I59</f>
        <v>7.42088259985512</v>
      </c>
      <c r="D61" s="3">
        <f>MTC!K59</f>
        <v>101118.58205086501</v>
      </c>
      <c r="E61" s="2">
        <f>MTC!I59</f>
        <v>7.6428586703914503</v>
      </c>
      <c r="F61" s="2">
        <f t="shared" si="0"/>
        <v>3179.116383576009</v>
      </c>
      <c r="G61" s="2">
        <f t="shared" si="1"/>
        <v>0.22197607053633028</v>
      </c>
      <c r="H61" s="3">
        <f>E61*Lambda-D61</f>
        <v>281024.35146870749</v>
      </c>
      <c r="I61" s="3">
        <f>C61*Lambda-B61</f>
        <v>273104.66432546702</v>
      </c>
      <c r="J61">
        <f t="shared" si="2"/>
        <v>1</v>
      </c>
      <c r="M61">
        <v>5700</v>
      </c>
      <c r="N61">
        <v>6.0000000000000001E-3</v>
      </c>
      <c r="O61">
        <v>0.99399999999999999</v>
      </c>
    </row>
    <row r="62" spans="1:15" x14ac:dyDescent="0.25">
      <c r="A62">
        <v>59</v>
      </c>
      <c r="B62" s="3">
        <f>NoMTC!K60</f>
        <v>92227.704655291294</v>
      </c>
      <c r="C62" s="2">
        <f>NoMTC!I60</f>
        <v>8.1657011672855795</v>
      </c>
      <c r="D62" s="3">
        <f>MTC!K60</f>
        <v>101472.073747756</v>
      </c>
      <c r="E62" s="2">
        <f>MTC!I60</f>
        <v>8.9826976394199605</v>
      </c>
      <c r="F62" s="2">
        <f t="shared" si="0"/>
        <v>9244.369092464709</v>
      </c>
      <c r="G62" s="2">
        <f t="shared" si="1"/>
        <v>0.81699647213438098</v>
      </c>
      <c r="H62" s="3">
        <f>E62*Lambda-D62</f>
        <v>347662.808223242</v>
      </c>
      <c r="I62" s="3">
        <f>C62*Lambda-B62</f>
        <v>316057.35370898771</v>
      </c>
      <c r="J62">
        <f t="shared" si="2"/>
        <v>1</v>
      </c>
      <c r="M62">
        <v>5800</v>
      </c>
      <c r="N62">
        <v>6.0000000000000001E-3</v>
      </c>
      <c r="O62">
        <v>0.99399999999999999</v>
      </c>
    </row>
    <row r="63" spans="1:15" x14ac:dyDescent="0.25">
      <c r="A63">
        <v>60</v>
      </c>
      <c r="B63" s="3">
        <f>NoMTC!K61</f>
        <v>113355.62644760001</v>
      </c>
      <c r="C63" s="2">
        <f>NoMTC!I61</f>
        <v>7.9569844564634904</v>
      </c>
      <c r="D63" s="3">
        <f>MTC!K61</f>
        <v>120719.926276187</v>
      </c>
      <c r="E63" s="2">
        <f>MTC!I61</f>
        <v>8.4801844124634105</v>
      </c>
      <c r="F63" s="2">
        <f t="shared" si="0"/>
        <v>7364.299828586998</v>
      </c>
      <c r="G63" s="2">
        <f t="shared" si="1"/>
        <v>0.52319995599992009</v>
      </c>
      <c r="H63" s="3">
        <f>E63*Lambda-D63</f>
        <v>303289.29434698354</v>
      </c>
      <c r="I63" s="3">
        <f>C63*Lambda-B63</f>
        <v>284493.59637557447</v>
      </c>
      <c r="J63">
        <f t="shared" si="2"/>
        <v>1</v>
      </c>
      <c r="M63">
        <v>5900</v>
      </c>
      <c r="N63">
        <v>6.0000000000000001E-3</v>
      </c>
      <c r="O63">
        <v>0.99399999999999999</v>
      </c>
    </row>
    <row r="64" spans="1:15" x14ac:dyDescent="0.25">
      <c r="A64">
        <v>61</v>
      </c>
      <c r="B64" s="3">
        <f>NoMTC!K62</f>
        <v>121775.64050457301</v>
      </c>
      <c r="C64" s="2">
        <f>NoMTC!I62</f>
        <v>7.6576342277383098</v>
      </c>
      <c r="D64" s="3">
        <f>MTC!K62</f>
        <v>132051.12860153199</v>
      </c>
      <c r="E64" s="2">
        <f>MTC!I62</f>
        <v>8.29992388510456</v>
      </c>
      <c r="F64" s="2">
        <f t="shared" si="0"/>
        <v>10275.488096958987</v>
      </c>
      <c r="G64" s="2">
        <f t="shared" si="1"/>
        <v>0.64228965736625021</v>
      </c>
      <c r="H64" s="3">
        <f>E64*Lambda-D64</f>
        <v>282945.06565369596</v>
      </c>
      <c r="I64" s="3">
        <f>C64*Lambda-B64</f>
        <v>261106.07088234246</v>
      </c>
      <c r="J64">
        <f t="shared" si="2"/>
        <v>1</v>
      </c>
      <c r="M64">
        <v>6000</v>
      </c>
      <c r="N64">
        <v>6.0000000000000001E-3</v>
      </c>
      <c r="O64">
        <v>0.99399999999999999</v>
      </c>
    </row>
    <row r="65" spans="1:15" x14ac:dyDescent="0.25">
      <c r="A65">
        <v>62</v>
      </c>
      <c r="B65" s="3">
        <f>NoMTC!K63</f>
        <v>129944.98366887801</v>
      </c>
      <c r="C65" s="2">
        <f>NoMTC!I63</f>
        <v>7.2556380650336996</v>
      </c>
      <c r="D65" s="3">
        <f>MTC!K63</f>
        <v>136164.84728652099</v>
      </c>
      <c r="E65" s="2">
        <f>MTC!I63</f>
        <v>7.5920458215604496</v>
      </c>
      <c r="F65" s="2">
        <f t="shared" si="0"/>
        <v>6219.8636176429864</v>
      </c>
      <c r="G65" s="2">
        <f t="shared" si="1"/>
        <v>0.33640775652675003</v>
      </c>
      <c r="H65" s="3">
        <f>E65*Lambda-D65</f>
        <v>243437.44379150152</v>
      </c>
      <c r="I65" s="3">
        <f>C65*Lambda-B65</f>
        <v>232836.91958280696</v>
      </c>
      <c r="J65">
        <f t="shared" si="2"/>
        <v>1</v>
      </c>
      <c r="M65">
        <v>6100</v>
      </c>
      <c r="N65">
        <v>6.0000000000000001E-3</v>
      </c>
      <c r="O65">
        <v>0.99399999999999999</v>
      </c>
    </row>
    <row r="66" spans="1:15" x14ac:dyDescent="0.25">
      <c r="A66">
        <v>63</v>
      </c>
      <c r="B66" s="3">
        <f>NoMTC!K64</f>
        <v>96734.831398788097</v>
      </c>
      <c r="C66" s="2">
        <f>NoMTC!I64</f>
        <v>6.9414074647197204</v>
      </c>
      <c r="D66" s="3">
        <f>MTC!K64</f>
        <v>103555.128259982</v>
      </c>
      <c r="E66" s="2">
        <f>MTC!I64</f>
        <v>7.4237207274116201</v>
      </c>
      <c r="F66" s="2">
        <f t="shared" si="0"/>
        <v>6820.2968611938995</v>
      </c>
      <c r="G66" s="2">
        <f t="shared" si="1"/>
        <v>0.48231326269189978</v>
      </c>
      <c r="H66" s="3">
        <f>E66*Lambda-D66</f>
        <v>267630.90811059903</v>
      </c>
      <c r="I66" s="3">
        <f>C66*Lambda-B66</f>
        <v>250335.54183719796</v>
      </c>
      <c r="J66">
        <f t="shared" si="2"/>
        <v>1</v>
      </c>
      <c r="M66">
        <v>6200</v>
      </c>
      <c r="N66">
        <v>6.0000000000000001E-3</v>
      </c>
      <c r="O66">
        <v>0.99399999999999999</v>
      </c>
    </row>
    <row r="67" spans="1:15" x14ac:dyDescent="0.25">
      <c r="A67">
        <v>64</v>
      </c>
      <c r="B67" s="3">
        <f>NoMTC!K65</f>
        <v>151963.26382434901</v>
      </c>
      <c r="C67" s="2">
        <f>NoMTC!I65</f>
        <v>7.2307975040005203</v>
      </c>
      <c r="D67" s="3">
        <f>MTC!K65</f>
        <v>157484.04138569799</v>
      </c>
      <c r="E67" s="2">
        <f>MTC!I65</f>
        <v>7.4871637875051897</v>
      </c>
      <c r="F67" s="2">
        <f t="shared" si="0"/>
        <v>5520.7775613489794</v>
      </c>
      <c r="G67" s="2">
        <f t="shared" si="1"/>
        <v>0.25636628350466939</v>
      </c>
      <c r="H67" s="3">
        <f>E67*Lambda-D67</f>
        <v>216874.14798956152</v>
      </c>
      <c r="I67" s="3">
        <f>C67*Lambda-B67</f>
        <v>209576.61137567702</v>
      </c>
      <c r="J67">
        <f t="shared" si="2"/>
        <v>1</v>
      </c>
      <c r="M67">
        <v>6300</v>
      </c>
      <c r="N67">
        <v>6.0000000000000001E-3</v>
      </c>
      <c r="O67">
        <v>0.99399999999999999</v>
      </c>
    </row>
    <row r="68" spans="1:15" x14ac:dyDescent="0.25">
      <c r="A68">
        <v>65</v>
      </c>
      <c r="B68" s="3">
        <f>NoMTC!K66</f>
        <v>142397.77910785799</v>
      </c>
      <c r="C68" s="2">
        <f>NoMTC!I66</f>
        <v>9.3321076244706695</v>
      </c>
      <c r="D68" s="3">
        <f>MTC!K66</f>
        <v>150111.47479855301</v>
      </c>
      <c r="E68" s="2">
        <f>MTC!I66</f>
        <v>9.8023792363202507</v>
      </c>
      <c r="F68" s="2">
        <f t="shared" si="0"/>
        <v>7713.6956906950218</v>
      </c>
      <c r="G68" s="2">
        <f t="shared" si="1"/>
        <v>0.47027161184958111</v>
      </c>
      <c r="H68" s="3">
        <f>E68*Lambda-D68</f>
        <v>340007.48701745947</v>
      </c>
      <c r="I68" s="3">
        <f>C68*Lambda-B68</f>
        <v>324207.60211567546</v>
      </c>
      <c r="J68">
        <f t="shared" si="2"/>
        <v>1</v>
      </c>
      <c r="M68">
        <v>6400</v>
      </c>
      <c r="N68">
        <v>6.0000000000000001E-3</v>
      </c>
      <c r="O68">
        <v>0.99399999999999999</v>
      </c>
    </row>
    <row r="69" spans="1:15" x14ac:dyDescent="0.25">
      <c r="A69">
        <v>66</v>
      </c>
      <c r="B69" s="3">
        <f>NoMTC!K67</f>
        <v>154037.81024348701</v>
      </c>
      <c r="C69" s="2">
        <f>NoMTC!I67</f>
        <v>6.9785964835108798</v>
      </c>
      <c r="D69" s="3">
        <f>MTC!K67</f>
        <v>160432.62720479001</v>
      </c>
      <c r="E69" s="2">
        <f>MTC!I67</f>
        <v>7.2649286079406501</v>
      </c>
      <c r="F69" s="2">
        <f t="shared" ref="F69:F132" si="3">D69-B69</f>
        <v>6394.8169613030041</v>
      </c>
      <c r="G69" s="2">
        <f t="shared" ref="G69:G132" si="4">E69-C69</f>
        <v>0.2863321244297703</v>
      </c>
      <c r="H69" s="3">
        <f>E69*Lambda-D69</f>
        <v>202813.80319224251</v>
      </c>
      <c r="I69" s="3">
        <f>C69*Lambda-B69</f>
        <v>194892.01393205696</v>
      </c>
      <c r="J69">
        <f t="shared" ref="J69:J132" si="5">IF(H69=MAX(H69:I69),1,0)</f>
        <v>1</v>
      </c>
      <c r="M69">
        <v>6500</v>
      </c>
      <c r="N69">
        <v>6.0000000000000001E-3</v>
      </c>
      <c r="O69">
        <v>0.99399999999999999</v>
      </c>
    </row>
    <row r="70" spans="1:15" x14ac:dyDescent="0.25">
      <c r="A70">
        <v>67</v>
      </c>
      <c r="B70" s="3">
        <f>NoMTC!K68</f>
        <v>113967.425599346</v>
      </c>
      <c r="C70" s="2">
        <f>NoMTC!I68</f>
        <v>7.7904413729039499</v>
      </c>
      <c r="D70" s="3">
        <f>MTC!K68</f>
        <v>118346.487840699</v>
      </c>
      <c r="E70" s="2">
        <f>MTC!I68</f>
        <v>8.0842495013378493</v>
      </c>
      <c r="F70" s="2">
        <f t="shared" si="3"/>
        <v>4379.0622413530073</v>
      </c>
      <c r="G70" s="2">
        <f t="shared" si="4"/>
        <v>0.29380812843389936</v>
      </c>
      <c r="H70" s="3">
        <f>E70*Lambda-D70</f>
        <v>285865.98722619342</v>
      </c>
      <c r="I70" s="3">
        <f>C70*Lambda-B70</f>
        <v>275554.6430458515</v>
      </c>
      <c r="J70">
        <f t="shared" si="5"/>
        <v>1</v>
      </c>
      <c r="M70">
        <v>6600</v>
      </c>
      <c r="N70">
        <v>6.0000000000000001E-3</v>
      </c>
      <c r="O70">
        <v>0.99399999999999999</v>
      </c>
    </row>
    <row r="71" spans="1:15" x14ac:dyDescent="0.25">
      <c r="A71">
        <v>68</v>
      </c>
      <c r="B71" s="3">
        <f>NoMTC!K69</f>
        <v>120645.67188921401</v>
      </c>
      <c r="C71" s="2">
        <f>NoMTC!I69</f>
        <v>8.2107437736350306</v>
      </c>
      <c r="D71" s="3">
        <f>MTC!K69</f>
        <v>128872.801761799</v>
      </c>
      <c r="E71" s="2">
        <f>MTC!I69</f>
        <v>8.7789760381754807</v>
      </c>
      <c r="F71" s="2">
        <f t="shared" si="3"/>
        <v>8227.129872584992</v>
      </c>
      <c r="G71" s="2">
        <f t="shared" si="4"/>
        <v>0.56823226454045006</v>
      </c>
      <c r="H71" s="3">
        <f>E71*Lambda-D71</f>
        <v>310076.00014697504</v>
      </c>
      <c r="I71" s="3">
        <f>C71*Lambda-B71</f>
        <v>289891.51679253753</v>
      </c>
      <c r="J71">
        <f t="shared" si="5"/>
        <v>1</v>
      </c>
      <c r="M71">
        <v>6700</v>
      </c>
      <c r="N71">
        <v>6.0000000000000001E-3</v>
      </c>
      <c r="O71">
        <v>0.99399999999999999</v>
      </c>
    </row>
    <row r="72" spans="1:15" x14ac:dyDescent="0.25">
      <c r="A72">
        <v>69</v>
      </c>
      <c r="B72" s="3">
        <f>NoMTC!K70</f>
        <v>126840.92675379899</v>
      </c>
      <c r="C72" s="2">
        <f>NoMTC!I70</f>
        <v>6.6156031332715699</v>
      </c>
      <c r="D72" s="3">
        <f>MTC!K70</f>
        <v>133547.90639533199</v>
      </c>
      <c r="E72" s="2">
        <f>MTC!I70</f>
        <v>6.9404429907934704</v>
      </c>
      <c r="F72" s="2">
        <f t="shared" si="3"/>
        <v>6706.9796415329911</v>
      </c>
      <c r="G72" s="2">
        <f t="shared" si="4"/>
        <v>0.32483985752190048</v>
      </c>
      <c r="H72" s="3">
        <f>E72*Lambda-D72</f>
        <v>213474.24314434154</v>
      </c>
      <c r="I72" s="3">
        <f>C72*Lambda-B72</f>
        <v>203939.22990977947</v>
      </c>
      <c r="J72">
        <f t="shared" si="5"/>
        <v>1</v>
      </c>
      <c r="M72">
        <v>6800</v>
      </c>
      <c r="N72">
        <v>6.0000000000000001E-3</v>
      </c>
      <c r="O72">
        <v>0.99399999999999999</v>
      </c>
    </row>
    <row r="73" spans="1:15" x14ac:dyDescent="0.25">
      <c r="A73">
        <v>70</v>
      </c>
      <c r="B73" s="3">
        <f>NoMTC!K71</f>
        <v>122668.162394516</v>
      </c>
      <c r="C73" s="2">
        <f>NoMTC!I71</f>
        <v>8.0475904991720704</v>
      </c>
      <c r="D73" s="3">
        <f>MTC!K71</f>
        <v>126846.78682301599</v>
      </c>
      <c r="E73" s="2">
        <f>MTC!I71</f>
        <v>8.3213144498328599</v>
      </c>
      <c r="F73" s="2">
        <f t="shared" si="3"/>
        <v>4178.6244284999993</v>
      </c>
      <c r="G73" s="2">
        <f t="shared" si="4"/>
        <v>0.27372395066078958</v>
      </c>
      <c r="H73" s="3">
        <f>E73*Lambda-D73</f>
        <v>289218.93566862697</v>
      </c>
      <c r="I73" s="3">
        <f>C73*Lambda-B73</f>
        <v>279711.3625640875</v>
      </c>
      <c r="J73">
        <f t="shared" si="5"/>
        <v>1</v>
      </c>
      <c r="M73">
        <v>6900</v>
      </c>
      <c r="N73">
        <v>8.0000000000000002E-3</v>
      </c>
      <c r="O73">
        <v>0.99199999999999999</v>
      </c>
    </row>
    <row r="74" spans="1:15" x14ac:dyDescent="0.25">
      <c r="A74">
        <v>71</v>
      </c>
      <c r="B74" s="3">
        <f>NoMTC!K72</f>
        <v>138297.89507028699</v>
      </c>
      <c r="C74" s="2">
        <f>NoMTC!I72</f>
        <v>9.2182715019071306</v>
      </c>
      <c r="D74" s="3">
        <f>MTC!K72</f>
        <v>143077.669447744</v>
      </c>
      <c r="E74" s="2">
        <f>MTC!I72</f>
        <v>9.5165020003827596</v>
      </c>
      <c r="F74" s="2">
        <f t="shared" si="3"/>
        <v>4779.7743774570117</v>
      </c>
      <c r="G74" s="2">
        <f t="shared" si="4"/>
        <v>0.29823049847562899</v>
      </c>
      <c r="H74" s="3">
        <f>E74*Lambda-D74</f>
        <v>332747.43057139392</v>
      </c>
      <c r="I74" s="3">
        <f>C74*Lambda-B74</f>
        <v>322615.68002506957</v>
      </c>
      <c r="J74">
        <f t="shared" si="5"/>
        <v>1</v>
      </c>
      <c r="M74">
        <v>7000</v>
      </c>
      <c r="N74">
        <v>8.0000000000000002E-3</v>
      </c>
      <c r="O74">
        <v>0.99199999999999999</v>
      </c>
    </row>
    <row r="75" spans="1:15" x14ac:dyDescent="0.25">
      <c r="A75">
        <v>72</v>
      </c>
      <c r="B75" s="3">
        <f>NoMTC!K73</f>
        <v>123725.672227755</v>
      </c>
      <c r="C75" s="2">
        <f>NoMTC!I73</f>
        <v>7.9003857479399198</v>
      </c>
      <c r="D75" s="3">
        <f>MTC!K73</f>
        <v>131522.095848044</v>
      </c>
      <c r="E75" s="2">
        <f>MTC!I73</f>
        <v>8.3826618051794792</v>
      </c>
      <c r="F75" s="2">
        <f t="shared" si="3"/>
        <v>7796.4236202890024</v>
      </c>
      <c r="G75" s="2">
        <f t="shared" si="4"/>
        <v>0.48227605723955946</v>
      </c>
      <c r="H75" s="3">
        <f>E75*Lambda-D75</f>
        <v>287610.99441092997</v>
      </c>
      <c r="I75" s="3">
        <f>C75*Lambda-B75</f>
        <v>271293.61516924098</v>
      </c>
      <c r="J75">
        <f t="shared" si="5"/>
        <v>1</v>
      </c>
      <c r="M75">
        <v>7100</v>
      </c>
      <c r="N75">
        <v>8.0000000000000002E-3</v>
      </c>
      <c r="O75">
        <v>0.99199999999999999</v>
      </c>
    </row>
    <row r="76" spans="1:15" x14ac:dyDescent="0.25">
      <c r="A76">
        <v>73</v>
      </c>
      <c r="B76" s="3">
        <f>NoMTC!K74</f>
        <v>123143.477808654</v>
      </c>
      <c r="C76" s="2">
        <f>NoMTC!I74</f>
        <v>7.3524188137148503</v>
      </c>
      <c r="D76" s="3">
        <f>MTC!K74</f>
        <v>128686.675670813</v>
      </c>
      <c r="E76" s="2">
        <f>MTC!I74</f>
        <v>7.6680406131050702</v>
      </c>
      <c r="F76" s="2">
        <f t="shared" si="3"/>
        <v>5543.1978621589951</v>
      </c>
      <c r="G76" s="2">
        <f t="shared" si="4"/>
        <v>0.31562179939021995</v>
      </c>
      <c r="H76" s="3">
        <f>E76*Lambda-D76</f>
        <v>254715.35498444049</v>
      </c>
      <c r="I76" s="3">
        <f>C76*Lambda-B76</f>
        <v>244477.46287708852</v>
      </c>
      <c r="J76">
        <f t="shared" si="5"/>
        <v>1</v>
      </c>
      <c r="M76">
        <v>7200</v>
      </c>
      <c r="N76">
        <v>8.0000000000000002E-3</v>
      </c>
      <c r="O76">
        <v>0.99199999999999999</v>
      </c>
    </row>
    <row r="77" spans="1:15" x14ac:dyDescent="0.25">
      <c r="A77">
        <v>74</v>
      </c>
      <c r="B77" s="3">
        <f>NoMTC!K75</f>
        <v>104642.302760946</v>
      </c>
      <c r="C77" s="2">
        <f>NoMTC!I75</f>
        <v>7.2711699570974</v>
      </c>
      <c r="D77" s="3">
        <f>MTC!K75</f>
        <v>112360.618144929</v>
      </c>
      <c r="E77" s="2">
        <f>MTC!I75</f>
        <v>7.80848035350171</v>
      </c>
      <c r="F77" s="2">
        <f t="shared" si="3"/>
        <v>7718.3153839830047</v>
      </c>
      <c r="G77" s="2">
        <f t="shared" si="4"/>
        <v>0.53731039640431</v>
      </c>
      <c r="H77" s="3">
        <f>E77*Lambda-D77</f>
        <v>278063.39953015652</v>
      </c>
      <c r="I77" s="3">
        <f>C77*Lambda-B77</f>
        <v>258916.19509392401</v>
      </c>
      <c r="J77">
        <f t="shared" si="5"/>
        <v>1</v>
      </c>
      <c r="M77">
        <v>7300</v>
      </c>
      <c r="N77">
        <v>8.0000000000000002E-3</v>
      </c>
      <c r="O77">
        <v>0.99199999999999999</v>
      </c>
    </row>
    <row r="78" spans="1:15" x14ac:dyDescent="0.25">
      <c r="A78">
        <v>75</v>
      </c>
      <c r="B78" s="3">
        <f>NoMTC!K76</f>
        <v>92203.999009342893</v>
      </c>
      <c r="C78" s="2">
        <f>NoMTC!I76</f>
        <v>7.3622335366589899</v>
      </c>
      <c r="D78" s="3">
        <f>MTC!K76</f>
        <v>100394.446302235</v>
      </c>
      <c r="E78" s="2">
        <f>MTC!I76</f>
        <v>7.98878650168772</v>
      </c>
      <c r="F78" s="2">
        <f t="shared" si="3"/>
        <v>8190.4472928921023</v>
      </c>
      <c r="G78" s="2">
        <f t="shared" si="4"/>
        <v>0.62655296502873004</v>
      </c>
      <c r="H78" s="3">
        <f>E78*Lambda-D78</f>
        <v>299044.87878215098</v>
      </c>
      <c r="I78" s="3">
        <f>C78*Lambda-B78</f>
        <v>275907.67782360665</v>
      </c>
      <c r="J78">
        <f t="shared" si="5"/>
        <v>1</v>
      </c>
      <c r="M78">
        <v>7400</v>
      </c>
      <c r="N78">
        <v>8.0000000000000002E-3</v>
      </c>
      <c r="O78">
        <v>0.99199999999999999</v>
      </c>
    </row>
    <row r="79" spans="1:15" x14ac:dyDescent="0.25">
      <c r="A79">
        <v>76</v>
      </c>
      <c r="B79" s="3">
        <f>NoMTC!K77</f>
        <v>94429.890958861797</v>
      </c>
      <c r="C79" s="2">
        <f>NoMTC!I77</f>
        <v>7.6281986588230204</v>
      </c>
      <c r="D79" s="3">
        <f>MTC!K77</f>
        <v>111019.12855934299</v>
      </c>
      <c r="E79" s="2">
        <f>MTC!I77</f>
        <v>8.9517856470702704</v>
      </c>
      <c r="F79" s="2">
        <f t="shared" si="3"/>
        <v>16589.237600481196</v>
      </c>
      <c r="G79" s="2">
        <f t="shared" si="4"/>
        <v>1.32358698824725</v>
      </c>
      <c r="H79" s="3">
        <f>E79*Lambda-D79</f>
        <v>336570.15379417053</v>
      </c>
      <c r="I79" s="3">
        <f>C79*Lambda-B79</f>
        <v>286980.04198228923</v>
      </c>
      <c r="J79">
        <f t="shared" si="5"/>
        <v>1</v>
      </c>
      <c r="M79">
        <v>7500</v>
      </c>
      <c r="N79">
        <v>8.0000000000000002E-3</v>
      </c>
      <c r="O79">
        <v>0.99199999999999999</v>
      </c>
    </row>
    <row r="80" spans="1:15" x14ac:dyDescent="0.25">
      <c r="A80">
        <v>77</v>
      </c>
      <c r="B80" s="3">
        <f>NoMTC!K78</f>
        <v>121149.401234654</v>
      </c>
      <c r="C80" s="2">
        <f>NoMTC!I78</f>
        <v>7.0586176895829196</v>
      </c>
      <c r="D80" s="3">
        <f>MTC!K78</f>
        <v>127296.392332396</v>
      </c>
      <c r="E80" s="2">
        <f>MTC!I78</f>
        <v>7.4224998768950998</v>
      </c>
      <c r="F80" s="2">
        <f t="shared" si="3"/>
        <v>6146.9910977420077</v>
      </c>
      <c r="G80" s="2">
        <f t="shared" si="4"/>
        <v>0.36388218731218025</v>
      </c>
      <c r="H80" s="3">
        <f>E80*Lambda-D80</f>
        <v>243828.60151235899</v>
      </c>
      <c r="I80" s="3">
        <f>C80*Lambda-B80</f>
        <v>231781.48324449197</v>
      </c>
      <c r="J80">
        <f t="shared" si="5"/>
        <v>1</v>
      </c>
      <c r="M80">
        <v>7600</v>
      </c>
      <c r="N80">
        <v>8.0000000000000002E-3</v>
      </c>
      <c r="O80">
        <v>0.99199999999999999</v>
      </c>
    </row>
    <row r="81" spans="1:15" x14ac:dyDescent="0.25">
      <c r="A81">
        <v>78</v>
      </c>
      <c r="B81" s="3">
        <f>NoMTC!K79</f>
        <v>119732.59429152901</v>
      </c>
      <c r="C81" s="2">
        <f>NoMTC!I79</f>
        <v>8.3319711060054704</v>
      </c>
      <c r="D81" s="3">
        <f>MTC!K79</f>
        <v>121416.89882772999</v>
      </c>
      <c r="E81" s="2">
        <f>MTC!I79</f>
        <v>8.4571124589218201</v>
      </c>
      <c r="F81" s="2">
        <f t="shared" si="3"/>
        <v>1684.3045362009871</v>
      </c>
      <c r="G81" s="2">
        <f t="shared" si="4"/>
        <v>0.12514135291634965</v>
      </c>
      <c r="H81" s="3">
        <f>E81*Lambda-D81</f>
        <v>301438.72411836102</v>
      </c>
      <c r="I81" s="3">
        <f>C81*Lambda-B81</f>
        <v>296865.96100874455</v>
      </c>
      <c r="J81">
        <f t="shared" si="5"/>
        <v>1</v>
      </c>
      <c r="M81">
        <v>7700</v>
      </c>
      <c r="N81">
        <v>8.0000000000000002E-3</v>
      </c>
      <c r="O81">
        <v>0.99199999999999999</v>
      </c>
    </row>
    <row r="82" spans="1:15" x14ac:dyDescent="0.25">
      <c r="A82">
        <v>79</v>
      </c>
      <c r="B82" s="3">
        <f>NoMTC!K80</f>
        <v>143757.818586173</v>
      </c>
      <c r="C82" s="2">
        <f>NoMTC!I80</f>
        <v>8.1013847899556097</v>
      </c>
      <c r="D82" s="3">
        <f>MTC!K80</f>
        <v>148111.270611724</v>
      </c>
      <c r="E82" s="2">
        <f>MTC!I80</f>
        <v>8.3081164113656794</v>
      </c>
      <c r="F82" s="2">
        <f t="shared" si="3"/>
        <v>4353.4520255509997</v>
      </c>
      <c r="G82" s="2">
        <f t="shared" si="4"/>
        <v>0.20673162141006962</v>
      </c>
      <c r="H82" s="3">
        <f>E82*Lambda-D82</f>
        <v>267294.54995655996</v>
      </c>
      <c r="I82" s="3">
        <f>C82*Lambda-B82</f>
        <v>261311.42091160751</v>
      </c>
      <c r="J82">
        <f t="shared" si="5"/>
        <v>1</v>
      </c>
      <c r="M82">
        <v>7800</v>
      </c>
      <c r="N82">
        <v>8.0000000000000002E-3</v>
      </c>
      <c r="O82">
        <v>0.99199999999999999</v>
      </c>
    </row>
    <row r="83" spans="1:15" x14ac:dyDescent="0.25">
      <c r="A83">
        <v>80</v>
      </c>
      <c r="B83" s="3">
        <f>NoMTC!K81</f>
        <v>93787.599469861394</v>
      </c>
      <c r="C83" s="2">
        <f>NoMTC!I81</f>
        <v>6.9807513022685299</v>
      </c>
      <c r="D83" s="3">
        <f>MTC!K81</f>
        <v>104999.718775514</v>
      </c>
      <c r="E83" s="2">
        <f>MTC!I81</f>
        <v>7.8002791130805704</v>
      </c>
      <c r="F83" s="2">
        <f t="shared" si="3"/>
        <v>11212.11930565261</v>
      </c>
      <c r="G83" s="2">
        <f t="shared" si="4"/>
        <v>0.81952781081204051</v>
      </c>
      <c r="H83" s="3">
        <f>E83*Lambda-D83</f>
        <v>285014.23687851452</v>
      </c>
      <c r="I83" s="3">
        <f>C83*Lambda-B83</f>
        <v>255249.96564356508</v>
      </c>
      <c r="J83">
        <f t="shared" si="5"/>
        <v>1</v>
      </c>
      <c r="M83">
        <v>7900</v>
      </c>
      <c r="N83">
        <v>8.0000000000000002E-3</v>
      </c>
      <c r="O83">
        <v>0.99199999999999999</v>
      </c>
    </row>
    <row r="84" spans="1:15" x14ac:dyDescent="0.25">
      <c r="A84">
        <v>81</v>
      </c>
      <c r="B84" s="3">
        <f>NoMTC!K82</f>
        <v>112281.57684077301</v>
      </c>
      <c r="C84" s="2">
        <f>NoMTC!I82</f>
        <v>8.0546664788522904</v>
      </c>
      <c r="D84" s="3">
        <f>MTC!K82</f>
        <v>118129.590803652</v>
      </c>
      <c r="E84" s="2">
        <f>MTC!I82</f>
        <v>8.4814810601681803</v>
      </c>
      <c r="F84" s="2">
        <f t="shared" si="3"/>
        <v>5848.0139628789912</v>
      </c>
      <c r="G84" s="2">
        <f t="shared" si="4"/>
        <v>0.4268145813158899</v>
      </c>
      <c r="H84" s="3">
        <f>E84*Lambda-D84</f>
        <v>305944.46220475697</v>
      </c>
      <c r="I84" s="3">
        <f>C84*Lambda-B84</f>
        <v>290451.74710184155</v>
      </c>
      <c r="J84">
        <f t="shared" si="5"/>
        <v>1</v>
      </c>
      <c r="M84">
        <v>8000</v>
      </c>
      <c r="N84">
        <v>8.0000000000000002E-3</v>
      </c>
      <c r="O84">
        <v>0.99199999999999999</v>
      </c>
    </row>
    <row r="85" spans="1:15" x14ac:dyDescent="0.25">
      <c r="A85">
        <v>82</v>
      </c>
      <c r="B85" s="3">
        <f>NoMTC!K83</f>
        <v>147848.712483574</v>
      </c>
      <c r="C85" s="2">
        <f>NoMTC!I83</f>
        <v>8.1080883032722504</v>
      </c>
      <c r="D85" s="3">
        <f>MTC!K83</f>
        <v>152376.32929689699</v>
      </c>
      <c r="E85" s="2">
        <f>MTC!I83</f>
        <v>8.3454586691377592</v>
      </c>
      <c r="F85" s="2">
        <f t="shared" si="3"/>
        <v>4527.6168133229949</v>
      </c>
      <c r="G85" s="2">
        <f t="shared" si="4"/>
        <v>0.23737036586550886</v>
      </c>
      <c r="H85" s="3">
        <f>E85*Lambda-D85</f>
        <v>264896.60415999097</v>
      </c>
      <c r="I85" s="3">
        <f>C85*Lambda-B85</f>
        <v>257555.70268003852</v>
      </c>
      <c r="J85">
        <f t="shared" si="5"/>
        <v>1</v>
      </c>
      <c r="M85">
        <v>8100</v>
      </c>
      <c r="N85">
        <v>0.01</v>
      </c>
      <c r="O85">
        <v>0.99</v>
      </c>
    </row>
    <row r="86" spans="1:15" x14ac:dyDescent="0.25">
      <c r="A86">
        <v>83</v>
      </c>
      <c r="B86" s="3">
        <f>NoMTC!K84</f>
        <v>105877.33847032901</v>
      </c>
      <c r="C86" s="2">
        <f>NoMTC!I84</f>
        <v>8.1104035683648608</v>
      </c>
      <c r="D86" s="3">
        <f>MTC!K84</f>
        <v>106809.322223247</v>
      </c>
      <c r="E86" s="2">
        <f>MTC!I84</f>
        <v>8.1801661966514203</v>
      </c>
      <c r="F86" s="2">
        <f t="shared" si="3"/>
        <v>931.98375291799312</v>
      </c>
      <c r="G86" s="2">
        <f t="shared" si="4"/>
        <v>6.9762628286559547E-2</v>
      </c>
      <c r="H86" s="3">
        <f>E86*Lambda-D86</f>
        <v>302198.98760932405</v>
      </c>
      <c r="I86" s="3">
        <f>C86*Lambda-B86</f>
        <v>299642.83994791401</v>
      </c>
      <c r="J86">
        <f t="shared" si="5"/>
        <v>1</v>
      </c>
      <c r="M86">
        <v>8200</v>
      </c>
      <c r="N86">
        <v>0.01</v>
      </c>
      <c r="O86">
        <v>0.99</v>
      </c>
    </row>
    <row r="87" spans="1:15" x14ac:dyDescent="0.25">
      <c r="A87">
        <v>84</v>
      </c>
      <c r="B87" s="3">
        <f>NoMTC!K85</f>
        <v>77283.183813886601</v>
      </c>
      <c r="C87" s="2">
        <f>NoMTC!I85</f>
        <v>7.5144449500522397</v>
      </c>
      <c r="D87" s="3">
        <f>MTC!K85</f>
        <v>78719.736861567799</v>
      </c>
      <c r="E87" s="2">
        <f>MTC!I85</f>
        <v>7.69257363149692</v>
      </c>
      <c r="F87" s="2">
        <f t="shared" si="3"/>
        <v>1436.5530476811982</v>
      </c>
      <c r="G87" s="2">
        <f t="shared" si="4"/>
        <v>0.1781286814446803</v>
      </c>
      <c r="H87" s="3">
        <f>E87*Lambda-D87</f>
        <v>305908.94471327821</v>
      </c>
      <c r="I87" s="3">
        <f>C87*Lambda-B87</f>
        <v>298439.06368872541</v>
      </c>
      <c r="J87">
        <f t="shared" si="5"/>
        <v>1</v>
      </c>
      <c r="M87">
        <v>8300</v>
      </c>
      <c r="N87">
        <v>0.01</v>
      </c>
      <c r="O87">
        <v>0.99</v>
      </c>
    </row>
    <row r="88" spans="1:15" x14ac:dyDescent="0.25">
      <c r="A88">
        <v>85</v>
      </c>
      <c r="B88" s="3">
        <f>NoMTC!K86</f>
        <v>95237.664290673099</v>
      </c>
      <c r="C88" s="2">
        <f>NoMTC!I86</f>
        <v>7.2636584686151897</v>
      </c>
      <c r="D88" s="3">
        <f>MTC!K86</f>
        <v>100755.258882195</v>
      </c>
      <c r="E88" s="2">
        <f>MTC!I86</f>
        <v>7.6708686628542502</v>
      </c>
      <c r="F88" s="2">
        <f t="shared" si="3"/>
        <v>5517.5945915219054</v>
      </c>
      <c r="G88" s="2">
        <f t="shared" si="4"/>
        <v>0.40721019423906046</v>
      </c>
      <c r="H88" s="3">
        <f>E88*Lambda-D88</f>
        <v>282788.17426051752</v>
      </c>
      <c r="I88" s="3">
        <f>C88*Lambda-B88</f>
        <v>267945.25914008636</v>
      </c>
      <c r="J88">
        <f t="shared" si="5"/>
        <v>1</v>
      </c>
      <c r="M88">
        <v>8400</v>
      </c>
      <c r="N88">
        <v>1.2E-2</v>
      </c>
      <c r="O88">
        <v>0.98799999999999999</v>
      </c>
    </row>
    <row r="89" spans="1:15" x14ac:dyDescent="0.25">
      <c r="A89">
        <v>86</v>
      </c>
      <c r="B89" s="3">
        <f>NoMTC!K87</f>
        <v>106154.20352213801</v>
      </c>
      <c r="C89" s="2">
        <f>NoMTC!I87</f>
        <v>7.6921697362217003</v>
      </c>
      <c r="D89" s="3">
        <f>MTC!K87</f>
        <v>107156.531557945</v>
      </c>
      <c r="E89" s="2">
        <f>MTC!I87</f>
        <v>7.7714136027840803</v>
      </c>
      <c r="F89" s="2">
        <f t="shared" si="3"/>
        <v>1002.3280358069896</v>
      </c>
      <c r="G89" s="2">
        <f t="shared" si="4"/>
        <v>7.9243866562380028E-2</v>
      </c>
      <c r="H89" s="3">
        <f>E89*Lambda-D89</f>
        <v>281414.14858125901</v>
      </c>
      <c r="I89" s="3">
        <f>C89*Lambda-B89</f>
        <v>278454.28328894702</v>
      </c>
      <c r="J89">
        <f t="shared" si="5"/>
        <v>1</v>
      </c>
      <c r="M89">
        <v>8500</v>
      </c>
      <c r="N89">
        <v>1.2E-2</v>
      </c>
      <c r="O89">
        <v>0.98799999999999999</v>
      </c>
    </row>
    <row r="90" spans="1:15" x14ac:dyDescent="0.25">
      <c r="A90">
        <v>87</v>
      </c>
      <c r="B90" s="3">
        <f>NoMTC!K88</f>
        <v>111991.790066712</v>
      </c>
      <c r="C90" s="2">
        <f>NoMTC!I88</f>
        <v>7.37197193030606</v>
      </c>
      <c r="D90" s="3">
        <f>MTC!K88</f>
        <v>116986.329429486</v>
      </c>
      <c r="E90" s="2">
        <f>MTC!I88</f>
        <v>7.6963478002281196</v>
      </c>
      <c r="F90" s="2">
        <f t="shared" si="3"/>
        <v>4994.5393627739977</v>
      </c>
      <c r="G90" s="2">
        <f t="shared" si="4"/>
        <v>0.32437586992205958</v>
      </c>
      <c r="H90" s="3">
        <f>E90*Lambda-D90</f>
        <v>267831.06058191997</v>
      </c>
      <c r="I90" s="3">
        <f>C90*Lambda-B90</f>
        <v>256606.806448591</v>
      </c>
      <c r="J90">
        <f t="shared" si="5"/>
        <v>1</v>
      </c>
      <c r="M90">
        <v>8600</v>
      </c>
      <c r="N90">
        <v>1.2E-2</v>
      </c>
      <c r="O90">
        <v>0.98799999999999999</v>
      </c>
    </row>
    <row r="91" spans="1:15" x14ac:dyDescent="0.25">
      <c r="A91">
        <v>88</v>
      </c>
      <c r="B91" s="3">
        <f>NoMTC!K89</f>
        <v>136825.15593896501</v>
      </c>
      <c r="C91" s="2">
        <f>NoMTC!I89</f>
        <v>7.4801005147230901</v>
      </c>
      <c r="D91" s="3">
        <f>MTC!K89</f>
        <v>146768.62376960099</v>
      </c>
      <c r="E91" s="2">
        <f>MTC!I89</f>
        <v>8.0099017264034291</v>
      </c>
      <c r="F91" s="2">
        <f t="shared" si="3"/>
        <v>9943.4678306359856</v>
      </c>
      <c r="G91" s="2">
        <f t="shared" si="4"/>
        <v>0.529801211680339</v>
      </c>
      <c r="H91" s="3">
        <f>E91*Lambda-D91</f>
        <v>253726.46255057049</v>
      </c>
      <c r="I91" s="3">
        <f>C91*Lambda-B91</f>
        <v>237179.86979718952</v>
      </c>
      <c r="J91">
        <f t="shared" si="5"/>
        <v>1</v>
      </c>
      <c r="M91">
        <v>8700</v>
      </c>
      <c r="N91">
        <v>1.2E-2</v>
      </c>
      <c r="O91">
        <v>0.98799999999999999</v>
      </c>
    </row>
    <row r="92" spans="1:15" x14ac:dyDescent="0.25">
      <c r="A92">
        <v>89</v>
      </c>
      <c r="B92" s="3">
        <f>NoMTC!K90</f>
        <v>157387.50690414099</v>
      </c>
      <c r="C92" s="2">
        <f>NoMTC!I90</f>
        <v>8.0957121967780292</v>
      </c>
      <c r="D92" s="3">
        <f>MTC!K90</f>
        <v>171447.140564125</v>
      </c>
      <c r="E92" s="2">
        <f>MTC!I90</f>
        <v>8.7594934866912499</v>
      </c>
      <c r="F92" s="2">
        <f t="shared" si="3"/>
        <v>14059.633659984014</v>
      </c>
      <c r="G92" s="2">
        <f t="shared" si="4"/>
        <v>0.66378128991322072</v>
      </c>
      <c r="H92" s="3">
        <f>E92*Lambda-D92</f>
        <v>266527.53377043747</v>
      </c>
      <c r="I92" s="3">
        <f>C92*Lambda-B92</f>
        <v>247398.10293476045</v>
      </c>
      <c r="J92">
        <f t="shared" si="5"/>
        <v>1</v>
      </c>
      <c r="M92">
        <v>8800</v>
      </c>
      <c r="N92">
        <v>1.2E-2</v>
      </c>
      <c r="O92">
        <v>0.98799999999999999</v>
      </c>
    </row>
    <row r="93" spans="1:15" x14ac:dyDescent="0.25">
      <c r="A93">
        <v>90</v>
      </c>
      <c r="B93" s="3">
        <f>NoMTC!K91</f>
        <v>142679.91748807899</v>
      </c>
      <c r="C93" s="2">
        <f>NoMTC!I91</f>
        <v>6.9390183811119304</v>
      </c>
      <c r="D93" s="3">
        <f>MTC!K91</f>
        <v>149803.77269529199</v>
      </c>
      <c r="E93" s="2">
        <f>MTC!I91</f>
        <v>7.2671612046055598</v>
      </c>
      <c r="F93" s="2">
        <f t="shared" si="3"/>
        <v>7123.8552072129969</v>
      </c>
      <c r="G93" s="2">
        <f t="shared" si="4"/>
        <v>0.32814282349362944</v>
      </c>
      <c r="H93" s="3">
        <f>E93*Lambda-D93</f>
        <v>213554.28753498601</v>
      </c>
      <c r="I93" s="3">
        <f>C93*Lambda-B93</f>
        <v>204271.00156751752</v>
      </c>
      <c r="J93">
        <f t="shared" si="5"/>
        <v>1</v>
      </c>
      <c r="M93">
        <v>8900</v>
      </c>
      <c r="N93">
        <v>1.4E-2</v>
      </c>
      <c r="O93">
        <v>0.98599999999999999</v>
      </c>
    </row>
    <row r="94" spans="1:15" x14ac:dyDescent="0.25">
      <c r="A94">
        <v>91</v>
      </c>
      <c r="B94" s="3">
        <f>NoMTC!K92</f>
        <v>105624.476728932</v>
      </c>
      <c r="C94" s="2">
        <f>NoMTC!I92</f>
        <v>6.7952843537670198</v>
      </c>
      <c r="D94" s="3">
        <f>MTC!K92</f>
        <v>113754.11242690901</v>
      </c>
      <c r="E94" s="2">
        <f>MTC!I92</f>
        <v>7.2747807058389897</v>
      </c>
      <c r="F94" s="2">
        <f t="shared" si="3"/>
        <v>8129.6356979770062</v>
      </c>
      <c r="G94" s="2">
        <f t="shared" si="4"/>
        <v>0.47949635207196994</v>
      </c>
      <c r="H94" s="3">
        <f>E94*Lambda-D94</f>
        <v>249984.92286504045</v>
      </c>
      <c r="I94" s="3">
        <f>C94*Lambda-B94</f>
        <v>234139.740959419</v>
      </c>
      <c r="J94">
        <f t="shared" si="5"/>
        <v>1</v>
      </c>
      <c r="M94">
        <v>9000</v>
      </c>
      <c r="N94">
        <v>1.4E-2</v>
      </c>
      <c r="O94">
        <v>0.98599999999999999</v>
      </c>
    </row>
    <row r="95" spans="1:15" x14ac:dyDescent="0.25">
      <c r="A95">
        <v>92</v>
      </c>
      <c r="B95" s="3">
        <f>NoMTC!K93</f>
        <v>118075.199135838</v>
      </c>
      <c r="C95" s="2">
        <f>NoMTC!I93</f>
        <v>6.7951867515683499</v>
      </c>
      <c r="D95" s="3">
        <f>MTC!K93</f>
        <v>125912.231313294</v>
      </c>
      <c r="E95" s="2">
        <f>MTC!I93</f>
        <v>7.21080524357596</v>
      </c>
      <c r="F95" s="2">
        <f t="shared" si="3"/>
        <v>7837.0321774559998</v>
      </c>
      <c r="G95" s="2">
        <f t="shared" si="4"/>
        <v>0.41561849200761003</v>
      </c>
      <c r="H95" s="3">
        <f>E95*Lambda-D95</f>
        <v>234628.03086550397</v>
      </c>
      <c r="I95" s="3">
        <f>C95*Lambda-B95</f>
        <v>221684.13844257948</v>
      </c>
      <c r="J95">
        <f t="shared" si="5"/>
        <v>1</v>
      </c>
      <c r="M95">
        <v>9100</v>
      </c>
      <c r="N95">
        <v>1.4E-2</v>
      </c>
      <c r="O95">
        <v>0.98599999999999999</v>
      </c>
    </row>
    <row r="96" spans="1:15" x14ac:dyDescent="0.25">
      <c r="A96">
        <v>93</v>
      </c>
      <c r="B96" s="3">
        <f>NoMTC!K94</f>
        <v>123811.831991988</v>
      </c>
      <c r="C96" s="2">
        <f>NoMTC!I94</f>
        <v>8.3427129566886098</v>
      </c>
      <c r="D96" s="3">
        <f>MTC!K94</f>
        <v>125805.962204749</v>
      </c>
      <c r="E96" s="2">
        <f>MTC!I94</f>
        <v>8.4759398201189207</v>
      </c>
      <c r="F96" s="2">
        <f t="shared" si="3"/>
        <v>1994.1302127609961</v>
      </c>
      <c r="G96" s="2">
        <f t="shared" si="4"/>
        <v>0.13322686343031087</v>
      </c>
      <c r="H96" s="3">
        <f>E96*Lambda-D96</f>
        <v>297991.02880119701</v>
      </c>
      <c r="I96" s="3">
        <f>C96*Lambda-B96</f>
        <v>293323.81584244251</v>
      </c>
      <c r="J96">
        <f t="shared" si="5"/>
        <v>1</v>
      </c>
      <c r="M96">
        <v>9200</v>
      </c>
      <c r="N96">
        <v>1.4E-2</v>
      </c>
      <c r="O96">
        <v>0.98599999999999999</v>
      </c>
    </row>
    <row r="97" spans="1:15" x14ac:dyDescent="0.25">
      <c r="A97">
        <v>94</v>
      </c>
      <c r="B97" s="3">
        <f>NoMTC!K95</f>
        <v>103498.269493894</v>
      </c>
      <c r="C97" s="2">
        <f>NoMTC!I95</f>
        <v>8.5288866932215299</v>
      </c>
      <c r="D97" s="3">
        <f>MTC!K95</f>
        <v>106460.651867819</v>
      </c>
      <c r="E97" s="2">
        <f>MTC!I95</f>
        <v>8.7847092364718105</v>
      </c>
      <c r="F97" s="2">
        <f t="shared" si="3"/>
        <v>2962.3823739250074</v>
      </c>
      <c r="G97" s="2">
        <f t="shared" si="4"/>
        <v>0.25582254325028053</v>
      </c>
      <c r="H97" s="3">
        <f>E97*Lambda-D97</f>
        <v>332774.80995577149</v>
      </c>
      <c r="I97" s="3">
        <f>C97*Lambda-B97</f>
        <v>322946.06516718247</v>
      </c>
      <c r="J97">
        <f t="shared" si="5"/>
        <v>1</v>
      </c>
      <c r="M97">
        <v>9300</v>
      </c>
      <c r="N97">
        <v>1.4E-2</v>
      </c>
      <c r="O97">
        <v>0.98599999999999999</v>
      </c>
    </row>
    <row r="98" spans="1:15" x14ac:dyDescent="0.25">
      <c r="A98">
        <v>95</v>
      </c>
      <c r="B98" s="3">
        <f>NoMTC!K96</f>
        <v>123843.51486880799</v>
      </c>
      <c r="C98" s="2">
        <f>NoMTC!I96</f>
        <v>9.3251382361666408</v>
      </c>
      <c r="D98" s="3">
        <f>MTC!K96</f>
        <v>129223.35898583</v>
      </c>
      <c r="E98" s="2">
        <f>MTC!I96</f>
        <v>9.71520791331778</v>
      </c>
      <c r="F98" s="2">
        <f t="shared" si="3"/>
        <v>5379.844117022003</v>
      </c>
      <c r="G98" s="2">
        <f t="shared" si="4"/>
        <v>0.39006967715113916</v>
      </c>
      <c r="H98" s="3">
        <f>E98*Lambda-D98</f>
        <v>356537.03668005904</v>
      </c>
      <c r="I98" s="3">
        <f>C98*Lambda-B98</f>
        <v>342413.39693952404</v>
      </c>
      <c r="J98">
        <f t="shared" si="5"/>
        <v>1</v>
      </c>
      <c r="M98">
        <v>9400</v>
      </c>
      <c r="N98">
        <v>1.4E-2</v>
      </c>
      <c r="O98">
        <v>0.98599999999999999</v>
      </c>
    </row>
    <row r="99" spans="1:15" x14ac:dyDescent="0.25">
      <c r="A99">
        <v>96</v>
      </c>
      <c r="B99" s="3">
        <f>NoMTC!K97</f>
        <v>99931.493942835805</v>
      </c>
      <c r="C99" s="2">
        <f>NoMTC!I97</f>
        <v>7.0439110145882804</v>
      </c>
      <c r="D99" s="3">
        <f>MTC!K97</f>
        <v>108599.201465409</v>
      </c>
      <c r="E99" s="2">
        <f>MTC!I97</f>
        <v>7.6541480498215897</v>
      </c>
      <c r="F99" s="2">
        <f t="shared" si="3"/>
        <v>8667.7075225731969</v>
      </c>
      <c r="G99" s="2">
        <f t="shared" si="4"/>
        <v>0.6102370352333093</v>
      </c>
      <c r="H99" s="3">
        <f>E99*Lambda-D99</f>
        <v>274108.20102567045</v>
      </c>
      <c r="I99" s="3">
        <f>C99*Lambda-B99</f>
        <v>252264.05678657824</v>
      </c>
      <c r="J99">
        <f t="shared" si="5"/>
        <v>1</v>
      </c>
      <c r="M99">
        <v>9500</v>
      </c>
      <c r="N99">
        <v>1.4E-2</v>
      </c>
      <c r="O99">
        <v>0.98599999999999999</v>
      </c>
    </row>
    <row r="100" spans="1:15" x14ac:dyDescent="0.25">
      <c r="A100">
        <v>97</v>
      </c>
      <c r="B100" s="3">
        <f>NoMTC!K98</f>
        <v>133331.84349589801</v>
      </c>
      <c r="C100" s="2">
        <f>NoMTC!I98</f>
        <v>8.3115320207988308</v>
      </c>
      <c r="D100" s="3">
        <f>MTC!K98</f>
        <v>139263.249956696</v>
      </c>
      <c r="E100" s="2">
        <f>MTC!I98</f>
        <v>8.6494842674582895</v>
      </c>
      <c r="F100" s="2">
        <f t="shared" si="3"/>
        <v>5931.4064607979963</v>
      </c>
      <c r="G100" s="2">
        <f t="shared" si="4"/>
        <v>0.33795224665945867</v>
      </c>
      <c r="H100" s="3">
        <f>E100*Lambda-D100</f>
        <v>293210.96341621847</v>
      </c>
      <c r="I100" s="3">
        <f>C100*Lambda-B100</f>
        <v>282244.75754404353</v>
      </c>
      <c r="J100">
        <f t="shared" si="5"/>
        <v>1</v>
      </c>
      <c r="M100">
        <v>9600</v>
      </c>
      <c r="N100">
        <v>1.6E-2</v>
      </c>
      <c r="O100">
        <v>0.98399999999999999</v>
      </c>
    </row>
    <row r="101" spans="1:15" x14ac:dyDescent="0.25">
      <c r="A101">
        <v>98</v>
      </c>
      <c r="B101" s="3">
        <f>NoMTC!K99</f>
        <v>132948.92946129301</v>
      </c>
      <c r="C101" s="2">
        <f>NoMTC!I99</f>
        <v>8.70895434398928</v>
      </c>
      <c r="D101" s="3">
        <f>MTC!K99</f>
        <v>137060.20929331699</v>
      </c>
      <c r="E101" s="2">
        <f>MTC!I99</f>
        <v>8.9816473888212194</v>
      </c>
      <c r="F101" s="2">
        <f t="shared" si="3"/>
        <v>4111.2798320239817</v>
      </c>
      <c r="G101" s="2">
        <f t="shared" si="4"/>
        <v>0.27269304483193935</v>
      </c>
      <c r="H101" s="3">
        <f>E101*Lambda-D101</f>
        <v>312022.160147744</v>
      </c>
      <c r="I101" s="3">
        <f>C101*Lambda-B101</f>
        <v>302498.78773817094</v>
      </c>
      <c r="J101">
        <f t="shared" si="5"/>
        <v>1</v>
      </c>
      <c r="M101">
        <v>9700</v>
      </c>
      <c r="N101">
        <v>1.6E-2</v>
      </c>
      <c r="O101">
        <v>0.98399999999999999</v>
      </c>
    </row>
    <row r="102" spans="1:15" x14ac:dyDescent="0.25">
      <c r="A102">
        <v>99</v>
      </c>
      <c r="B102" s="3">
        <f>NoMTC!K100</f>
        <v>114643.96346866799</v>
      </c>
      <c r="C102" s="2">
        <f>NoMTC!I100</f>
        <v>7.8032396416051402</v>
      </c>
      <c r="D102" s="3">
        <f>MTC!K100</f>
        <v>119508.043331775</v>
      </c>
      <c r="E102" s="2">
        <f>MTC!I100</f>
        <v>8.1060791509439696</v>
      </c>
      <c r="F102" s="2">
        <f t="shared" si="3"/>
        <v>4864.0798631070065</v>
      </c>
      <c r="G102" s="2">
        <f t="shared" si="4"/>
        <v>0.30283950933882942</v>
      </c>
      <c r="H102" s="3">
        <f>E102*Lambda-D102</f>
        <v>285795.91421542346</v>
      </c>
      <c r="I102" s="3">
        <f>C102*Lambda-B102</f>
        <v>275518.01861158904</v>
      </c>
      <c r="J102">
        <f t="shared" si="5"/>
        <v>1</v>
      </c>
      <c r="M102">
        <v>9800</v>
      </c>
      <c r="N102">
        <v>2.1999999999999999E-2</v>
      </c>
      <c r="O102">
        <v>0.97799999999999998</v>
      </c>
    </row>
    <row r="103" spans="1:15" x14ac:dyDescent="0.25">
      <c r="A103">
        <v>100</v>
      </c>
      <c r="B103" s="3">
        <f>NoMTC!K101</f>
        <v>124679.901419862</v>
      </c>
      <c r="C103" s="2">
        <f>NoMTC!I101</f>
        <v>8.1288330297357394</v>
      </c>
      <c r="D103" s="3">
        <f>MTC!K101</f>
        <v>130155.555311074</v>
      </c>
      <c r="E103" s="2">
        <f>MTC!I101</f>
        <v>8.4546901544369604</v>
      </c>
      <c r="F103" s="2">
        <f t="shared" si="3"/>
        <v>5475.6538912120013</v>
      </c>
      <c r="G103" s="2">
        <f t="shared" si="4"/>
        <v>0.32585712470122097</v>
      </c>
      <c r="H103" s="3">
        <f>E103*Lambda-D103</f>
        <v>292578.95241077401</v>
      </c>
      <c r="I103" s="3">
        <f>C103*Lambda-B103</f>
        <v>281761.75006692496</v>
      </c>
      <c r="J103">
        <f t="shared" si="5"/>
        <v>1</v>
      </c>
      <c r="M103">
        <v>9900</v>
      </c>
      <c r="N103">
        <v>2.1999999999999999E-2</v>
      </c>
      <c r="O103">
        <v>0.97799999999999998</v>
      </c>
    </row>
    <row r="104" spans="1:15" x14ac:dyDescent="0.25">
      <c r="A104">
        <v>101</v>
      </c>
      <c r="B104" s="3">
        <f>NoMTC!K102</f>
        <v>123055.370877512</v>
      </c>
      <c r="C104" s="2">
        <f>NoMTC!I102</f>
        <v>7.5825328753661099</v>
      </c>
      <c r="D104" s="3">
        <f>MTC!K102</f>
        <v>126359.624215761</v>
      </c>
      <c r="E104" s="2">
        <f>MTC!I102</f>
        <v>7.78459155158823</v>
      </c>
      <c r="F104" s="2">
        <f t="shared" si="3"/>
        <v>3304.2533382489928</v>
      </c>
      <c r="G104" s="2">
        <f t="shared" si="4"/>
        <v>0.20205867622212015</v>
      </c>
      <c r="H104" s="3">
        <f>E104*Lambda-D104</f>
        <v>262869.95336365048</v>
      </c>
      <c r="I104" s="3">
        <f>C104*Lambda-B104</f>
        <v>256071.27289079348</v>
      </c>
      <c r="J104">
        <f t="shared" si="5"/>
        <v>1</v>
      </c>
      <c r="M104">
        <v>10000</v>
      </c>
      <c r="N104">
        <v>2.4E-2</v>
      </c>
      <c r="O104">
        <v>0.97599999999999998</v>
      </c>
    </row>
    <row r="105" spans="1:15" x14ac:dyDescent="0.25">
      <c r="A105">
        <v>102</v>
      </c>
      <c r="B105" s="3">
        <f>NoMTC!K103</f>
        <v>110594.994581921</v>
      </c>
      <c r="C105" s="2">
        <f>NoMTC!I103</f>
        <v>6.9654159108681801</v>
      </c>
      <c r="D105" s="3">
        <f>MTC!K103</f>
        <v>114665.233364345</v>
      </c>
      <c r="E105" s="2">
        <f>MTC!I103</f>
        <v>7.2278294481107501</v>
      </c>
      <c r="F105" s="2">
        <f t="shared" si="3"/>
        <v>4070.2387824239995</v>
      </c>
      <c r="G105" s="2">
        <f t="shared" si="4"/>
        <v>0.26241353724256999</v>
      </c>
      <c r="H105" s="3">
        <f>E105*Lambda-D105</f>
        <v>246726.23904119252</v>
      </c>
      <c r="I105" s="3">
        <f>C105*Lambda-B105</f>
        <v>237675.80096148801</v>
      </c>
      <c r="J105">
        <f t="shared" si="5"/>
        <v>1</v>
      </c>
      <c r="M105">
        <v>10100</v>
      </c>
      <c r="N105">
        <v>2.8000000000000001E-2</v>
      </c>
      <c r="O105">
        <v>0.97199999999999998</v>
      </c>
    </row>
    <row r="106" spans="1:15" x14ac:dyDescent="0.25">
      <c r="A106">
        <v>103</v>
      </c>
      <c r="B106" s="3">
        <f>NoMTC!K104</f>
        <v>118434.26573314201</v>
      </c>
      <c r="C106" s="2">
        <f>NoMTC!I104</f>
        <v>7.0411102440776103</v>
      </c>
      <c r="D106" s="3">
        <f>MTC!K104</f>
        <v>126998.398638213</v>
      </c>
      <c r="E106" s="2">
        <f>MTC!I104</f>
        <v>7.5274811700218702</v>
      </c>
      <c r="F106" s="2">
        <f t="shared" si="3"/>
        <v>8564.1329050709901</v>
      </c>
      <c r="G106" s="2">
        <f t="shared" si="4"/>
        <v>0.4863709259442599</v>
      </c>
      <c r="H106" s="3">
        <f>E106*Lambda-D106</f>
        <v>249375.65986288054</v>
      </c>
      <c r="I106" s="3">
        <f>C106*Lambda-B106</f>
        <v>233621.24647073852</v>
      </c>
      <c r="J106">
        <f t="shared" si="5"/>
        <v>1</v>
      </c>
      <c r="M106">
        <v>10200</v>
      </c>
      <c r="N106">
        <v>0.03</v>
      </c>
      <c r="O106">
        <v>0.97</v>
      </c>
    </row>
    <row r="107" spans="1:15" x14ac:dyDescent="0.25">
      <c r="A107">
        <v>104</v>
      </c>
      <c r="B107" s="3">
        <f>NoMTC!K105</f>
        <v>118919.916692517</v>
      </c>
      <c r="C107" s="2">
        <f>NoMTC!I105</f>
        <v>8.6670986096569695</v>
      </c>
      <c r="D107" s="3">
        <f>MTC!K105</f>
        <v>121054.577355733</v>
      </c>
      <c r="E107" s="2">
        <f>MTC!I105</f>
        <v>8.8047561550011899</v>
      </c>
      <c r="F107" s="2">
        <f t="shared" si="3"/>
        <v>2134.6606632159965</v>
      </c>
      <c r="G107" s="2">
        <f t="shared" si="4"/>
        <v>0.13765754534422037</v>
      </c>
      <c r="H107" s="3">
        <f>E107*Lambda-D107</f>
        <v>319183.2303943265</v>
      </c>
      <c r="I107" s="3">
        <f>C107*Lambda-B107</f>
        <v>314435.01379033149</v>
      </c>
      <c r="J107">
        <f t="shared" si="5"/>
        <v>1</v>
      </c>
      <c r="M107">
        <v>10300</v>
      </c>
      <c r="N107">
        <v>0.03</v>
      </c>
      <c r="O107">
        <v>0.97</v>
      </c>
    </row>
    <row r="108" spans="1:15" x14ac:dyDescent="0.25">
      <c r="A108">
        <v>105</v>
      </c>
      <c r="B108" s="3">
        <f>NoMTC!K106</f>
        <v>103359.91833556601</v>
      </c>
      <c r="C108" s="2">
        <f>NoMTC!I106</f>
        <v>8.0103900329156499</v>
      </c>
      <c r="D108" s="3">
        <f>MTC!K106</f>
        <v>106932.025798275</v>
      </c>
      <c r="E108" s="2">
        <f>MTC!I106</f>
        <v>8.2874881806332308</v>
      </c>
      <c r="F108" s="2">
        <f t="shared" si="3"/>
        <v>3572.1074627089984</v>
      </c>
      <c r="G108" s="2">
        <f t="shared" si="4"/>
        <v>0.2770981477175809</v>
      </c>
      <c r="H108" s="3">
        <f>E108*Lambda-D108</f>
        <v>307442.3832333865</v>
      </c>
      <c r="I108" s="3">
        <f>C108*Lambda-B108</f>
        <v>297159.58331021649</v>
      </c>
      <c r="J108">
        <f t="shared" si="5"/>
        <v>1</v>
      </c>
      <c r="M108">
        <v>10400</v>
      </c>
      <c r="N108">
        <v>0.03</v>
      </c>
      <c r="O108">
        <v>0.97</v>
      </c>
    </row>
    <row r="109" spans="1:15" x14ac:dyDescent="0.25">
      <c r="A109">
        <v>106</v>
      </c>
      <c r="B109" s="3">
        <f>NoMTC!K107</f>
        <v>100836.338807387</v>
      </c>
      <c r="C109" s="2">
        <f>NoMTC!I107</f>
        <v>8.5478200182770898</v>
      </c>
      <c r="D109" s="3">
        <f>MTC!K107</f>
        <v>107005.656869903</v>
      </c>
      <c r="E109" s="2">
        <f>MTC!I107</f>
        <v>9.0756853345315207</v>
      </c>
      <c r="F109" s="2">
        <f t="shared" si="3"/>
        <v>6169.3180625160021</v>
      </c>
      <c r="G109" s="2">
        <f t="shared" si="4"/>
        <v>0.52786531625443089</v>
      </c>
      <c r="H109" s="3">
        <f>E109*Lambda-D109</f>
        <v>346778.60985667305</v>
      </c>
      <c r="I109" s="3">
        <f>C109*Lambda-B109</f>
        <v>326554.66210646753</v>
      </c>
      <c r="J109">
        <f t="shared" si="5"/>
        <v>1</v>
      </c>
      <c r="M109">
        <v>10500</v>
      </c>
      <c r="N109">
        <v>0.03</v>
      </c>
      <c r="O109">
        <v>0.97</v>
      </c>
    </row>
    <row r="110" spans="1:15" x14ac:dyDescent="0.25">
      <c r="A110">
        <v>107</v>
      </c>
      <c r="B110" s="3">
        <f>NoMTC!K108</f>
        <v>91309.7005850477</v>
      </c>
      <c r="C110" s="2">
        <f>NoMTC!I108</f>
        <v>8.3545544953416595</v>
      </c>
      <c r="D110" s="3">
        <f>MTC!K108</f>
        <v>94712.831302306702</v>
      </c>
      <c r="E110" s="2">
        <f>MTC!I108</f>
        <v>8.6747532345636902</v>
      </c>
      <c r="F110" s="2">
        <f t="shared" si="3"/>
        <v>3403.1307172590023</v>
      </c>
      <c r="G110" s="2">
        <f t="shared" si="4"/>
        <v>0.32019873922203068</v>
      </c>
      <c r="H110" s="3">
        <f>E110*Lambda-D110</f>
        <v>339024.83042587782</v>
      </c>
      <c r="I110" s="3">
        <f>C110*Lambda-B110</f>
        <v>326418.02418203524</v>
      </c>
      <c r="J110">
        <f t="shared" si="5"/>
        <v>1</v>
      </c>
      <c r="M110">
        <v>10600</v>
      </c>
      <c r="N110">
        <v>3.4000000000000002E-2</v>
      </c>
      <c r="O110">
        <v>0.96599999999999997</v>
      </c>
    </row>
    <row r="111" spans="1:15" x14ac:dyDescent="0.25">
      <c r="A111">
        <v>108</v>
      </c>
      <c r="B111" s="3">
        <f>NoMTC!K109</f>
        <v>96851.479596008794</v>
      </c>
      <c r="C111" s="2">
        <f>NoMTC!I109</f>
        <v>7.1159621754688498</v>
      </c>
      <c r="D111" s="3">
        <f>MTC!K109</f>
        <v>101528.613777715</v>
      </c>
      <c r="E111" s="2">
        <f>MTC!I109</f>
        <v>7.4569408009396998</v>
      </c>
      <c r="F111" s="2">
        <f t="shared" si="3"/>
        <v>4677.1341817062057</v>
      </c>
      <c r="G111" s="2">
        <f t="shared" si="4"/>
        <v>0.34097862547085001</v>
      </c>
      <c r="H111" s="3">
        <f>E111*Lambda-D111</f>
        <v>271318.42626926996</v>
      </c>
      <c r="I111" s="3">
        <f>C111*Lambda-B111</f>
        <v>258946.62917743373</v>
      </c>
      <c r="J111">
        <f t="shared" si="5"/>
        <v>1</v>
      </c>
      <c r="M111">
        <v>10700</v>
      </c>
      <c r="N111">
        <v>0.04</v>
      </c>
      <c r="O111">
        <v>0.96</v>
      </c>
    </row>
    <row r="112" spans="1:15" x14ac:dyDescent="0.25">
      <c r="A112">
        <v>109</v>
      </c>
      <c r="B112" s="3">
        <f>NoMTC!K110</f>
        <v>126622.573912746</v>
      </c>
      <c r="C112" s="2">
        <f>NoMTC!I110</f>
        <v>6.9145707076287701</v>
      </c>
      <c r="D112" s="3">
        <f>MTC!K110</f>
        <v>138927.71487726801</v>
      </c>
      <c r="E112" s="2">
        <f>MTC!I110</f>
        <v>7.5667465145176296</v>
      </c>
      <c r="F112" s="2">
        <f t="shared" si="3"/>
        <v>12305.140964522012</v>
      </c>
      <c r="G112" s="2">
        <f t="shared" si="4"/>
        <v>0.65217580688885946</v>
      </c>
      <c r="H112" s="3">
        <f>E112*Lambda-D112</f>
        <v>239409.61084861349</v>
      </c>
      <c r="I112" s="3">
        <f>C112*Lambda-B112</f>
        <v>219105.96146869252</v>
      </c>
      <c r="J112">
        <f t="shared" si="5"/>
        <v>1</v>
      </c>
      <c r="M112">
        <v>10800</v>
      </c>
      <c r="N112">
        <v>4.3999999999999997E-2</v>
      </c>
      <c r="O112">
        <v>0.95599999999999996</v>
      </c>
    </row>
    <row r="113" spans="1:15" x14ac:dyDescent="0.25">
      <c r="A113">
        <v>110</v>
      </c>
      <c r="B113" s="3">
        <f>NoMTC!K111</f>
        <v>135785.74142843601</v>
      </c>
      <c r="C113" s="2">
        <f>NoMTC!I111</f>
        <v>7.5298763767642898</v>
      </c>
      <c r="D113" s="3">
        <f>MTC!K111</f>
        <v>143091.674366797</v>
      </c>
      <c r="E113" s="2">
        <f>MTC!I111</f>
        <v>7.9313617194325401</v>
      </c>
      <c r="F113" s="2">
        <f t="shared" si="3"/>
        <v>7305.9329383609875</v>
      </c>
      <c r="G113" s="2">
        <f t="shared" si="4"/>
        <v>0.40148534266825031</v>
      </c>
      <c r="H113" s="3">
        <f>E113*Lambda-D113</f>
        <v>253476.41160482998</v>
      </c>
      <c r="I113" s="3">
        <f>C113*Lambda-B113</f>
        <v>240708.07740977849</v>
      </c>
      <c r="J113">
        <f t="shared" si="5"/>
        <v>1</v>
      </c>
      <c r="M113">
        <v>10900</v>
      </c>
      <c r="N113">
        <v>4.5999999999999999E-2</v>
      </c>
      <c r="O113">
        <v>0.95399999999999996</v>
      </c>
    </row>
    <row r="114" spans="1:15" x14ac:dyDescent="0.25">
      <c r="A114">
        <v>111</v>
      </c>
      <c r="B114" s="3">
        <f>NoMTC!K112</f>
        <v>98998.102807649193</v>
      </c>
      <c r="C114" s="2">
        <f>NoMTC!I112</f>
        <v>7.1410765559442702</v>
      </c>
      <c r="D114" s="3">
        <f>MTC!K112</f>
        <v>103876.939447356</v>
      </c>
      <c r="E114" s="2">
        <f>MTC!I112</f>
        <v>7.5051641425105</v>
      </c>
      <c r="F114" s="2">
        <f t="shared" si="3"/>
        <v>4878.8366397068021</v>
      </c>
      <c r="G114" s="2">
        <f t="shared" si="4"/>
        <v>0.36408758656622986</v>
      </c>
      <c r="H114" s="3">
        <f>E114*Lambda-D114</f>
        <v>271381.26767816901</v>
      </c>
      <c r="I114" s="3">
        <f>C114*Lambda-B114</f>
        <v>258055.72498956433</v>
      </c>
      <c r="J114">
        <f t="shared" si="5"/>
        <v>1</v>
      </c>
      <c r="M114">
        <v>11000</v>
      </c>
      <c r="N114">
        <v>5.1999999999999998E-2</v>
      </c>
      <c r="O114">
        <v>0.94799999999999995</v>
      </c>
    </row>
    <row r="115" spans="1:15" x14ac:dyDescent="0.25">
      <c r="A115">
        <v>112</v>
      </c>
      <c r="B115" s="3">
        <f>NoMTC!K113</f>
        <v>119268.143130289</v>
      </c>
      <c r="C115" s="2">
        <f>NoMTC!I113</f>
        <v>7.8471098364187997</v>
      </c>
      <c r="D115" s="3">
        <f>MTC!K113</f>
        <v>125745.28162244101</v>
      </c>
      <c r="E115" s="2">
        <f>MTC!I113</f>
        <v>8.2387386576511599</v>
      </c>
      <c r="F115" s="2">
        <f t="shared" si="3"/>
        <v>6477.1384921520075</v>
      </c>
      <c r="G115" s="2">
        <f t="shared" si="4"/>
        <v>0.3916288212323602</v>
      </c>
      <c r="H115" s="3">
        <f>E115*Lambda-D115</f>
        <v>286191.65126011695</v>
      </c>
      <c r="I115" s="3">
        <f>C115*Lambda-B115</f>
        <v>273087.34869065101</v>
      </c>
      <c r="J115">
        <f t="shared" si="5"/>
        <v>1</v>
      </c>
      <c r="M115">
        <v>11100</v>
      </c>
      <c r="N115">
        <v>5.1999999999999998E-2</v>
      </c>
      <c r="O115">
        <v>0.94799999999999995</v>
      </c>
    </row>
    <row r="116" spans="1:15" x14ac:dyDescent="0.25">
      <c r="A116">
        <v>113</v>
      </c>
      <c r="B116" s="3">
        <f>NoMTC!K114</f>
        <v>130501.554004526</v>
      </c>
      <c r="C116" s="2">
        <f>NoMTC!I114</f>
        <v>8.1693660380963191</v>
      </c>
      <c r="D116" s="3">
        <f>MTC!K114</f>
        <v>137927.540894923</v>
      </c>
      <c r="E116" s="2">
        <f>MTC!I114</f>
        <v>8.6676862577445295</v>
      </c>
      <c r="F116" s="2">
        <f t="shared" si="3"/>
        <v>7425.9868903970055</v>
      </c>
      <c r="G116" s="2">
        <f t="shared" si="4"/>
        <v>0.49832021964821038</v>
      </c>
      <c r="H116" s="3">
        <f>E116*Lambda-D116</f>
        <v>295456.77199230343</v>
      </c>
      <c r="I116" s="3">
        <f>C116*Lambda-B116</f>
        <v>277966.74790028995</v>
      </c>
      <c r="J116">
        <f t="shared" si="5"/>
        <v>1</v>
      </c>
      <c r="M116">
        <v>11200</v>
      </c>
      <c r="N116">
        <v>5.6000000000000001E-2</v>
      </c>
      <c r="O116">
        <v>0.94399999999999995</v>
      </c>
    </row>
    <row r="117" spans="1:15" x14ac:dyDescent="0.25">
      <c r="A117">
        <v>114</v>
      </c>
      <c r="B117" s="3">
        <f>NoMTC!K115</f>
        <v>101971.91880358</v>
      </c>
      <c r="C117" s="2">
        <f>NoMTC!I115</f>
        <v>6.4567249952101902</v>
      </c>
      <c r="D117" s="3">
        <f>MTC!K115</f>
        <v>110613.875695326</v>
      </c>
      <c r="E117" s="2">
        <f>MTC!I115</f>
        <v>6.9996414952404598</v>
      </c>
      <c r="F117" s="2">
        <f t="shared" si="3"/>
        <v>8641.9568917459983</v>
      </c>
      <c r="G117" s="2">
        <f t="shared" si="4"/>
        <v>0.54291650003026959</v>
      </c>
      <c r="H117" s="3">
        <f>E117*Lambda-D117</f>
        <v>239368.19906669698</v>
      </c>
      <c r="I117" s="3">
        <f>C117*Lambda-B117</f>
        <v>220864.33095692954</v>
      </c>
      <c r="J117">
        <f t="shared" si="5"/>
        <v>1</v>
      </c>
      <c r="M117">
        <v>11300</v>
      </c>
      <c r="N117">
        <v>0.06</v>
      </c>
      <c r="O117">
        <v>0.94</v>
      </c>
    </row>
    <row r="118" spans="1:15" x14ac:dyDescent="0.25">
      <c r="A118">
        <v>115</v>
      </c>
      <c r="B118" s="3">
        <f>NoMTC!K116</f>
        <v>114066.891019911</v>
      </c>
      <c r="C118" s="2">
        <f>NoMTC!I116</f>
        <v>6.7473873345825099</v>
      </c>
      <c r="D118" s="3">
        <f>MTC!K116</f>
        <v>118205.53579850199</v>
      </c>
      <c r="E118" s="2">
        <f>MTC!I116</f>
        <v>7.0116933853779502</v>
      </c>
      <c r="F118" s="2">
        <f t="shared" si="3"/>
        <v>4138.6447785909986</v>
      </c>
      <c r="G118" s="2">
        <f t="shared" si="4"/>
        <v>0.26430605079544023</v>
      </c>
      <c r="H118" s="3">
        <f>E118*Lambda-D118</f>
        <v>232379.13347039552</v>
      </c>
      <c r="I118" s="3">
        <f>C118*Lambda-B118</f>
        <v>223302.47570921452</v>
      </c>
      <c r="J118">
        <f t="shared" si="5"/>
        <v>1</v>
      </c>
      <c r="M118">
        <v>11400</v>
      </c>
      <c r="N118">
        <v>6.8000000000000005E-2</v>
      </c>
      <c r="O118">
        <v>0.93199999999999994</v>
      </c>
    </row>
    <row r="119" spans="1:15" x14ac:dyDescent="0.25">
      <c r="A119">
        <v>116</v>
      </c>
      <c r="B119" s="3">
        <f>NoMTC!K117</f>
        <v>156589.632744389</v>
      </c>
      <c r="C119" s="2">
        <f>NoMTC!I117</f>
        <v>8.3216499425298398</v>
      </c>
      <c r="D119" s="3">
        <f>MTC!K117</f>
        <v>162935.505249426</v>
      </c>
      <c r="E119" s="2">
        <f>MTC!I117</f>
        <v>8.6566440363725103</v>
      </c>
      <c r="F119" s="2">
        <f t="shared" si="3"/>
        <v>6345.8725050369976</v>
      </c>
      <c r="G119" s="2">
        <f t="shared" si="4"/>
        <v>0.33499409384267054</v>
      </c>
      <c r="H119" s="3">
        <f>E119*Lambda-D119</f>
        <v>269896.6965691995</v>
      </c>
      <c r="I119" s="3">
        <f>C119*Lambda-B119</f>
        <v>259492.86438210297</v>
      </c>
      <c r="J119">
        <f t="shared" si="5"/>
        <v>1</v>
      </c>
      <c r="M119">
        <v>11500</v>
      </c>
      <c r="N119">
        <v>7.0000000000000007E-2</v>
      </c>
      <c r="O119">
        <v>0.92999999999999994</v>
      </c>
    </row>
    <row r="120" spans="1:15" x14ac:dyDescent="0.25">
      <c r="A120">
        <v>117</v>
      </c>
      <c r="B120" s="3">
        <f>NoMTC!K118</f>
        <v>115285.183975994</v>
      </c>
      <c r="C120" s="2">
        <f>NoMTC!I118</f>
        <v>7.9120422527696901</v>
      </c>
      <c r="D120" s="3">
        <f>MTC!K118</f>
        <v>119270.980377232</v>
      </c>
      <c r="E120" s="2">
        <f>MTC!I118</f>
        <v>8.1821157332699208</v>
      </c>
      <c r="F120" s="2">
        <f t="shared" si="3"/>
        <v>3985.7964012379962</v>
      </c>
      <c r="G120" s="2">
        <f t="shared" si="4"/>
        <v>0.27007348050023072</v>
      </c>
      <c r="H120" s="3">
        <f>E120*Lambda-D120</f>
        <v>289834.80628626404</v>
      </c>
      <c r="I120" s="3">
        <f>C120*Lambda-B120</f>
        <v>280316.92866249051</v>
      </c>
      <c r="J120">
        <f t="shared" si="5"/>
        <v>1</v>
      </c>
      <c r="M120">
        <v>11600</v>
      </c>
      <c r="N120">
        <v>7.3999999999999996E-2</v>
      </c>
      <c r="O120">
        <v>0.92600000000000005</v>
      </c>
    </row>
    <row r="121" spans="1:15" x14ac:dyDescent="0.25">
      <c r="A121">
        <v>118</v>
      </c>
      <c r="B121" s="3">
        <f>NoMTC!K119</f>
        <v>93583.100508832198</v>
      </c>
      <c r="C121" s="2">
        <f>NoMTC!I119</f>
        <v>8.4839310042868004</v>
      </c>
      <c r="D121" s="3">
        <f>MTC!K119</f>
        <v>99909.954269382302</v>
      </c>
      <c r="E121" s="2">
        <f>MTC!I119</f>
        <v>9.0755297218263298</v>
      </c>
      <c r="F121" s="2">
        <f t="shared" si="3"/>
        <v>6326.8537605501042</v>
      </c>
      <c r="G121" s="2">
        <f t="shared" si="4"/>
        <v>0.59159871753952942</v>
      </c>
      <c r="H121" s="3">
        <f>E121*Lambda-D121</f>
        <v>353866.53182193422</v>
      </c>
      <c r="I121" s="3">
        <f>C121*Lambda-B121</f>
        <v>330613.44970550784</v>
      </c>
      <c r="J121">
        <f t="shared" si="5"/>
        <v>1</v>
      </c>
      <c r="M121">
        <v>11700</v>
      </c>
      <c r="N121">
        <v>0.08</v>
      </c>
      <c r="O121">
        <v>0.92</v>
      </c>
    </row>
    <row r="122" spans="1:15" x14ac:dyDescent="0.25">
      <c r="A122">
        <v>119</v>
      </c>
      <c r="B122" s="3">
        <f>NoMTC!K120</f>
        <v>110519.616318047</v>
      </c>
      <c r="C122" s="2">
        <f>NoMTC!I120</f>
        <v>7.5773180381850098</v>
      </c>
      <c r="D122" s="3">
        <f>MTC!K120</f>
        <v>122797.612983817</v>
      </c>
      <c r="E122" s="2">
        <f>MTC!I120</f>
        <v>8.4167171818286501</v>
      </c>
      <c r="F122" s="2">
        <f t="shared" si="3"/>
        <v>12277.996665769999</v>
      </c>
      <c r="G122" s="2">
        <f t="shared" si="4"/>
        <v>0.83939914364364032</v>
      </c>
      <c r="H122" s="3">
        <f>E122*Lambda-D122</f>
        <v>298038.24610761553</v>
      </c>
      <c r="I122" s="3">
        <f>C122*Lambda-B122</f>
        <v>268346.28559120349</v>
      </c>
      <c r="J122">
        <f t="shared" si="5"/>
        <v>1</v>
      </c>
      <c r="M122">
        <v>11800</v>
      </c>
      <c r="N122">
        <v>0.08</v>
      </c>
      <c r="O122">
        <v>0.92</v>
      </c>
    </row>
    <row r="123" spans="1:15" x14ac:dyDescent="0.25">
      <c r="A123">
        <v>120</v>
      </c>
      <c r="B123" s="3">
        <f>NoMTC!K121</f>
        <v>93786.946031908796</v>
      </c>
      <c r="C123" s="2">
        <f>NoMTC!I121</f>
        <v>7.1609113735463197</v>
      </c>
      <c r="D123" s="3">
        <f>MTC!K121</f>
        <v>101468.867378633</v>
      </c>
      <c r="E123" s="2">
        <f>MTC!I121</f>
        <v>7.72817684581055</v>
      </c>
      <c r="F123" s="2">
        <f t="shared" si="3"/>
        <v>7681.921346724208</v>
      </c>
      <c r="G123" s="2">
        <f t="shared" si="4"/>
        <v>0.5672654722642303</v>
      </c>
      <c r="H123" s="3">
        <f>E123*Lambda-D123</f>
        <v>284939.97491189447</v>
      </c>
      <c r="I123" s="3">
        <f>C123*Lambda-B123</f>
        <v>264258.62264540722</v>
      </c>
      <c r="J123">
        <f t="shared" si="5"/>
        <v>1</v>
      </c>
      <c r="M123">
        <v>11900</v>
      </c>
      <c r="N123">
        <v>0.09</v>
      </c>
      <c r="O123">
        <v>0.91</v>
      </c>
    </row>
    <row r="124" spans="1:15" x14ac:dyDescent="0.25">
      <c r="A124">
        <v>121</v>
      </c>
      <c r="B124" s="3">
        <f>NoMTC!K122</f>
        <v>98089.910717913503</v>
      </c>
      <c r="C124" s="2">
        <f>NoMTC!I122</f>
        <v>7.7852278776651396</v>
      </c>
      <c r="D124" s="3">
        <f>MTC!K122</f>
        <v>98649.541302768994</v>
      </c>
      <c r="E124" s="2">
        <f>MTC!I122</f>
        <v>7.8409892213808501</v>
      </c>
      <c r="F124" s="2">
        <f t="shared" si="3"/>
        <v>559.63058485549118</v>
      </c>
      <c r="G124" s="2">
        <f t="shared" si="4"/>
        <v>5.576134371571051E-2</v>
      </c>
      <c r="H124" s="3">
        <f>E124*Lambda-D124</f>
        <v>293399.91976627352</v>
      </c>
      <c r="I124" s="3">
        <f>C124*Lambda-B124</f>
        <v>291171.48316534352</v>
      </c>
      <c r="J124">
        <f t="shared" si="5"/>
        <v>1</v>
      </c>
      <c r="M124">
        <v>12000</v>
      </c>
      <c r="N124">
        <v>9.8000000000000004E-2</v>
      </c>
      <c r="O124">
        <v>0.90200000000000002</v>
      </c>
    </row>
    <row r="125" spans="1:15" x14ac:dyDescent="0.25">
      <c r="A125">
        <v>122</v>
      </c>
      <c r="B125" s="3">
        <f>NoMTC!K123</f>
        <v>109733.227811365</v>
      </c>
      <c r="C125" s="2">
        <f>NoMTC!I123</f>
        <v>8.5591313953925798</v>
      </c>
      <c r="D125" s="3">
        <f>MTC!K123</f>
        <v>114492.16871429401</v>
      </c>
      <c r="E125" s="2">
        <f>MTC!I123</f>
        <v>8.9535467791975396</v>
      </c>
      <c r="F125" s="2">
        <f t="shared" si="3"/>
        <v>4758.9409029290109</v>
      </c>
      <c r="G125" s="2">
        <f t="shared" si="4"/>
        <v>0.39441538380495977</v>
      </c>
      <c r="H125" s="3">
        <f>E125*Lambda-D125</f>
        <v>333185.17024558294</v>
      </c>
      <c r="I125" s="3">
        <f>C125*Lambda-B125</f>
        <v>318223.34195826401</v>
      </c>
      <c r="J125">
        <f t="shared" si="5"/>
        <v>1</v>
      </c>
      <c r="M125">
        <v>12100</v>
      </c>
      <c r="N125">
        <v>0.112</v>
      </c>
      <c r="O125">
        <v>0.88800000000000001</v>
      </c>
    </row>
    <row r="126" spans="1:15" x14ac:dyDescent="0.25">
      <c r="A126">
        <v>123</v>
      </c>
      <c r="B126" s="3">
        <f>NoMTC!K124</f>
        <v>114228.605449549</v>
      </c>
      <c r="C126" s="2">
        <f>NoMTC!I124</f>
        <v>8.6773585704536291</v>
      </c>
      <c r="D126" s="3">
        <f>MTC!K124</f>
        <v>122427.002531705</v>
      </c>
      <c r="E126" s="2">
        <f>MTC!I124</f>
        <v>9.2716979543115094</v>
      </c>
      <c r="F126" s="2">
        <f t="shared" si="3"/>
        <v>8198.3970821560069</v>
      </c>
      <c r="G126" s="2">
        <f t="shared" si="4"/>
        <v>0.59433938385788032</v>
      </c>
      <c r="H126" s="3">
        <f>E126*Lambda-D126</f>
        <v>341157.89518387045</v>
      </c>
      <c r="I126" s="3">
        <f>C126*Lambda-B126</f>
        <v>319639.32307313249</v>
      </c>
      <c r="J126">
        <f t="shared" si="5"/>
        <v>1</v>
      </c>
      <c r="M126">
        <v>12200</v>
      </c>
      <c r="N126">
        <v>0.11799999999999999</v>
      </c>
      <c r="O126">
        <v>0.88200000000000001</v>
      </c>
    </row>
    <row r="127" spans="1:15" x14ac:dyDescent="0.25">
      <c r="A127">
        <v>124</v>
      </c>
      <c r="B127" s="3">
        <f>NoMTC!K125</f>
        <v>110204.247752507</v>
      </c>
      <c r="C127" s="2">
        <f>NoMTC!I125</f>
        <v>8.0346710584745207</v>
      </c>
      <c r="D127" s="3">
        <f>MTC!K125</f>
        <v>116122.736996686</v>
      </c>
      <c r="E127" s="2">
        <f>MTC!I125</f>
        <v>8.4485106138644106</v>
      </c>
      <c r="F127" s="2">
        <f t="shared" si="3"/>
        <v>5918.4892441789998</v>
      </c>
      <c r="G127" s="2">
        <f t="shared" si="4"/>
        <v>0.41383955538988992</v>
      </c>
      <c r="H127" s="3">
        <f>E127*Lambda-D127</f>
        <v>306302.79369653459</v>
      </c>
      <c r="I127" s="3">
        <f>C127*Lambda-B127</f>
        <v>291529.30517121905</v>
      </c>
      <c r="J127">
        <f t="shared" si="5"/>
        <v>1</v>
      </c>
      <c r="M127">
        <v>12300</v>
      </c>
      <c r="N127">
        <v>0.128</v>
      </c>
      <c r="O127">
        <v>0.872</v>
      </c>
    </row>
    <row r="128" spans="1:15" x14ac:dyDescent="0.25">
      <c r="A128">
        <v>125</v>
      </c>
      <c r="B128" s="3">
        <f>NoMTC!K126</f>
        <v>107192.974235424</v>
      </c>
      <c r="C128" s="2">
        <f>NoMTC!I126</f>
        <v>7.1704434309571399</v>
      </c>
      <c r="D128" s="3">
        <f>MTC!K126</f>
        <v>111991.808244549</v>
      </c>
      <c r="E128" s="2">
        <f>MTC!I126</f>
        <v>7.4780783496942398</v>
      </c>
      <c r="F128" s="2">
        <f t="shared" si="3"/>
        <v>4798.8340091249993</v>
      </c>
      <c r="G128" s="2">
        <f t="shared" si="4"/>
        <v>0.30763491873709992</v>
      </c>
      <c r="H128" s="3">
        <f>E128*Lambda-D128</f>
        <v>261912.10924016297</v>
      </c>
      <c r="I128" s="3">
        <f>C128*Lambda-B128</f>
        <v>251329.19731243298</v>
      </c>
      <c r="J128">
        <f t="shared" si="5"/>
        <v>1</v>
      </c>
      <c r="M128">
        <v>12400</v>
      </c>
      <c r="N128">
        <v>0.13200000000000001</v>
      </c>
      <c r="O128">
        <v>0.86799999999999999</v>
      </c>
    </row>
    <row r="129" spans="1:15" x14ac:dyDescent="0.25">
      <c r="A129">
        <v>126</v>
      </c>
      <c r="B129" s="3">
        <f>NoMTC!K127</f>
        <v>109165.759547106</v>
      </c>
      <c r="C129" s="2">
        <f>NoMTC!I127</f>
        <v>7.9713326197090897</v>
      </c>
      <c r="D129" s="3">
        <f>MTC!K127</f>
        <v>115557.749168496</v>
      </c>
      <c r="E129" s="2">
        <f>MTC!I127</f>
        <v>8.4365540824526803</v>
      </c>
      <c r="F129" s="2">
        <f t="shared" si="3"/>
        <v>6391.989621389992</v>
      </c>
      <c r="G129" s="2">
        <f t="shared" si="4"/>
        <v>0.46522146274359066</v>
      </c>
      <c r="H129" s="3">
        <f>E129*Lambda-D129</f>
        <v>306269.95495413803</v>
      </c>
      <c r="I129" s="3">
        <f>C129*Lambda-B129</f>
        <v>289400.87143834849</v>
      </c>
      <c r="J129">
        <f t="shared" si="5"/>
        <v>1</v>
      </c>
      <c r="M129">
        <v>12500</v>
      </c>
      <c r="N129">
        <v>0.14399999999999999</v>
      </c>
      <c r="O129">
        <v>0.85599999999999998</v>
      </c>
    </row>
    <row r="130" spans="1:15" x14ac:dyDescent="0.25">
      <c r="A130">
        <v>127</v>
      </c>
      <c r="B130" s="3">
        <f>NoMTC!K128</f>
        <v>115791.924570944</v>
      </c>
      <c r="C130" s="2">
        <f>NoMTC!I128</f>
        <v>8.4955244493911692</v>
      </c>
      <c r="D130" s="3">
        <f>MTC!K128</f>
        <v>123182.477668273</v>
      </c>
      <c r="E130" s="2">
        <f>MTC!I128</f>
        <v>9.0205989638234403</v>
      </c>
      <c r="F130" s="2">
        <f t="shared" si="3"/>
        <v>7390.5530973290006</v>
      </c>
      <c r="G130" s="2">
        <f t="shared" si="4"/>
        <v>0.52507451443227104</v>
      </c>
      <c r="H130" s="3">
        <f>E130*Lambda-D130</f>
        <v>327847.47052289906</v>
      </c>
      <c r="I130" s="3">
        <f>C130*Lambda-B130</f>
        <v>308984.29789861449</v>
      </c>
      <c r="J130">
        <f t="shared" si="5"/>
        <v>1</v>
      </c>
      <c r="M130">
        <v>12600</v>
      </c>
      <c r="N130">
        <v>0.154</v>
      </c>
      <c r="O130">
        <v>0.84599999999999997</v>
      </c>
    </row>
    <row r="131" spans="1:15" x14ac:dyDescent="0.25">
      <c r="A131">
        <v>128</v>
      </c>
      <c r="B131" s="3">
        <f>NoMTC!K129</f>
        <v>121971.869448818</v>
      </c>
      <c r="C131" s="2">
        <f>NoMTC!I129</f>
        <v>8.3110364824426899</v>
      </c>
      <c r="D131" s="3">
        <f>MTC!K129</f>
        <v>128558.08001541199</v>
      </c>
      <c r="E131" s="2">
        <f>MTC!I129</f>
        <v>8.7426175102540302</v>
      </c>
      <c r="F131" s="2">
        <f t="shared" si="3"/>
        <v>6586.2105665939889</v>
      </c>
      <c r="G131" s="2">
        <f t="shared" si="4"/>
        <v>0.43158102781134033</v>
      </c>
      <c r="H131" s="3">
        <f>E131*Lambda-D131</f>
        <v>308572.79549728951</v>
      </c>
      <c r="I131" s="3">
        <f>C131*Lambda-B131</f>
        <v>293579.95467331645</v>
      </c>
      <c r="J131">
        <f t="shared" si="5"/>
        <v>1</v>
      </c>
      <c r="M131">
        <v>12700</v>
      </c>
      <c r="N131">
        <v>0.16200000000000001</v>
      </c>
      <c r="O131">
        <v>0.83799999999999997</v>
      </c>
    </row>
    <row r="132" spans="1:15" x14ac:dyDescent="0.25">
      <c r="A132">
        <v>129</v>
      </c>
      <c r="B132" s="3">
        <f>NoMTC!K130</f>
        <v>145385.636594223</v>
      </c>
      <c r="C132" s="2">
        <f>NoMTC!I130</f>
        <v>7.8888461618349899</v>
      </c>
      <c r="D132" s="3">
        <f>MTC!K130</f>
        <v>154171.135234619</v>
      </c>
      <c r="E132" s="2">
        <f>MTC!I130</f>
        <v>8.3173471891518602</v>
      </c>
      <c r="F132" s="2">
        <f t="shared" si="3"/>
        <v>8785.498640395992</v>
      </c>
      <c r="G132" s="2">
        <f t="shared" si="4"/>
        <v>0.42850102731687034</v>
      </c>
      <c r="H132" s="3">
        <f>E132*Lambda-D132</f>
        <v>261696.22422297401</v>
      </c>
      <c r="I132" s="3">
        <f>C132*Lambda-B132</f>
        <v>249056.67149752649</v>
      </c>
      <c r="J132">
        <f t="shared" si="5"/>
        <v>1</v>
      </c>
      <c r="M132">
        <v>12800</v>
      </c>
      <c r="N132">
        <v>0.17</v>
      </c>
      <c r="O132">
        <v>0.83</v>
      </c>
    </row>
    <row r="133" spans="1:15" x14ac:dyDescent="0.25">
      <c r="A133">
        <v>130</v>
      </c>
      <c r="B133" s="3">
        <f>NoMTC!K131</f>
        <v>110575.954628871</v>
      </c>
      <c r="C133" s="2">
        <f>NoMTC!I131</f>
        <v>8.95338544641392</v>
      </c>
      <c r="D133" s="3">
        <f>MTC!K131</f>
        <v>114774.674033701</v>
      </c>
      <c r="E133" s="2">
        <f>MTC!I131</f>
        <v>9.2947745927145409</v>
      </c>
      <c r="F133" s="2">
        <f t="shared" ref="F133:F196" si="6">D133-B133</f>
        <v>4198.7194048300007</v>
      </c>
      <c r="G133" s="2">
        <f t="shared" ref="G133:G196" si="7">E133-C133</f>
        <v>0.34138914630062089</v>
      </c>
      <c r="H133" s="3">
        <f>E133*Lambda-D133</f>
        <v>349964.05560202606</v>
      </c>
      <c r="I133" s="3">
        <f>C133*Lambda-B133</f>
        <v>337093.31769182498</v>
      </c>
      <c r="J133">
        <f t="shared" ref="J133:J196" si="8">IF(H133=MAX(H133:I133),1,0)</f>
        <v>1</v>
      </c>
      <c r="M133">
        <v>12900</v>
      </c>
      <c r="N133">
        <v>0.18</v>
      </c>
      <c r="O133">
        <v>0.82000000000000006</v>
      </c>
    </row>
    <row r="134" spans="1:15" x14ac:dyDescent="0.25">
      <c r="A134">
        <v>131</v>
      </c>
      <c r="B134" s="3">
        <f>NoMTC!K132</f>
        <v>104468.366935939</v>
      </c>
      <c r="C134" s="2">
        <f>NoMTC!I132</f>
        <v>7.8443280499089596</v>
      </c>
      <c r="D134" s="3">
        <f>MTC!K132</f>
        <v>107590.664173492</v>
      </c>
      <c r="E134" s="2">
        <f>MTC!I132</f>
        <v>8.0769773982675197</v>
      </c>
      <c r="F134" s="2">
        <f t="shared" si="6"/>
        <v>3122.2972375529935</v>
      </c>
      <c r="G134" s="2">
        <f t="shared" si="7"/>
        <v>0.2326493483585601</v>
      </c>
      <c r="H134" s="3">
        <f>E134*Lambda-D134</f>
        <v>296258.205739884</v>
      </c>
      <c r="I134" s="3">
        <f>C134*Lambda-B134</f>
        <v>287748.03555950895</v>
      </c>
      <c r="J134">
        <f t="shared" si="8"/>
        <v>1</v>
      </c>
      <c r="M134">
        <v>13000</v>
      </c>
      <c r="N134">
        <v>0.19</v>
      </c>
      <c r="O134">
        <v>0.81</v>
      </c>
    </row>
    <row r="135" spans="1:15" x14ac:dyDescent="0.25">
      <c r="A135">
        <v>132</v>
      </c>
      <c r="B135" s="3">
        <f>NoMTC!K133</f>
        <v>131341.10483829799</v>
      </c>
      <c r="C135" s="2">
        <f>NoMTC!I133</f>
        <v>8.1058962412675104</v>
      </c>
      <c r="D135" s="3">
        <f>MTC!K133</f>
        <v>134069.432486331</v>
      </c>
      <c r="E135" s="2">
        <f>MTC!I133</f>
        <v>8.2698590893222796</v>
      </c>
      <c r="F135" s="2">
        <f t="shared" si="6"/>
        <v>2728.3276480330096</v>
      </c>
      <c r="G135" s="2">
        <f t="shared" si="7"/>
        <v>0.16396284805476924</v>
      </c>
      <c r="H135" s="3">
        <f>E135*Lambda-D135</f>
        <v>279423.52197978296</v>
      </c>
      <c r="I135" s="3">
        <f>C135*Lambda-B135</f>
        <v>273953.70722507755</v>
      </c>
      <c r="J135">
        <f t="shared" si="8"/>
        <v>1</v>
      </c>
      <c r="M135">
        <v>13100</v>
      </c>
      <c r="N135">
        <v>0.19800000000000001</v>
      </c>
      <c r="O135">
        <v>0.80200000000000005</v>
      </c>
    </row>
    <row r="136" spans="1:15" x14ac:dyDescent="0.25">
      <c r="A136">
        <v>133</v>
      </c>
      <c r="B136" s="3">
        <f>NoMTC!K134</f>
        <v>96710.545433110703</v>
      </c>
      <c r="C136" s="2">
        <f>NoMTC!I134</f>
        <v>7.9573991579897196</v>
      </c>
      <c r="D136" s="3">
        <f>MTC!K134</f>
        <v>101373.822253016</v>
      </c>
      <c r="E136" s="2">
        <f>MTC!I134</f>
        <v>8.3411601226167207</v>
      </c>
      <c r="F136" s="2">
        <f t="shared" si="6"/>
        <v>4663.2768199052953</v>
      </c>
      <c r="G136" s="2">
        <f t="shared" si="7"/>
        <v>0.38376096462700104</v>
      </c>
      <c r="H136" s="3">
        <f>E136*Lambda-D136</f>
        <v>315684.18387782003</v>
      </c>
      <c r="I136" s="3">
        <f>C136*Lambda-B136</f>
        <v>301159.41246637527</v>
      </c>
      <c r="J136">
        <f t="shared" si="8"/>
        <v>1</v>
      </c>
      <c r="M136">
        <v>13200</v>
      </c>
      <c r="N136">
        <v>0.20599999999999999</v>
      </c>
      <c r="O136">
        <v>0.79400000000000004</v>
      </c>
    </row>
    <row r="137" spans="1:15" x14ac:dyDescent="0.25">
      <c r="A137">
        <v>134</v>
      </c>
      <c r="B137" s="3">
        <f>NoMTC!K135</f>
        <v>90435.847758527001</v>
      </c>
      <c r="C137" s="2">
        <f>NoMTC!I135</f>
        <v>6.7258730052451003</v>
      </c>
      <c r="D137" s="3">
        <f>MTC!K135</f>
        <v>97087.612685240296</v>
      </c>
      <c r="E137" s="2">
        <f>MTC!I135</f>
        <v>7.2187281582172602</v>
      </c>
      <c r="F137" s="2">
        <f t="shared" si="6"/>
        <v>6651.7649267132947</v>
      </c>
      <c r="G137" s="2">
        <f t="shared" si="7"/>
        <v>0.49285515297215987</v>
      </c>
      <c r="H137" s="3">
        <f>E137*Lambda-D137</f>
        <v>263848.79522562271</v>
      </c>
      <c r="I137" s="3">
        <f>C137*Lambda-B137</f>
        <v>245857.80250372799</v>
      </c>
      <c r="J137">
        <f t="shared" si="8"/>
        <v>1</v>
      </c>
      <c r="M137">
        <v>13300</v>
      </c>
      <c r="N137">
        <v>0.20599999999999999</v>
      </c>
      <c r="O137">
        <v>0.79400000000000004</v>
      </c>
    </row>
    <row r="138" spans="1:15" x14ac:dyDescent="0.25">
      <c r="A138">
        <v>135</v>
      </c>
      <c r="B138" s="3">
        <f>NoMTC!K136</f>
        <v>131673.590239921</v>
      </c>
      <c r="C138" s="2">
        <f>NoMTC!I136</f>
        <v>8.3302423819979499</v>
      </c>
      <c r="D138" s="3">
        <f>MTC!K136</f>
        <v>135462.207530329</v>
      </c>
      <c r="E138" s="2">
        <f>MTC!I136</f>
        <v>8.5523492901618603</v>
      </c>
      <c r="F138" s="2">
        <f t="shared" si="6"/>
        <v>3788.6172904080013</v>
      </c>
      <c r="G138" s="2">
        <f t="shared" si="7"/>
        <v>0.22210690816391043</v>
      </c>
      <c r="H138" s="3">
        <f>E138*Lambda-D138</f>
        <v>292155.25697776402</v>
      </c>
      <c r="I138" s="3">
        <f>C138*Lambda-B138</f>
        <v>284838.5288599765</v>
      </c>
      <c r="J138">
        <f t="shared" si="8"/>
        <v>1</v>
      </c>
      <c r="M138">
        <v>13400</v>
      </c>
      <c r="N138">
        <v>0.218</v>
      </c>
      <c r="O138">
        <v>0.78200000000000003</v>
      </c>
    </row>
    <row r="139" spans="1:15" x14ac:dyDescent="0.25">
      <c r="A139">
        <v>136</v>
      </c>
      <c r="B139" s="3">
        <f>NoMTC!K137</f>
        <v>146496.63649733501</v>
      </c>
      <c r="C139" s="2">
        <f>NoMTC!I137</f>
        <v>7.9101091125144896</v>
      </c>
      <c r="D139" s="3">
        <f>MTC!K137</f>
        <v>151028.62241144301</v>
      </c>
      <c r="E139" s="2">
        <f>MTC!I137</f>
        <v>8.1529795064031791</v>
      </c>
      <c r="F139" s="2">
        <f t="shared" si="6"/>
        <v>4531.9859141079942</v>
      </c>
      <c r="G139" s="2">
        <f t="shared" si="7"/>
        <v>0.24287039388868958</v>
      </c>
      <c r="H139" s="3">
        <f>E139*Lambda-D139</f>
        <v>256620.35290871593</v>
      </c>
      <c r="I139" s="3">
        <f>C139*Lambda-B139</f>
        <v>249008.81912838944</v>
      </c>
      <c r="J139">
        <f t="shared" si="8"/>
        <v>1</v>
      </c>
      <c r="M139">
        <v>13500</v>
      </c>
      <c r="N139">
        <v>0.23200000000000001</v>
      </c>
      <c r="O139">
        <v>0.76800000000000002</v>
      </c>
    </row>
    <row r="140" spans="1:15" x14ac:dyDescent="0.25">
      <c r="A140">
        <v>137</v>
      </c>
      <c r="B140" s="3">
        <f>NoMTC!K138</f>
        <v>115510.878950453</v>
      </c>
      <c r="C140" s="2">
        <f>NoMTC!I138</f>
        <v>7.7509193088462602</v>
      </c>
      <c r="D140" s="3">
        <f>MTC!K138</f>
        <v>121249.02327758999</v>
      </c>
      <c r="E140" s="2">
        <f>MTC!I138</f>
        <v>8.1371760296216795</v>
      </c>
      <c r="F140" s="2">
        <f t="shared" si="6"/>
        <v>5738.1443271369935</v>
      </c>
      <c r="G140" s="2">
        <f t="shared" si="7"/>
        <v>0.38625672077541928</v>
      </c>
      <c r="H140" s="3">
        <f>E140*Lambda-D140</f>
        <v>285609.77820349397</v>
      </c>
      <c r="I140" s="3">
        <f>C140*Lambda-B140</f>
        <v>272035.08649185998</v>
      </c>
      <c r="J140">
        <f t="shared" si="8"/>
        <v>1</v>
      </c>
      <c r="M140">
        <v>13600</v>
      </c>
      <c r="N140">
        <v>0.24199999999999999</v>
      </c>
      <c r="O140">
        <v>0.75800000000000001</v>
      </c>
    </row>
    <row r="141" spans="1:15" x14ac:dyDescent="0.25">
      <c r="A141">
        <v>138</v>
      </c>
      <c r="B141" s="3">
        <f>NoMTC!K139</f>
        <v>130214.321394331</v>
      </c>
      <c r="C141" s="2">
        <f>NoMTC!I139</f>
        <v>6.4143580872773498</v>
      </c>
      <c r="D141" s="3">
        <f>MTC!K139</f>
        <v>136292.52466020899</v>
      </c>
      <c r="E141" s="2">
        <f>MTC!I139</f>
        <v>6.6999577832477097</v>
      </c>
      <c r="F141" s="2">
        <f t="shared" si="6"/>
        <v>6078.2032658779935</v>
      </c>
      <c r="G141" s="2">
        <f t="shared" si="7"/>
        <v>0.28559969597035995</v>
      </c>
      <c r="H141" s="3">
        <f>E141*Lambda-D141</f>
        <v>198705.3645021765</v>
      </c>
      <c r="I141" s="3">
        <f>C141*Lambda-B141</f>
        <v>190503.58296953648</v>
      </c>
      <c r="J141">
        <f t="shared" si="8"/>
        <v>1</v>
      </c>
      <c r="M141">
        <v>13700</v>
      </c>
      <c r="N141">
        <v>0.254</v>
      </c>
      <c r="O141">
        <v>0.746</v>
      </c>
    </row>
    <row r="142" spans="1:15" x14ac:dyDescent="0.25">
      <c r="A142">
        <v>139</v>
      </c>
      <c r="B142" s="3">
        <f>NoMTC!K140</f>
        <v>113000.020443053</v>
      </c>
      <c r="C142" s="2">
        <f>NoMTC!I140</f>
        <v>7.1989752249936698</v>
      </c>
      <c r="D142" s="3">
        <f>MTC!K140</f>
        <v>117864.227354765</v>
      </c>
      <c r="E142" s="2">
        <f>MTC!I140</f>
        <v>7.4964290433277903</v>
      </c>
      <c r="F142" s="2">
        <f t="shared" si="6"/>
        <v>4864.2069117119972</v>
      </c>
      <c r="G142" s="2">
        <f t="shared" si="7"/>
        <v>0.29745381833412043</v>
      </c>
      <c r="H142" s="3">
        <f>E142*Lambda-D142</f>
        <v>256957.2248116245</v>
      </c>
      <c r="I142" s="3">
        <f>C142*Lambda-B142</f>
        <v>246948.74080663052</v>
      </c>
      <c r="J142">
        <f t="shared" si="8"/>
        <v>1</v>
      </c>
      <c r="M142">
        <v>13800</v>
      </c>
      <c r="N142">
        <v>0.27800000000000002</v>
      </c>
      <c r="O142">
        <v>0.72199999999999998</v>
      </c>
    </row>
    <row r="143" spans="1:15" x14ac:dyDescent="0.25">
      <c r="A143">
        <v>140</v>
      </c>
      <c r="B143" s="3">
        <f>NoMTC!K141</f>
        <v>113001.80008410801</v>
      </c>
      <c r="C143" s="2">
        <f>NoMTC!I141</f>
        <v>8.5014235001386798</v>
      </c>
      <c r="D143" s="3">
        <f>MTC!K141</f>
        <v>120326.26199614001</v>
      </c>
      <c r="E143" s="2">
        <f>MTC!I141</f>
        <v>9.0327392859246096</v>
      </c>
      <c r="F143" s="2">
        <f t="shared" si="6"/>
        <v>7324.4619120319985</v>
      </c>
      <c r="G143" s="2">
        <f t="shared" si="7"/>
        <v>0.53131578578592986</v>
      </c>
      <c r="H143" s="3">
        <f>E143*Lambda-D143</f>
        <v>331310.70230009046</v>
      </c>
      <c r="I143" s="3">
        <f>C143*Lambda-B143</f>
        <v>312069.37492282595</v>
      </c>
      <c r="J143">
        <f t="shared" si="8"/>
        <v>1</v>
      </c>
      <c r="M143">
        <v>13900</v>
      </c>
      <c r="N143">
        <v>0.29399999999999998</v>
      </c>
      <c r="O143">
        <v>0.70599999999999996</v>
      </c>
    </row>
    <row r="144" spans="1:15" x14ac:dyDescent="0.25">
      <c r="A144">
        <v>141</v>
      </c>
      <c r="B144" s="3">
        <f>NoMTC!K142</f>
        <v>115176.518114027</v>
      </c>
      <c r="C144" s="2">
        <f>NoMTC!I142</f>
        <v>8.1331810327725105</v>
      </c>
      <c r="D144" s="3">
        <f>MTC!K142</f>
        <v>124472.465949223</v>
      </c>
      <c r="E144" s="2">
        <f>MTC!I142</f>
        <v>8.8001161659059601</v>
      </c>
      <c r="F144" s="2">
        <f t="shared" si="6"/>
        <v>9295.9478351959988</v>
      </c>
      <c r="G144" s="2">
        <f t="shared" si="7"/>
        <v>0.66693513313344965</v>
      </c>
      <c r="H144" s="3">
        <f>E144*Lambda-D144</f>
        <v>315533.34234607499</v>
      </c>
      <c r="I144" s="3">
        <f>C144*Lambda-B144</f>
        <v>291482.53352459852</v>
      </c>
      <c r="J144">
        <f t="shared" si="8"/>
        <v>1</v>
      </c>
      <c r="M144">
        <v>14000</v>
      </c>
      <c r="N144">
        <v>0.312</v>
      </c>
      <c r="O144">
        <v>0.68799999999999994</v>
      </c>
    </row>
    <row r="145" spans="1:15" x14ac:dyDescent="0.25">
      <c r="A145">
        <v>142</v>
      </c>
      <c r="B145" s="3">
        <f>NoMTC!K143</f>
        <v>97575.208795337094</v>
      </c>
      <c r="C145" s="2">
        <f>NoMTC!I143</f>
        <v>7.2955909412809303</v>
      </c>
      <c r="D145" s="3">
        <f>MTC!K143</f>
        <v>103692.81853648101</v>
      </c>
      <c r="E145" s="2">
        <f>MTC!I143</f>
        <v>7.7678933999001503</v>
      </c>
      <c r="F145" s="2">
        <f t="shared" si="6"/>
        <v>6117.6097411439114</v>
      </c>
      <c r="G145" s="2">
        <f t="shared" si="7"/>
        <v>0.47230245861921993</v>
      </c>
      <c r="H145" s="3">
        <f>E145*Lambda-D145</f>
        <v>284701.85145852651</v>
      </c>
      <c r="I145" s="3">
        <f>C145*Lambda-B145</f>
        <v>267204.33826870937</v>
      </c>
      <c r="J145">
        <f t="shared" si="8"/>
        <v>1</v>
      </c>
      <c r="M145">
        <v>14100</v>
      </c>
      <c r="N145">
        <v>0.32</v>
      </c>
      <c r="O145">
        <v>0.67999999999999994</v>
      </c>
    </row>
    <row r="146" spans="1:15" x14ac:dyDescent="0.25">
      <c r="A146">
        <v>143</v>
      </c>
      <c r="B146" s="3">
        <f>NoMTC!K144</f>
        <v>111264.53001752</v>
      </c>
      <c r="C146" s="2">
        <f>NoMTC!I144</f>
        <v>6.6172972390938103</v>
      </c>
      <c r="D146" s="3">
        <f>MTC!K144</f>
        <v>119738.507558008</v>
      </c>
      <c r="E146" s="2">
        <f>MTC!I144</f>
        <v>7.0772247541953499</v>
      </c>
      <c r="F146" s="2">
        <f t="shared" si="6"/>
        <v>8473.9775404880056</v>
      </c>
      <c r="G146" s="2">
        <f t="shared" si="7"/>
        <v>0.45992751510153962</v>
      </c>
      <c r="H146" s="3">
        <f>E146*Lambda-D146</f>
        <v>234122.73015175946</v>
      </c>
      <c r="I146" s="3">
        <f>C146*Lambda-B146</f>
        <v>219600.33193717053</v>
      </c>
      <c r="J146">
        <f t="shared" si="8"/>
        <v>1</v>
      </c>
      <c r="M146">
        <v>14200</v>
      </c>
      <c r="N146">
        <v>0.33200000000000002</v>
      </c>
      <c r="O146">
        <v>0.66799999999999993</v>
      </c>
    </row>
    <row r="147" spans="1:15" x14ac:dyDescent="0.25">
      <c r="A147">
        <v>144</v>
      </c>
      <c r="B147" s="3">
        <f>NoMTC!K145</f>
        <v>134999.412714568</v>
      </c>
      <c r="C147" s="2">
        <f>NoMTC!I145</f>
        <v>8.0392890893827804</v>
      </c>
      <c r="D147" s="3">
        <f>MTC!K145</f>
        <v>136050.72048068</v>
      </c>
      <c r="E147" s="2">
        <f>MTC!I145</f>
        <v>8.0996046795086301</v>
      </c>
      <c r="F147" s="2">
        <f t="shared" si="6"/>
        <v>1051.3077661120042</v>
      </c>
      <c r="G147" s="2">
        <f t="shared" si="7"/>
        <v>6.0315590125849639E-2</v>
      </c>
      <c r="H147" s="3">
        <f>E147*Lambda-D147</f>
        <v>268929.51349475147</v>
      </c>
      <c r="I147" s="3">
        <f>C147*Lambda-B147</f>
        <v>266965.04175457102</v>
      </c>
      <c r="J147">
        <f t="shared" si="8"/>
        <v>1</v>
      </c>
      <c r="M147">
        <v>14300</v>
      </c>
      <c r="N147">
        <v>0.34799999999999998</v>
      </c>
      <c r="O147">
        <v>0.65200000000000002</v>
      </c>
    </row>
    <row r="148" spans="1:15" x14ac:dyDescent="0.25">
      <c r="A148">
        <v>145</v>
      </c>
      <c r="B148" s="3">
        <f>NoMTC!K146</f>
        <v>104521.77559116</v>
      </c>
      <c r="C148" s="2">
        <f>NoMTC!I146</f>
        <v>7.7458356515770701</v>
      </c>
      <c r="D148" s="3">
        <f>MTC!K146</f>
        <v>104667.33313403399</v>
      </c>
      <c r="E148" s="2">
        <f>MTC!I146</f>
        <v>7.7632284366089204</v>
      </c>
      <c r="F148" s="2">
        <f t="shared" si="6"/>
        <v>145.55754287399759</v>
      </c>
      <c r="G148" s="2">
        <f t="shared" si="7"/>
        <v>1.7392785031850266E-2</v>
      </c>
      <c r="H148" s="3">
        <f>E148*Lambda-D148</f>
        <v>283494.08869641199</v>
      </c>
      <c r="I148" s="3">
        <f>C148*Lambda-B148</f>
        <v>282770.00698769349</v>
      </c>
      <c r="J148">
        <f t="shared" si="8"/>
        <v>1</v>
      </c>
      <c r="M148">
        <v>14400</v>
      </c>
      <c r="N148">
        <v>0.36</v>
      </c>
      <c r="O148">
        <v>0.64</v>
      </c>
    </row>
    <row r="149" spans="1:15" x14ac:dyDescent="0.25">
      <c r="A149">
        <v>146</v>
      </c>
      <c r="B149" s="3">
        <f>NoMTC!K147</f>
        <v>123701.961102639</v>
      </c>
      <c r="C149" s="2">
        <f>NoMTC!I147</f>
        <v>7.5995396219680096</v>
      </c>
      <c r="D149" s="3">
        <f>MTC!K147</f>
        <v>137226.327252649</v>
      </c>
      <c r="E149" s="2">
        <f>MTC!I147</f>
        <v>8.4310004843903599</v>
      </c>
      <c r="F149" s="2">
        <f t="shared" si="6"/>
        <v>13524.366150009999</v>
      </c>
      <c r="G149" s="2">
        <f t="shared" si="7"/>
        <v>0.83146086242235029</v>
      </c>
      <c r="H149" s="3">
        <f>E149*Lambda-D149</f>
        <v>284323.696966869</v>
      </c>
      <c r="I149" s="3">
        <f>C149*Lambda-B149</f>
        <v>256275.01999576148</v>
      </c>
      <c r="J149">
        <f t="shared" si="8"/>
        <v>1</v>
      </c>
      <c r="M149">
        <v>14500</v>
      </c>
      <c r="N149">
        <v>0.37</v>
      </c>
      <c r="O149">
        <v>0.63</v>
      </c>
    </row>
    <row r="150" spans="1:15" x14ac:dyDescent="0.25">
      <c r="A150">
        <v>147</v>
      </c>
      <c r="B150" s="3">
        <f>NoMTC!K148</f>
        <v>109053.10859247899</v>
      </c>
      <c r="C150" s="2">
        <f>NoMTC!I148</f>
        <v>7.6865804448242896</v>
      </c>
      <c r="D150" s="3">
        <f>MTC!K148</f>
        <v>118771.61854911099</v>
      </c>
      <c r="E150" s="2">
        <f>MTC!I148</f>
        <v>8.3476899390454893</v>
      </c>
      <c r="F150" s="2">
        <f t="shared" si="6"/>
        <v>9718.5099566319986</v>
      </c>
      <c r="G150" s="2">
        <f t="shared" si="7"/>
        <v>0.66110949422119969</v>
      </c>
      <c r="H150" s="3">
        <f>E150*Lambda-D150</f>
        <v>298612.87840316346</v>
      </c>
      <c r="I150" s="3">
        <f>C150*Lambda-B150</f>
        <v>275275.9136487355</v>
      </c>
      <c r="J150">
        <f t="shared" si="8"/>
        <v>1</v>
      </c>
      <c r="M150">
        <v>14600</v>
      </c>
      <c r="N150">
        <v>0.38400000000000001</v>
      </c>
      <c r="O150">
        <v>0.61599999999999999</v>
      </c>
    </row>
    <row r="151" spans="1:15" x14ac:dyDescent="0.25">
      <c r="A151">
        <v>148</v>
      </c>
      <c r="B151" s="3">
        <f>NoMTC!K149</f>
        <v>98776.934471821805</v>
      </c>
      <c r="C151" s="2">
        <f>NoMTC!I149</f>
        <v>7.2273698303738598</v>
      </c>
      <c r="D151" s="3">
        <f>MTC!K149</f>
        <v>105715.611357113</v>
      </c>
      <c r="E151" s="2">
        <f>MTC!I149</f>
        <v>7.7471529982962304</v>
      </c>
      <c r="F151" s="2">
        <f t="shared" si="6"/>
        <v>6938.6768852911919</v>
      </c>
      <c r="G151" s="2">
        <f t="shared" si="7"/>
        <v>0.51978316792237056</v>
      </c>
      <c r="H151" s="3">
        <f>E151*Lambda-D151</f>
        <v>281642.03855769854</v>
      </c>
      <c r="I151" s="3">
        <f>C151*Lambda-B151</f>
        <v>262591.55704687117</v>
      </c>
      <c r="J151">
        <f t="shared" si="8"/>
        <v>1</v>
      </c>
      <c r="M151">
        <v>14700</v>
      </c>
      <c r="N151">
        <v>0.39200000000000002</v>
      </c>
      <c r="O151">
        <v>0.60799999999999998</v>
      </c>
    </row>
    <row r="152" spans="1:15" x14ac:dyDescent="0.25">
      <c r="A152">
        <v>149</v>
      </c>
      <c r="B152" s="3">
        <f>NoMTC!K150</f>
        <v>122733.710158011</v>
      </c>
      <c r="C152" s="2">
        <f>NoMTC!I150</f>
        <v>6.9370839049672002</v>
      </c>
      <c r="D152" s="3">
        <f>MTC!K150</f>
        <v>132723.24244966701</v>
      </c>
      <c r="E152" s="2">
        <f>MTC!I150</f>
        <v>7.46857917208012</v>
      </c>
      <c r="F152" s="2">
        <f t="shared" si="6"/>
        <v>9989.5322916560108</v>
      </c>
      <c r="G152" s="2">
        <f t="shared" si="7"/>
        <v>0.53149526711291983</v>
      </c>
      <c r="H152" s="3">
        <f>E152*Lambda-D152</f>
        <v>240705.71615433897</v>
      </c>
      <c r="I152" s="3">
        <f>C152*Lambda-B152</f>
        <v>224120.48509034899</v>
      </c>
      <c r="J152">
        <f t="shared" si="8"/>
        <v>1</v>
      </c>
      <c r="M152">
        <v>14800</v>
      </c>
      <c r="N152">
        <v>0.40400000000000003</v>
      </c>
      <c r="O152">
        <v>0.59599999999999997</v>
      </c>
    </row>
    <row r="153" spans="1:15" x14ac:dyDescent="0.25">
      <c r="A153">
        <v>150</v>
      </c>
      <c r="B153" s="3">
        <f>NoMTC!K151</f>
        <v>126813.719609002</v>
      </c>
      <c r="C153" s="2">
        <f>NoMTC!I151</f>
        <v>9.0005140595170197</v>
      </c>
      <c r="D153" s="3">
        <f>MTC!K151</f>
        <v>130435.28590854</v>
      </c>
      <c r="E153" s="2">
        <f>MTC!I151</f>
        <v>9.2286001233785999</v>
      </c>
      <c r="F153" s="2">
        <f t="shared" si="6"/>
        <v>3621.5662995379971</v>
      </c>
      <c r="G153" s="2">
        <f t="shared" si="7"/>
        <v>0.22808606386158026</v>
      </c>
      <c r="H153" s="3">
        <f>E153*Lambda-D153</f>
        <v>330994.72026038996</v>
      </c>
      <c r="I153" s="3">
        <f>C153*Lambda-B153</f>
        <v>323211.98336684896</v>
      </c>
      <c r="J153">
        <f t="shared" si="8"/>
        <v>1</v>
      </c>
      <c r="M153">
        <v>14900</v>
      </c>
      <c r="N153">
        <v>0.42199999999999999</v>
      </c>
      <c r="O153">
        <v>0.57800000000000007</v>
      </c>
    </row>
    <row r="154" spans="1:15" x14ac:dyDescent="0.25">
      <c r="A154">
        <v>151</v>
      </c>
      <c r="B154" s="3">
        <f>NoMTC!K152</f>
        <v>141149.47813236</v>
      </c>
      <c r="C154" s="2">
        <f>NoMTC!I152</f>
        <v>7.4698463909655199</v>
      </c>
      <c r="D154" s="3">
        <f>MTC!K152</f>
        <v>144767.63364152901</v>
      </c>
      <c r="E154" s="2">
        <f>MTC!I152</f>
        <v>7.6749111416261897</v>
      </c>
      <c r="F154" s="2">
        <f t="shared" si="6"/>
        <v>3618.1555091690097</v>
      </c>
      <c r="G154" s="2">
        <f t="shared" si="7"/>
        <v>0.20506475066066976</v>
      </c>
      <c r="H154" s="3">
        <f>E154*Lambda-D154</f>
        <v>238977.92343978048</v>
      </c>
      <c r="I154" s="3">
        <f>C154*Lambda-B154</f>
        <v>232342.84141591602</v>
      </c>
      <c r="J154">
        <f t="shared" si="8"/>
        <v>1</v>
      </c>
      <c r="M154">
        <v>15000</v>
      </c>
      <c r="N154">
        <v>0.44</v>
      </c>
      <c r="O154">
        <v>0.56000000000000005</v>
      </c>
    </row>
    <row r="155" spans="1:15" x14ac:dyDescent="0.25">
      <c r="A155">
        <v>152</v>
      </c>
      <c r="B155" s="3">
        <f>NoMTC!K153</f>
        <v>90843.414651539802</v>
      </c>
      <c r="C155" s="2">
        <f>NoMTC!I153</f>
        <v>7.58427092210355</v>
      </c>
      <c r="D155" s="3">
        <f>MTC!K153</f>
        <v>93824.731005172202</v>
      </c>
      <c r="E155" s="2">
        <f>MTC!I153</f>
        <v>7.8278335043713803</v>
      </c>
      <c r="F155" s="2">
        <f t="shared" si="6"/>
        <v>2981.3163536323991</v>
      </c>
      <c r="G155" s="2">
        <f t="shared" si="7"/>
        <v>0.24356258226783023</v>
      </c>
      <c r="H155" s="3">
        <f>E155*Lambda-D155</f>
        <v>297566.94421339681</v>
      </c>
      <c r="I155" s="3">
        <f>C155*Lambda-B155</f>
        <v>288370.13145363767</v>
      </c>
      <c r="J155">
        <f t="shared" si="8"/>
        <v>1</v>
      </c>
      <c r="M155">
        <v>15100</v>
      </c>
      <c r="N155">
        <v>0.45600000000000002</v>
      </c>
      <c r="O155">
        <v>0.54400000000000004</v>
      </c>
    </row>
    <row r="156" spans="1:15" x14ac:dyDescent="0.25">
      <c r="A156">
        <v>153</v>
      </c>
      <c r="B156" s="3">
        <f>NoMTC!K154</f>
        <v>110430.400795433</v>
      </c>
      <c r="C156" s="2">
        <f>NoMTC!I154</f>
        <v>6.20446937054676</v>
      </c>
      <c r="D156" s="3">
        <f>MTC!K154</f>
        <v>116589.907197878</v>
      </c>
      <c r="E156" s="2">
        <f>MTC!I154</f>
        <v>6.5182502779034701</v>
      </c>
      <c r="F156" s="2">
        <f t="shared" si="6"/>
        <v>6159.5064024449966</v>
      </c>
      <c r="G156" s="2">
        <f t="shared" si="7"/>
        <v>0.31378090735671016</v>
      </c>
      <c r="H156" s="3">
        <f>E156*Lambda-D156</f>
        <v>209322.6066972955</v>
      </c>
      <c r="I156" s="3">
        <f>C156*Lambda-B156</f>
        <v>199793.067731905</v>
      </c>
      <c r="J156">
        <f t="shared" si="8"/>
        <v>1</v>
      </c>
      <c r="M156">
        <v>15200</v>
      </c>
      <c r="N156">
        <v>0.47</v>
      </c>
      <c r="O156">
        <v>0.53</v>
      </c>
    </row>
    <row r="157" spans="1:15" x14ac:dyDescent="0.25">
      <c r="A157">
        <v>154</v>
      </c>
      <c r="B157" s="3">
        <f>NoMTC!K155</f>
        <v>140618.14255757301</v>
      </c>
      <c r="C157" s="2">
        <f>NoMTC!I155</f>
        <v>8.7794752052719307</v>
      </c>
      <c r="D157" s="3">
        <f>MTC!K155</f>
        <v>146126.27265667301</v>
      </c>
      <c r="E157" s="2">
        <f>MTC!I155</f>
        <v>9.07992369342168</v>
      </c>
      <c r="F157" s="2">
        <f t="shared" si="6"/>
        <v>5508.1300991000026</v>
      </c>
      <c r="G157" s="2">
        <f t="shared" si="7"/>
        <v>0.30044848814974934</v>
      </c>
      <c r="H157" s="3">
        <f>E157*Lambda-D157</f>
        <v>307869.91201441095</v>
      </c>
      <c r="I157" s="3">
        <f>C157*Lambda-B157</f>
        <v>298355.61770602351</v>
      </c>
      <c r="J157">
        <f t="shared" si="8"/>
        <v>1</v>
      </c>
      <c r="M157">
        <v>15300</v>
      </c>
      <c r="N157">
        <v>0.48399999999999999</v>
      </c>
      <c r="O157">
        <v>0.51600000000000001</v>
      </c>
    </row>
    <row r="158" spans="1:15" x14ac:dyDescent="0.25">
      <c r="A158">
        <v>155</v>
      </c>
      <c r="B158" s="3">
        <f>NoMTC!K156</f>
        <v>156146.74352916999</v>
      </c>
      <c r="C158" s="2">
        <f>NoMTC!I156</f>
        <v>7.3685558697620097</v>
      </c>
      <c r="D158" s="3">
        <f>MTC!K156</f>
        <v>164458.11221789001</v>
      </c>
      <c r="E158" s="2">
        <f>MTC!I156</f>
        <v>7.7571938279187203</v>
      </c>
      <c r="F158" s="2">
        <f t="shared" si="6"/>
        <v>8311.3686887200165</v>
      </c>
      <c r="G158" s="2">
        <f t="shared" si="7"/>
        <v>0.38863795815671054</v>
      </c>
      <c r="H158" s="3">
        <f>E158*Lambda-D158</f>
        <v>223401.579178046</v>
      </c>
      <c r="I158" s="3">
        <f>C158*Lambda-B158</f>
        <v>212281.04995893047</v>
      </c>
      <c r="J158">
        <f t="shared" si="8"/>
        <v>1</v>
      </c>
      <c r="M158">
        <v>15400</v>
      </c>
      <c r="N158">
        <v>0.5</v>
      </c>
      <c r="O158">
        <v>0.5</v>
      </c>
    </row>
    <row r="159" spans="1:15" x14ac:dyDescent="0.25">
      <c r="A159">
        <v>156</v>
      </c>
      <c r="B159" s="3">
        <f>NoMTC!K157</f>
        <v>113292.542777105</v>
      </c>
      <c r="C159" s="2">
        <f>NoMTC!I157</f>
        <v>7.0891646261832602</v>
      </c>
      <c r="D159" s="3">
        <f>MTC!K157</f>
        <v>123071.848171891</v>
      </c>
      <c r="E159" s="2">
        <f>MTC!I157</f>
        <v>7.6934809962404698</v>
      </c>
      <c r="F159" s="2">
        <f t="shared" si="6"/>
        <v>9779.3053947860026</v>
      </c>
      <c r="G159" s="2">
        <f t="shared" si="7"/>
        <v>0.60431637005720962</v>
      </c>
      <c r="H159" s="3">
        <f>E159*Lambda-D159</f>
        <v>261602.20164013247</v>
      </c>
      <c r="I159" s="3">
        <f>C159*Lambda-B159</f>
        <v>241165.68853205803</v>
      </c>
      <c r="J159">
        <f t="shared" si="8"/>
        <v>1</v>
      </c>
      <c r="M159">
        <v>15500</v>
      </c>
      <c r="N159">
        <v>0.51</v>
      </c>
      <c r="O159">
        <v>0.49</v>
      </c>
    </row>
    <row r="160" spans="1:15" x14ac:dyDescent="0.25">
      <c r="A160">
        <v>157</v>
      </c>
      <c r="B160" s="3">
        <f>NoMTC!K158</f>
        <v>121311.624433484</v>
      </c>
      <c r="C160" s="2">
        <f>NoMTC!I158</f>
        <v>8.2790455798181597</v>
      </c>
      <c r="D160" s="3">
        <f>MTC!K158</f>
        <v>134250.07363748201</v>
      </c>
      <c r="E160" s="2">
        <f>MTC!I158</f>
        <v>9.0936912517614292</v>
      </c>
      <c r="F160" s="2">
        <f t="shared" si="6"/>
        <v>12938.44920399801</v>
      </c>
      <c r="G160" s="2">
        <f t="shared" si="7"/>
        <v>0.81464567194326953</v>
      </c>
      <c r="H160" s="3">
        <f>E160*Lambda-D160</f>
        <v>320434.48895058944</v>
      </c>
      <c r="I160" s="3">
        <f>C160*Lambda-B160</f>
        <v>292640.65455742402</v>
      </c>
      <c r="J160">
        <f t="shared" si="8"/>
        <v>1</v>
      </c>
      <c r="M160">
        <v>15600</v>
      </c>
      <c r="N160">
        <v>0.52400000000000002</v>
      </c>
      <c r="O160">
        <v>0.47599999999999998</v>
      </c>
    </row>
    <row r="161" spans="1:15" x14ac:dyDescent="0.25">
      <c r="A161">
        <v>158</v>
      </c>
      <c r="B161" s="3">
        <f>NoMTC!K159</f>
        <v>126734.383202051</v>
      </c>
      <c r="C161" s="2">
        <f>NoMTC!I159</f>
        <v>8.3518660089959909</v>
      </c>
      <c r="D161" s="3">
        <f>MTC!K159</f>
        <v>131994.230784346</v>
      </c>
      <c r="E161" s="2">
        <f>MTC!I159</f>
        <v>8.6726958058299299</v>
      </c>
      <c r="F161" s="2">
        <f t="shared" si="6"/>
        <v>5259.8475822949986</v>
      </c>
      <c r="G161" s="2">
        <f t="shared" si="7"/>
        <v>0.32082979683393908</v>
      </c>
      <c r="H161" s="3">
        <f>E161*Lambda-D161</f>
        <v>301640.55950715049</v>
      </c>
      <c r="I161" s="3">
        <f>C161*Lambda-B161</f>
        <v>290858.91724774858</v>
      </c>
      <c r="J161">
        <f t="shared" si="8"/>
        <v>1</v>
      </c>
      <c r="M161">
        <v>15700</v>
      </c>
      <c r="N161">
        <v>0.54800000000000004</v>
      </c>
      <c r="O161">
        <v>0.45199999999999996</v>
      </c>
    </row>
    <row r="162" spans="1:15" x14ac:dyDescent="0.25">
      <c r="A162">
        <v>159</v>
      </c>
      <c r="B162" s="3">
        <f>NoMTC!K160</f>
        <v>104846.476733812</v>
      </c>
      <c r="C162" s="2">
        <f>NoMTC!I160</f>
        <v>7.5481966455466099</v>
      </c>
      <c r="D162" s="3">
        <f>MTC!K160</f>
        <v>107778.60634213701</v>
      </c>
      <c r="E162" s="2">
        <f>MTC!I160</f>
        <v>7.7596685629132303</v>
      </c>
      <c r="F162" s="2">
        <f t="shared" si="6"/>
        <v>2932.1296083250054</v>
      </c>
      <c r="G162" s="2">
        <f t="shared" si="7"/>
        <v>0.21147191736662041</v>
      </c>
      <c r="H162" s="3">
        <f>E162*Lambda-D162</f>
        <v>280204.82180352451</v>
      </c>
      <c r="I162" s="3">
        <f>C162*Lambda-B162</f>
        <v>272563.3555435185</v>
      </c>
      <c r="J162">
        <f t="shared" si="8"/>
        <v>1</v>
      </c>
      <c r="M162">
        <v>15800</v>
      </c>
      <c r="N162">
        <v>0.56200000000000006</v>
      </c>
      <c r="O162">
        <v>0.43799999999999994</v>
      </c>
    </row>
    <row r="163" spans="1:15" x14ac:dyDescent="0.25">
      <c r="A163">
        <v>160</v>
      </c>
      <c r="B163" s="3">
        <f>NoMTC!K161</f>
        <v>144668.42547777301</v>
      </c>
      <c r="C163" s="2">
        <f>NoMTC!I161</f>
        <v>7.7903691228340604</v>
      </c>
      <c r="D163" s="3">
        <f>MTC!K161</f>
        <v>150352.48084849701</v>
      </c>
      <c r="E163" s="2">
        <f>MTC!I161</f>
        <v>8.0574486552047997</v>
      </c>
      <c r="F163" s="2">
        <f t="shared" si="6"/>
        <v>5684.0553707240033</v>
      </c>
      <c r="G163" s="2">
        <f t="shared" si="7"/>
        <v>0.26707953237073934</v>
      </c>
      <c r="H163" s="3">
        <f>E163*Lambda-D163</f>
        <v>252519.95191174297</v>
      </c>
      <c r="I163" s="3">
        <f>C163*Lambda-B163</f>
        <v>244850.03066393</v>
      </c>
      <c r="J163">
        <f t="shared" si="8"/>
        <v>1</v>
      </c>
      <c r="M163">
        <v>15900</v>
      </c>
      <c r="N163">
        <v>0.56799999999999995</v>
      </c>
      <c r="O163">
        <v>0.43200000000000005</v>
      </c>
    </row>
    <row r="164" spans="1:15" x14ac:dyDescent="0.25">
      <c r="A164">
        <v>161</v>
      </c>
      <c r="B164" s="3">
        <f>NoMTC!K162</f>
        <v>145831.10578066099</v>
      </c>
      <c r="C164" s="2">
        <f>NoMTC!I162</f>
        <v>7.6171147094209601</v>
      </c>
      <c r="D164" s="3">
        <f>MTC!K162</f>
        <v>148886.188604169</v>
      </c>
      <c r="E164" s="2">
        <f>MTC!I162</f>
        <v>7.7700156106628198</v>
      </c>
      <c r="F164" s="2">
        <f t="shared" si="6"/>
        <v>3055.0828235080116</v>
      </c>
      <c r="G164" s="2">
        <f t="shared" si="7"/>
        <v>0.15290090124185962</v>
      </c>
      <c r="H164" s="3">
        <f>E164*Lambda-D164</f>
        <v>239614.59192897199</v>
      </c>
      <c r="I164" s="3">
        <f>C164*Lambda-B164</f>
        <v>235024.629690387</v>
      </c>
      <c r="J164">
        <f t="shared" si="8"/>
        <v>1</v>
      </c>
      <c r="M164">
        <v>16000</v>
      </c>
      <c r="N164">
        <v>0.57999999999999996</v>
      </c>
      <c r="O164">
        <v>0.42000000000000004</v>
      </c>
    </row>
    <row r="165" spans="1:15" x14ac:dyDescent="0.25">
      <c r="A165">
        <v>162</v>
      </c>
      <c r="B165" s="3">
        <f>NoMTC!K163</f>
        <v>142277.32571833101</v>
      </c>
      <c r="C165" s="2">
        <f>NoMTC!I163</f>
        <v>7.0576463194516901</v>
      </c>
      <c r="D165" s="3">
        <f>MTC!K163</f>
        <v>149344.596161644</v>
      </c>
      <c r="E165" s="2">
        <f>MTC!I163</f>
        <v>7.4093166820841896</v>
      </c>
      <c r="F165" s="2">
        <f t="shared" si="6"/>
        <v>7067.2704433129984</v>
      </c>
      <c r="G165" s="2">
        <f t="shared" si="7"/>
        <v>0.35167036263249951</v>
      </c>
      <c r="H165" s="3">
        <f>E165*Lambda-D165</f>
        <v>221121.23794256549</v>
      </c>
      <c r="I165" s="3">
        <f>C165*Lambda-B165</f>
        <v>210604.99025425353</v>
      </c>
      <c r="J165">
        <f t="shared" si="8"/>
        <v>1</v>
      </c>
      <c r="M165">
        <v>16100</v>
      </c>
      <c r="N165">
        <v>0.58799999999999997</v>
      </c>
      <c r="O165">
        <v>0.41200000000000003</v>
      </c>
    </row>
    <row r="166" spans="1:15" x14ac:dyDescent="0.25">
      <c r="A166">
        <v>163</v>
      </c>
      <c r="B166" s="3">
        <f>NoMTC!K164</f>
        <v>104728.26557414301</v>
      </c>
      <c r="C166" s="2">
        <f>NoMTC!I164</f>
        <v>8.7755411566446</v>
      </c>
      <c r="D166" s="3">
        <f>MTC!K164</f>
        <v>110718.928298924</v>
      </c>
      <c r="E166" s="2">
        <f>MTC!I164</f>
        <v>9.2820155992509701</v>
      </c>
      <c r="F166" s="2">
        <f t="shared" si="6"/>
        <v>5990.6627247809956</v>
      </c>
      <c r="G166" s="2">
        <f t="shared" si="7"/>
        <v>0.50647444260637009</v>
      </c>
      <c r="H166" s="3">
        <f>E166*Lambda-D166</f>
        <v>353381.85166362452</v>
      </c>
      <c r="I166" s="3">
        <f>C166*Lambda-B166</f>
        <v>334048.79225808696</v>
      </c>
      <c r="J166">
        <f t="shared" si="8"/>
        <v>1</v>
      </c>
      <c r="M166">
        <v>16200</v>
      </c>
      <c r="N166">
        <v>0.59799999999999998</v>
      </c>
      <c r="O166">
        <v>0.40200000000000002</v>
      </c>
    </row>
    <row r="167" spans="1:15" x14ac:dyDescent="0.25">
      <c r="A167">
        <v>164</v>
      </c>
      <c r="B167" s="3">
        <f>NoMTC!K165</f>
        <v>126903.33891828</v>
      </c>
      <c r="C167" s="2">
        <f>NoMTC!I165</f>
        <v>8.8918612160025692</v>
      </c>
      <c r="D167" s="3">
        <f>MTC!K165</f>
        <v>135676.51395101001</v>
      </c>
      <c r="E167" s="2">
        <f>MTC!I165</f>
        <v>9.4582383419536704</v>
      </c>
      <c r="F167" s="2">
        <f t="shared" si="6"/>
        <v>8773.1750327300106</v>
      </c>
      <c r="G167" s="2">
        <f t="shared" si="7"/>
        <v>0.56637712595110123</v>
      </c>
      <c r="H167" s="3">
        <f>E167*Lambda-D167</f>
        <v>337235.40314667352</v>
      </c>
      <c r="I167" s="3">
        <f>C167*Lambda-B167</f>
        <v>317689.72188184841</v>
      </c>
      <c r="J167">
        <f t="shared" si="8"/>
        <v>1</v>
      </c>
      <c r="M167">
        <v>16300</v>
      </c>
      <c r="N167">
        <v>0.61</v>
      </c>
      <c r="O167">
        <v>0.39</v>
      </c>
    </row>
    <row r="168" spans="1:15" x14ac:dyDescent="0.25">
      <c r="A168">
        <v>165</v>
      </c>
      <c r="B168" s="3">
        <f>NoMTC!K166</f>
        <v>149598.45990242201</v>
      </c>
      <c r="C168" s="2">
        <f>NoMTC!I166</f>
        <v>7.47408555894377</v>
      </c>
      <c r="D168" s="3">
        <f>MTC!K166</f>
        <v>158515.51365697099</v>
      </c>
      <c r="E168" s="2">
        <f>MTC!I166</f>
        <v>7.8820855219228196</v>
      </c>
      <c r="F168" s="2">
        <f t="shared" si="6"/>
        <v>8917.0537545489788</v>
      </c>
      <c r="G168" s="2">
        <f t="shared" si="7"/>
        <v>0.40799996297904961</v>
      </c>
      <c r="H168" s="3">
        <f>E168*Lambda-D168</f>
        <v>235588.76243916998</v>
      </c>
      <c r="I168" s="3">
        <f>C168*Lambda-B168</f>
        <v>224105.81804476652</v>
      </c>
      <c r="J168">
        <f t="shared" si="8"/>
        <v>1</v>
      </c>
      <c r="M168">
        <v>16400</v>
      </c>
      <c r="N168">
        <v>0.63</v>
      </c>
      <c r="O168">
        <v>0.37</v>
      </c>
    </row>
    <row r="169" spans="1:15" x14ac:dyDescent="0.25">
      <c r="A169">
        <v>166</v>
      </c>
      <c r="B169" s="3">
        <f>NoMTC!K167</f>
        <v>99992.694588149403</v>
      </c>
      <c r="C169" s="2">
        <f>NoMTC!I167</f>
        <v>7.0473725421650197</v>
      </c>
      <c r="D169" s="3">
        <f>MTC!K167</f>
        <v>104802.168374247</v>
      </c>
      <c r="E169" s="2">
        <f>MTC!I167</f>
        <v>7.4034170633365797</v>
      </c>
      <c r="F169" s="2">
        <f t="shared" si="6"/>
        <v>4809.473786097602</v>
      </c>
      <c r="G169" s="2">
        <f t="shared" si="7"/>
        <v>0.35604452117155994</v>
      </c>
      <c r="H169" s="3">
        <f>E169*Lambda-D169</f>
        <v>265368.68479258195</v>
      </c>
      <c r="I169" s="3">
        <f>C169*Lambda-B169</f>
        <v>252375.93252010157</v>
      </c>
      <c r="J169">
        <f t="shared" si="8"/>
        <v>1</v>
      </c>
      <c r="M169">
        <v>16500</v>
      </c>
      <c r="N169">
        <v>0.63400000000000001</v>
      </c>
      <c r="O169">
        <v>0.36599999999999999</v>
      </c>
    </row>
    <row r="170" spans="1:15" x14ac:dyDescent="0.25">
      <c r="A170">
        <v>167</v>
      </c>
      <c r="B170" s="3">
        <f>NoMTC!K168</f>
        <v>117262.90195187699</v>
      </c>
      <c r="C170" s="2">
        <f>NoMTC!I168</f>
        <v>8.0625527887430994</v>
      </c>
      <c r="D170" s="3">
        <f>MTC!K168</f>
        <v>121501.009261072</v>
      </c>
      <c r="E170" s="2">
        <f>MTC!I168</f>
        <v>8.3345489908911006</v>
      </c>
      <c r="F170" s="2">
        <f t="shared" si="6"/>
        <v>4238.1073091950093</v>
      </c>
      <c r="G170" s="2">
        <f t="shared" si="7"/>
        <v>0.27199620214800113</v>
      </c>
      <c r="H170" s="3">
        <f>E170*Lambda-D170</f>
        <v>295226.44028348301</v>
      </c>
      <c r="I170" s="3">
        <f>C170*Lambda-B170</f>
        <v>285864.73748527799</v>
      </c>
      <c r="J170">
        <f t="shared" si="8"/>
        <v>1</v>
      </c>
      <c r="M170">
        <v>16600</v>
      </c>
      <c r="N170">
        <v>0.64600000000000002</v>
      </c>
      <c r="O170">
        <v>0.35399999999999998</v>
      </c>
    </row>
    <row r="171" spans="1:15" x14ac:dyDescent="0.25">
      <c r="A171">
        <v>168</v>
      </c>
      <c r="B171" s="3">
        <f>NoMTC!K169</f>
        <v>119278.288818128</v>
      </c>
      <c r="C171" s="2">
        <f>NoMTC!I169</f>
        <v>7.0997471056226402</v>
      </c>
      <c r="D171" s="3">
        <f>MTC!K169</f>
        <v>127718.97584390899</v>
      </c>
      <c r="E171" s="2">
        <f>MTC!I169</f>
        <v>7.6112316191288496</v>
      </c>
      <c r="F171" s="2">
        <f t="shared" si="6"/>
        <v>8440.6870257809933</v>
      </c>
      <c r="G171" s="2">
        <f t="shared" si="7"/>
        <v>0.51148451350620938</v>
      </c>
      <c r="H171" s="3">
        <f>E171*Lambda-D171</f>
        <v>252842.60511253346</v>
      </c>
      <c r="I171" s="3">
        <f>C171*Lambda-B171</f>
        <v>235709.06646300398</v>
      </c>
      <c r="J171">
        <f t="shared" si="8"/>
        <v>1</v>
      </c>
      <c r="M171">
        <v>16700</v>
      </c>
      <c r="N171">
        <v>0.64800000000000002</v>
      </c>
      <c r="O171">
        <v>0.35199999999999998</v>
      </c>
    </row>
    <row r="172" spans="1:15" x14ac:dyDescent="0.25">
      <c r="A172">
        <v>169</v>
      </c>
      <c r="B172" s="3">
        <f>NoMTC!K170</f>
        <v>150232.36253656101</v>
      </c>
      <c r="C172" s="2">
        <f>NoMTC!I170</f>
        <v>8.2919637413605098</v>
      </c>
      <c r="D172" s="3">
        <f>MTC!K170</f>
        <v>160543.57080316101</v>
      </c>
      <c r="E172" s="2">
        <f>MTC!I170</f>
        <v>8.8543304398715108</v>
      </c>
      <c r="F172" s="2">
        <f t="shared" si="6"/>
        <v>10311.208266600006</v>
      </c>
      <c r="G172" s="2">
        <f t="shared" si="7"/>
        <v>0.56236669851100096</v>
      </c>
      <c r="H172" s="3">
        <f>E172*Lambda-D172</f>
        <v>282172.95119041455</v>
      </c>
      <c r="I172" s="3">
        <f>C172*Lambda-B172</f>
        <v>264365.82453146449</v>
      </c>
      <c r="J172">
        <f t="shared" si="8"/>
        <v>1</v>
      </c>
      <c r="M172">
        <v>16800</v>
      </c>
      <c r="N172">
        <v>0.65800000000000003</v>
      </c>
      <c r="O172">
        <v>0.34199999999999997</v>
      </c>
    </row>
    <row r="173" spans="1:15" x14ac:dyDescent="0.25">
      <c r="A173">
        <v>170</v>
      </c>
      <c r="B173" s="3">
        <f>NoMTC!K171</f>
        <v>92199.751638515503</v>
      </c>
      <c r="C173" s="2">
        <f>NoMTC!I171</f>
        <v>7.4282921696515798</v>
      </c>
      <c r="D173" s="3">
        <f>MTC!K171</f>
        <v>96395.714568098003</v>
      </c>
      <c r="E173" s="2">
        <f>MTC!I171</f>
        <v>7.7769065347066304</v>
      </c>
      <c r="F173" s="2">
        <f t="shared" si="6"/>
        <v>4195.9629295824998</v>
      </c>
      <c r="G173" s="2">
        <f t="shared" si="7"/>
        <v>0.34861436505505061</v>
      </c>
      <c r="H173" s="3">
        <f>E173*Lambda-D173</f>
        <v>292449.61216723348</v>
      </c>
      <c r="I173" s="3">
        <f>C173*Lambda-B173</f>
        <v>279214.8568440635</v>
      </c>
      <c r="J173">
        <f t="shared" si="8"/>
        <v>1</v>
      </c>
      <c r="M173">
        <v>16900</v>
      </c>
      <c r="N173">
        <v>0.67400000000000004</v>
      </c>
      <c r="O173">
        <v>0.32599999999999996</v>
      </c>
    </row>
    <row r="174" spans="1:15" x14ac:dyDescent="0.25">
      <c r="A174">
        <v>171</v>
      </c>
      <c r="B174" s="3">
        <f>NoMTC!K172</f>
        <v>151499.16512438399</v>
      </c>
      <c r="C174" s="2">
        <f>NoMTC!I172</f>
        <v>7.2559493649895801</v>
      </c>
      <c r="D174" s="3">
        <f>MTC!K172</f>
        <v>158887.29588013701</v>
      </c>
      <c r="E174" s="2">
        <f>MTC!I172</f>
        <v>7.5822470627173804</v>
      </c>
      <c r="F174" s="2">
        <f t="shared" si="6"/>
        <v>7388.1307557530235</v>
      </c>
      <c r="G174" s="2">
        <f t="shared" si="7"/>
        <v>0.32629769772780026</v>
      </c>
      <c r="H174" s="3">
        <f>E174*Lambda-D174</f>
        <v>220225.05725573201</v>
      </c>
      <c r="I174" s="3">
        <f>C174*Lambda-B174</f>
        <v>211298.30312509503</v>
      </c>
      <c r="J174">
        <f t="shared" si="8"/>
        <v>1</v>
      </c>
      <c r="M174">
        <v>17000</v>
      </c>
      <c r="N174">
        <v>0.68</v>
      </c>
      <c r="O174">
        <v>0.31999999999999995</v>
      </c>
    </row>
    <row r="175" spans="1:15" x14ac:dyDescent="0.25">
      <c r="A175">
        <v>172</v>
      </c>
      <c r="B175" s="3">
        <f>NoMTC!K173</f>
        <v>137113.67466719801</v>
      </c>
      <c r="C175" s="2">
        <f>NoMTC!I173</f>
        <v>7.8716009092090404</v>
      </c>
      <c r="D175" s="3">
        <f>MTC!K173</f>
        <v>141257.19727552499</v>
      </c>
      <c r="E175" s="2">
        <f>MTC!I173</f>
        <v>8.0805294724547796</v>
      </c>
      <c r="F175" s="2">
        <f t="shared" si="6"/>
        <v>4143.5226083269808</v>
      </c>
      <c r="G175" s="2">
        <f t="shared" si="7"/>
        <v>0.20892856324573916</v>
      </c>
      <c r="H175" s="3">
        <f>E175*Lambda-D175</f>
        <v>262769.27634721401</v>
      </c>
      <c r="I175" s="3">
        <f>C175*Lambda-B175</f>
        <v>256466.37079325403</v>
      </c>
      <c r="J175">
        <f t="shared" si="8"/>
        <v>1</v>
      </c>
      <c r="M175">
        <v>17100</v>
      </c>
      <c r="N175">
        <v>0.68600000000000005</v>
      </c>
      <c r="O175">
        <v>0.31399999999999995</v>
      </c>
    </row>
    <row r="176" spans="1:15" x14ac:dyDescent="0.25">
      <c r="A176">
        <v>173</v>
      </c>
      <c r="B176" s="3">
        <f>NoMTC!K174</f>
        <v>138174.35924050101</v>
      </c>
      <c r="C176" s="2">
        <f>NoMTC!I174</f>
        <v>6.2534115812721502</v>
      </c>
      <c r="D176" s="3">
        <f>MTC!K174</f>
        <v>146080.068115912</v>
      </c>
      <c r="E176" s="2">
        <f>MTC!I174</f>
        <v>6.5963459755342804</v>
      </c>
      <c r="F176" s="2">
        <f t="shared" si="6"/>
        <v>7905.7088754109864</v>
      </c>
      <c r="G176" s="2">
        <f t="shared" si="7"/>
        <v>0.34293439426213013</v>
      </c>
      <c r="H176" s="3">
        <f>E176*Lambda-D176</f>
        <v>183737.23066080202</v>
      </c>
      <c r="I176" s="3">
        <f>C176*Lambda-B176</f>
        <v>174496.21982310648</v>
      </c>
      <c r="J176">
        <f t="shared" si="8"/>
        <v>1</v>
      </c>
      <c r="M176">
        <v>17200</v>
      </c>
      <c r="N176">
        <v>0.69399999999999995</v>
      </c>
      <c r="O176">
        <v>0.30600000000000005</v>
      </c>
    </row>
    <row r="177" spans="1:15" x14ac:dyDescent="0.25">
      <c r="A177">
        <v>174</v>
      </c>
      <c r="B177" s="3">
        <f>NoMTC!K175</f>
        <v>133611.95029435901</v>
      </c>
      <c r="C177" s="2">
        <f>NoMTC!I175</f>
        <v>6.3505035189556196</v>
      </c>
      <c r="D177" s="3">
        <f>MTC!K175</f>
        <v>142539.24724526799</v>
      </c>
      <c r="E177" s="2">
        <f>MTC!I175</f>
        <v>6.7677504068227403</v>
      </c>
      <c r="F177" s="2">
        <f t="shared" si="6"/>
        <v>8927.2969509089889</v>
      </c>
      <c r="G177" s="2">
        <f t="shared" si="7"/>
        <v>0.41724688786712072</v>
      </c>
      <c r="H177" s="3">
        <f>E177*Lambda-D177</f>
        <v>195848.27309586902</v>
      </c>
      <c r="I177" s="3">
        <f>C177*Lambda-B177</f>
        <v>183913.22565342195</v>
      </c>
      <c r="J177">
        <f t="shared" si="8"/>
        <v>1</v>
      </c>
      <c r="M177">
        <v>17300</v>
      </c>
      <c r="N177">
        <v>0.70599999999999996</v>
      </c>
      <c r="O177">
        <v>0.29400000000000004</v>
      </c>
    </row>
    <row r="178" spans="1:15" x14ac:dyDescent="0.25">
      <c r="A178">
        <v>175</v>
      </c>
      <c r="B178" s="3">
        <f>NoMTC!K176</f>
        <v>143221.39359082599</v>
      </c>
      <c r="C178" s="2">
        <f>NoMTC!I176</f>
        <v>7.5683828407033102</v>
      </c>
      <c r="D178" s="3">
        <f>MTC!K176</f>
        <v>145449.84356775301</v>
      </c>
      <c r="E178" s="2">
        <f>MTC!I176</f>
        <v>7.6803097007408896</v>
      </c>
      <c r="F178" s="2">
        <f t="shared" si="6"/>
        <v>2228.4499769270187</v>
      </c>
      <c r="G178" s="2">
        <f t="shared" si="7"/>
        <v>0.11192686003757935</v>
      </c>
      <c r="H178" s="3">
        <f>E178*Lambda-D178</f>
        <v>238565.6414692915</v>
      </c>
      <c r="I178" s="3">
        <f>C178*Lambda-B178</f>
        <v>235197.74844433952</v>
      </c>
      <c r="J178">
        <f t="shared" si="8"/>
        <v>1</v>
      </c>
      <c r="M178">
        <v>17400</v>
      </c>
      <c r="N178">
        <v>0.71799999999999997</v>
      </c>
      <c r="O178">
        <v>0.28200000000000003</v>
      </c>
    </row>
    <row r="179" spans="1:15" x14ac:dyDescent="0.25">
      <c r="A179">
        <v>176</v>
      </c>
      <c r="B179" s="3">
        <f>NoMTC!K177</f>
        <v>130037.253878723</v>
      </c>
      <c r="C179" s="2">
        <f>NoMTC!I177</f>
        <v>7.94690052168386</v>
      </c>
      <c r="D179" s="3">
        <f>MTC!K177</f>
        <v>135434.86568553199</v>
      </c>
      <c r="E179" s="2">
        <f>MTC!I177</f>
        <v>8.2602248241157206</v>
      </c>
      <c r="F179" s="2">
        <f t="shared" si="6"/>
        <v>5397.6118068089854</v>
      </c>
      <c r="G179" s="2">
        <f t="shared" si="7"/>
        <v>0.3133243024318606</v>
      </c>
      <c r="H179" s="3">
        <f>E179*Lambda-D179</f>
        <v>277576.37552025402</v>
      </c>
      <c r="I179" s="3">
        <f>C179*Lambda-B179</f>
        <v>267307.77220546996</v>
      </c>
      <c r="J179">
        <f t="shared" si="8"/>
        <v>1</v>
      </c>
      <c r="M179">
        <v>17500</v>
      </c>
      <c r="N179">
        <v>0.73199999999999998</v>
      </c>
      <c r="O179">
        <v>0.26800000000000002</v>
      </c>
    </row>
    <row r="180" spans="1:15" x14ac:dyDescent="0.25">
      <c r="A180">
        <v>177</v>
      </c>
      <c r="B180" s="3">
        <f>NoMTC!K178</f>
        <v>121171.635077037</v>
      </c>
      <c r="C180" s="2">
        <f>NoMTC!I178</f>
        <v>7.2118872314938898</v>
      </c>
      <c r="D180" s="3">
        <f>MTC!K178</f>
        <v>128943.08396235701</v>
      </c>
      <c r="E180" s="2">
        <f>MTC!I178</f>
        <v>7.6558483710411203</v>
      </c>
      <c r="F180" s="2">
        <f t="shared" si="6"/>
        <v>7771.4488853200019</v>
      </c>
      <c r="G180" s="2">
        <f t="shared" si="7"/>
        <v>0.44396113954723049</v>
      </c>
      <c r="H180" s="3">
        <f>E180*Lambda-D180</f>
        <v>253849.33458969899</v>
      </c>
      <c r="I180" s="3">
        <f>C180*Lambda-B180</f>
        <v>239422.72649765751</v>
      </c>
      <c r="J180">
        <f t="shared" si="8"/>
        <v>1</v>
      </c>
      <c r="M180">
        <v>17600</v>
      </c>
      <c r="N180">
        <v>0.748</v>
      </c>
      <c r="O180">
        <v>0.252</v>
      </c>
    </row>
    <row r="181" spans="1:15" x14ac:dyDescent="0.25">
      <c r="A181">
        <v>178</v>
      </c>
      <c r="B181" s="3">
        <f>NoMTC!K179</f>
        <v>97643.122595446504</v>
      </c>
      <c r="C181" s="2">
        <f>NoMTC!I179</f>
        <v>6.5591044144428601</v>
      </c>
      <c r="D181" s="3">
        <f>MTC!K179</f>
        <v>107189.653550705</v>
      </c>
      <c r="E181" s="2">
        <f>MTC!I179</f>
        <v>7.1816569056393398</v>
      </c>
      <c r="F181" s="2">
        <f t="shared" si="6"/>
        <v>9546.5309552584949</v>
      </c>
      <c r="G181" s="2">
        <f t="shared" si="7"/>
        <v>0.62255249119647971</v>
      </c>
      <c r="H181" s="3">
        <f>E181*Lambda-D181</f>
        <v>251893.19173126196</v>
      </c>
      <c r="I181" s="3">
        <f>C181*Lambda-B181</f>
        <v>230312.09812669651</v>
      </c>
      <c r="J181">
        <f t="shared" si="8"/>
        <v>1</v>
      </c>
      <c r="M181">
        <v>17700</v>
      </c>
      <c r="N181">
        <v>0.75600000000000001</v>
      </c>
      <c r="O181">
        <v>0.24399999999999999</v>
      </c>
    </row>
    <row r="182" spans="1:15" x14ac:dyDescent="0.25">
      <c r="A182">
        <v>179</v>
      </c>
      <c r="B182" s="3">
        <f>NoMTC!K180</f>
        <v>156485.69821093601</v>
      </c>
      <c r="C182" s="2">
        <f>NoMTC!I180</f>
        <v>8.6519244222762399</v>
      </c>
      <c r="D182" s="3">
        <f>MTC!K180</f>
        <v>163675.950990627</v>
      </c>
      <c r="E182" s="2">
        <f>MTC!I180</f>
        <v>9.0257671095240202</v>
      </c>
      <c r="F182" s="2">
        <f t="shared" si="6"/>
        <v>7190.2527796909853</v>
      </c>
      <c r="G182" s="2">
        <f t="shared" si="7"/>
        <v>0.37384268724778025</v>
      </c>
      <c r="H182" s="3">
        <f>E182*Lambda-D182</f>
        <v>287612.40448557399</v>
      </c>
      <c r="I182" s="3">
        <f>C182*Lambda-B182</f>
        <v>276110.52290287602</v>
      </c>
      <c r="J182">
        <f t="shared" si="8"/>
        <v>1</v>
      </c>
      <c r="M182">
        <v>17800</v>
      </c>
      <c r="N182">
        <v>0.76200000000000001</v>
      </c>
      <c r="O182">
        <v>0.23799999999999999</v>
      </c>
    </row>
    <row r="183" spans="1:15" x14ac:dyDescent="0.25">
      <c r="A183">
        <v>180</v>
      </c>
      <c r="B183" s="3">
        <f>NoMTC!K181</f>
        <v>129677.077042319</v>
      </c>
      <c r="C183" s="2">
        <f>NoMTC!I181</f>
        <v>8.3631111556408406</v>
      </c>
      <c r="D183" s="3">
        <f>MTC!K181</f>
        <v>133049.23874813001</v>
      </c>
      <c r="E183" s="2">
        <f>MTC!I181</f>
        <v>8.6052539057089596</v>
      </c>
      <c r="F183" s="2">
        <f t="shared" si="6"/>
        <v>3372.1617058110132</v>
      </c>
      <c r="G183" s="2">
        <f t="shared" si="7"/>
        <v>0.24214275006811903</v>
      </c>
      <c r="H183" s="3">
        <f>E183*Lambda-D183</f>
        <v>297213.45653731795</v>
      </c>
      <c r="I183" s="3">
        <f>C183*Lambda-B183</f>
        <v>288478.48073972302</v>
      </c>
      <c r="J183">
        <f t="shared" si="8"/>
        <v>1</v>
      </c>
      <c r="M183">
        <v>17900</v>
      </c>
      <c r="N183">
        <v>0.76600000000000001</v>
      </c>
      <c r="O183">
        <v>0.23399999999999999</v>
      </c>
    </row>
    <row r="184" spans="1:15" x14ac:dyDescent="0.25">
      <c r="A184">
        <v>181</v>
      </c>
      <c r="B184" s="3">
        <f>NoMTC!K182</f>
        <v>127423.943660772</v>
      </c>
      <c r="C184" s="2">
        <f>NoMTC!I182</f>
        <v>8.2487369329677893</v>
      </c>
      <c r="D184" s="3">
        <f>MTC!K182</f>
        <v>131203.66125279601</v>
      </c>
      <c r="E184" s="2">
        <f>MTC!I182</f>
        <v>8.4768433165181296</v>
      </c>
      <c r="F184" s="2">
        <f t="shared" si="6"/>
        <v>3779.7175920240115</v>
      </c>
      <c r="G184" s="2">
        <f t="shared" si="7"/>
        <v>0.2281063835503403</v>
      </c>
      <c r="H184" s="3">
        <f>E184*Lambda-D184</f>
        <v>292638.50457311049</v>
      </c>
      <c r="I184" s="3">
        <f>C184*Lambda-B184</f>
        <v>285012.90298761748</v>
      </c>
      <c r="J184">
        <f t="shared" si="8"/>
        <v>1</v>
      </c>
      <c r="M184">
        <v>18000</v>
      </c>
      <c r="N184">
        <v>0.77200000000000002</v>
      </c>
      <c r="O184">
        <v>0.22799999999999998</v>
      </c>
    </row>
    <row r="185" spans="1:15" x14ac:dyDescent="0.25">
      <c r="A185">
        <v>182</v>
      </c>
      <c r="B185" s="3">
        <f>NoMTC!K183</f>
        <v>138725.35840160001</v>
      </c>
      <c r="C185" s="2">
        <f>NoMTC!I183</f>
        <v>7.7239739797451303</v>
      </c>
      <c r="D185" s="3">
        <f>MTC!K183</f>
        <v>145272.70989914099</v>
      </c>
      <c r="E185" s="2">
        <f>MTC!I183</f>
        <v>8.0958749343285703</v>
      </c>
      <c r="F185" s="2">
        <f t="shared" si="6"/>
        <v>6547.351497540978</v>
      </c>
      <c r="G185" s="2">
        <f t="shared" si="7"/>
        <v>0.37190095458343997</v>
      </c>
      <c r="H185" s="3">
        <f>E185*Lambda-D185</f>
        <v>259521.0368172875</v>
      </c>
      <c r="I185" s="3">
        <f>C185*Lambda-B185</f>
        <v>247473.34058565649</v>
      </c>
      <c r="J185">
        <f t="shared" si="8"/>
        <v>1</v>
      </c>
      <c r="M185">
        <v>18100</v>
      </c>
      <c r="N185">
        <v>0.77800000000000002</v>
      </c>
      <c r="O185">
        <v>0.22199999999999998</v>
      </c>
    </row>
    <row r="186" spans="1:15" x14ac:dyDescent="0.25">
      <c r="A186">
        <v>183</v>
      </c>
      <c r="B186" s="3">
        <f>NoMTC!K184</f>
        <v>111021.687903339</v>
      </c>
      <c r="C186" s="2">
        <f>NoMTC!I184</f>
        <v>7.8504950452484703</v>
      </c>
      <c r="D186" s="3">
        <f>MTC!K184</f>
        <v>116346.154038972</v>
      </c>
      <c r="E186" s="2">
        <f>MTC!I184</f>
        <v>8.2347074586951603</v>
      </c>
      <c r="F186" s="2">
        <f t="shared" si="6"/>
        <v>5324.4661356330034</v>
      </c>
      <c r="G186" s="2">
        <f t="shared" si="7"/>
        <v>0.38421241344668999</v>
      </c>
      <c r="H186" s="3">
        <f>E186*Lambda-D186</f>
        <v>295389.21889578603</v>
      </c>
      <c r="I186" s="3">
        <f>C186*Lambda-B186</f>
        <v>281503.06435908453</v>
      </c>
      <c r="J186">
        <f t="shared" si="8"/>
        <v>1</v>
      </c>
      <c r="M186">
        <v>18200</v>
      </c>
      <c r="N186">
        <v>0.78400000000000003</v>
      </c>
      <c r="O186">
        <v>0.21599999999999997</v>
      </c>
    </row>
    <row r="187" spans="1:15" x14ac:dyDescent="0.25">
      <c r="A187">
        <v>184</v>
      </c>
      <c r="B187" s="3">
        <f>NoMTC!K185</f>
        <v>127278.56599621099</v>
      </c>
      <c r="C187" s="2">
        <f>NoMTC!I185</f>
        <v>6.0601226162739197</v>
      </c>
      <c r="D187" s="3">
        <f>MTC!K185</f>
        <v>135592.000681726</v>
      </c>
      <c r="E187" s="2">
        <f>MTC!I185</f>
        <v>6.4427030231554596</v>
      </c>
      <c r="F187" s="2">
        <f t="shared" si="6"/>
        <v>8313.434685515007</v>
      </c>
      <c r="G187" s="2">
        <f t="shared" si="7"/>
        <v>0.38258040688153994</v>
      </c>
      <c r="H187" s="3">
        <f>E187*Lambda-D187</f>
        <v>186543.15047604698</v>
      </c>
      <c r="I187" s="3">
        <f>C187*Lambda-B187</f>
        <v>175727.56481748496</v>
      </c>
      <c r="J187">
        <f t="shared" si="8"/>
        <v>1</v>
      </c>
      <c r="M187">
        <v>18300</v>
      </c>
      <c r="N187">
        <v>0.79200000000000004</v>
      </c>
      <c r="O187">
        <v>0.20799999999999996</v>
      </c>
    </row>
    <row r="188" spans="1:15" x14ac:dyDescent="0.25">
      <c r="A188">
        <v>185</v>
      </c>
      <c r="B188" s="3">
        <f>NoMTC!K186</f>
        <v>116569.15297002799</v>
      </c>
      <c r="C188" s="2">
        <f>NoMTC!I186</f>
        <v>7.3993554604843697</v>
      </c>
      <c r="D188" s="3">
        <f>MTC!K186</f>
        <v>124559.16488734201</v>
      </c>
      <c r="E188" s="2">
        <f>MTC!I186</f>
        <v>7.8807861743242498</v>
      </c>
      <c r="F188" s="2">
        <f t="shared" si="6"/>
        <v>7990.011917314012</v>
      </c>
      <c r="G188" s="2">
        <f t="shared" si="7"/>
        <v>0.48143071383988012</v>
      </c>
      <c r="H188" s="3">
        <f>E188*Lambda-D188</f>
        <v>269480.1438288705</v>
      </c>
      <c r="I188" s="3">
        <f>C188*Lambda-B188</f>
        <v>253398.62005419051</v>
      </c>
      <c r="J188">
        <f t="shared" si="8"/>
        <v>1</v>
      </c>
      <c r="M188">
        <v>18400</v>
      </c>
      <c r="N188">
        <v>0.8</v>
      </c>
      <c r="O188">
        <v>0.19999999999999996</v>
      </c>
    </row>
    <row r="189" spans="1:15" x14ac:dyDescent="0.25">
      <c r="A189">
        <v>186</v>
      </c>
      <c r="B189" s="3">
        <f>NoMTC!K187</f>
        <v>90525.291366351594</v>
      </c>
      <c r="C189" s="2">
        <f>NoMTC!I187</f>
        <v>7.9084795001263002</v>
      </c>
      <c r="D189" s="3">
        <f>MTC!K187</f>
        <v>98251.717911271902</v>
      </c>
      <c r="E189" s="2">
        <f>MTC!I187</f>
        <v>8.5600704627950108</v>
      </c>
      <c r="F189" s="2">
        <f t="shared" si="6"/>
        <v>7726.4265449203085</v>
      </c>
      <c r="G189" s="2">
        <f t="shared" si="7"/>
        <v>0.65159096266871064</v>
      </c>
      <c r="H189" s="3">
        <f>E189*Lambda-D189</f>
        <v>329751.80522847862</v>
      </c>
      <c r="I189" s="3">
        <f>C189*Lambda-B189</f>
        <v>304898.68363996339</v>
      </c>
      <c r="J189">
        <f t="shared" si="8"/>
        <v>1</v>
      </c>
      <c r="M189">
        <v>18500</v>
      </c>
      <c r="N189">
        <v>0.80400000000000005</v>
      </c>
      <c r="O189">
        <v>0.19599999999999995</v>
      </c>
    </row>
    <row r="190" spans="1:15" x14ac:dyDescent="0.25">
      <c r="A190">
        <v>187</v>
      </c>
      <c r="B190" s="3">
        <f>NoMTC!K188</f>
        <v>120081.07394447199</v>
      </c>
      <c r="C190" s="2">
        <f>NoMTC!I188</f>
        <v>7.3684761000880297</v>
      </c>
      <c r="D190" s="3">
        <f>MTC!K188</f>
        <v>127154.659126033</v>
      </c>
      <c r="E190" s="2">
        <f>MTC!I188</f>
        <v>7.7996734368550804</v>
      </c>
      <c r="F190" s="2">
        <f t="shared" si="6"/>
        <v>7073.5851815610076</v>
      </c>
      <c r="G190" s="2">
        <f t="shared" si="7"/>
        <v>0.43119733676705074</v>
      </c>
      <c r="H190" s="3">
        <f>E190*Lambda-D190</f>
        <v>262829.01271672099</v>
      </c>
      <c r="I190" s="3">
        <f>C190*Lambda-B190</f>
        <v>248342.73105992947</v>
      </c>
      <c r="J190">
        <f t="shared" si="8"/>
        <v>1</v>
      </c>
      <c r="M190">
        <v>18600</v>
      </c>
      <c r="N190">
        <v>0.81399999999999995</v>
      </c>
      <c r="O190">
        <v>0.18600000000000005</v>
      </c>
    </row>
    <row r="191" spans="1:15" x14ac:dyDescent="0.25">
      <c r="A191">
        <v>188</v>
      </c>
      <c r="B191" s="3">
        <f>NoMTC!K189</f>
        <v>116892.746439617</v>
      </c>
      <c r="C191" s="2">
        <f>NoMTC!I189</f>
        <v>7.7546636600543604</v>
      </c>
      <c r="D191" s="3">
        <f>MTC!K189</f>
        <v>121936.563381133</v>
      </c>
      <c r="E191" s="2">
        <f>MTC!I189</f>
        <v>8.0846475907295208</v>
      </c>
      <c r="F191" s="2">
        <f t="shared" si="6"/>
        <v>5043.8169415160082</v>
      </c>
      <c r="G191" s="2">
        <f t="shared" si="7"/>
        <v>0.32998393067516041</v>
      </c>
      <c r="H191" s="3">
        <f>E191*Lambda-D191</f>
        <v>282295.81615534303</v>
      </c>
      <c r="I191" s="3">
        <f>C191*Lambda-B191</f>
        <v>270840.43656310102</v>
      </c>
      <c r="J191">
        <f t="shared" si="8"/>
        <v>1</v>
      </c>
      <c r="M191">
        <v>18700</v>
      </c>
      <c r="N191">
        <v>0.81599999999999995</v>
      </c>
      <c r="O191">
        <v>0.18400000000000005</v>
      </c>
    </row>
    <row r="192" spans="1:15" x14ac:dyDescent="0.25">
      <c r="A192">
        <v>189</v>
      </c>
      <c r="B192" s="3">
        <f>NoMTC!K190</f>
        <v>113163.998584088</v>
      </c>
      <c r="C192" s="2">
        <f>NoMTC!I190</f>
        <v>8.1426191517859596</v>
      </c>
      <c r="D192" s="3">
        <f>MTC!K190</f>
        <v>116009.39945483601</v>
      </c>
      <c r="E192" s="2">
        <f>MTC!I190</f>
        <v>8.3281293868030506</v>
      </c>
      <c r="F192" s="2">
        <f t="shared" si="6"/>
        <v>2845.4008707480098</v>
      </c>
      <c r="G192" s="2">
        <f t="shared" si="7"/>
        <v>0.18551023501709096</v>
      </c>
      <c r="H192" s="3">
        <f>E192*Lambda-D192</f>
        <v>300397.06988531654</v>
      </c>
      <c r="I192" s="3">
        <f>C192*Lambda-B192</f>
        <v>293966.95900520997</v>
      </c>
      <c r="J192">
        <f t="shared" si="8"/>
        <v>1</v>
      </c>
      <c r="M192">
        <v>18800</v>
      </c>
      <c r="N192">
        <v>0.83</v>
      </c>
      <c r="O192">
        <v>0.17000000000000004</v>
      </c>
    </row>
    <row r="193" spans="1:15" x14ac:dyDescent="0.25">
      <c r="A193">
        <v>190</v>
      </c>
      <c r="B193" s="3">
        <f>NoMTC!K191</f>
        <v>117431.692948646</v>
      </c>
      <c r="C193" s="2">
        <f>NoMTC!I191</f>
        <v>7.0409045162175996</v>
      </c>
      <c r="D193" s="3">
        <f>MTC!K191</f>
        <v>120071.030843559</v>
      </c>
      <c r="E193" s="2">
        <f>MTC!I191</f>
        <v>7.1959727214826801</v>
      </c>
      <c r="F193" s="2">
        <f t="shared" si="6"/>
        <v>2639.3378949129983</v>
      </c>
      <c r="G193" s="2">
        <f t="shared" si="7"/>
        <v>0.15506820526508047</v>
      </c>
      <c r="H193" s="3">
        <f>E193*Lambda-D193</f>
        <v>239727.60523057502</v>
      </c>
      <c r="I193" s="3">
        <f>C193*Lambda-B193</f>
        <v>234613.53286223396</v>
      </c>
      <c r="J193">
        <f t="shared" si="8"/>
        <v>1</v>
      </c>
      <c r="M193">
        <v>18900</v>
      </c>
      <c r="N193">
        <v>0.83799999999999997</v>
      </c>
      <c r="O193">
        <v>0.16200000000000003</v>
      </c>
    </row>
    <row r="194" spans="1:15" x14ac:dyDescent="0.25">
      <c r="A194">
        <v>191</v>
      </c>
      <c r="B194" s="3">
        <f>NoMTC!K192</f>
        <v>134014.908017148</v>
      </c>
      <c r="C194" s="2">
        <f>NoMTC!I192</f>
        <v>7.3452580829965903</v>
      </c>
      <c r="D194" s="3">
        <f>MTC!K192</f>
        <v>141996.300485694</v>
      </c>
      <c r="E194" s="2">
        <f>MTC!I192</f>
        <v>7.8030682312165602</v>
      </c>
      <c r="F194" s="2">
        <f t="shared" si="6"/>
        <v>7981.3924685459933</v>
      </c>
      <c r="G194" s="2">
        <f t="shared" si="7"/>
        <v>0.4578101482199699</v>
      </c>
      <c r="H194" s="3">
        <f>E194*Lambda-D194</f>
        <v>248157.11107513405</v>
      </c>
      <c r="I194" s="3">
        <f>C194*Lambda-B194</f>
        <v>233247.99613268152</v>
      </c>
      <c r="J194">
        <f t="shared" si="8"/>
        <v>1</v>
      </c>
      <c r="M194">
        <v>19000</v>
      </c>
      <c r="N194">
        <v>0.84799999999999998</v>
      </c>
      <c r="O194">
        <v>0.15200000000000002</v>
      </c>
    </row>
    <row r="195" spans="1:15" x14ac:dyDescent="0.25">
      <c r="A195">
        <v>192</v>
      </c>
      <c r="B195" s="3">
        <f>NoMTC!K193</f>
        <v>105388.45101615399</v>
      </c>
      <c r="C195" s="2">
        <f>NoMTC!I193</f>
        <v>7.8325980927155801</v>
      </c>
      <c r="D195" s="3">
        <f>MTC!K193</f>
        <v>114169.047392144</v>
      </c>
      <c r="E195" s="2">
        <f>MTC!I193</f>
        <v>8.4512495289622205</v>
      </c>
      <c r="F195" s="2">
        <f t="shared" si="6"/>
        <v>8780.5963759900042</v>
      </c>
      <c r="G195" s="2">
        <f t="shared" si="7"/>
        <v>0.61865143624664043</v>
      </c>
      <c r="H195" s="3">
        <f>E195*Lambda-D195</f>
        <v>308393.42905596702</v>
      </c>
      <c r="I195" s="3">
        <f>C195*Lambda-B195</f>
        <v>286241.45361962495</v>
      </c>
      <c r="J195">
        <f t="shared" si="8"/>
        <v>1</v>
      </c>
      <c r="M195">
        <v>19100</v>
      </c>
      <c r="N195">
        <v>0.86</v>
      </c>
      <c r="O195">
        <v>0.14000000000000001</v>
      </c>
    </row>
    <row r="196" spans="1:15" x14ac:dyDescent="0.25">
      <c r="A196">
        <v>193</v>
      </c>
      <c r="B196" s="3">
        <f>NoMTC!K194</f>
        <v>116642.67020155099</v>
      </c>
      <c r="C196" s="2">
        <f>NoMTC!I194</f>
        <v>8.9746375943908205</v>
      </c>
      <c r="D196" s="3">
        <f>MTC!K194</f>
        <v>119703.57235638599</v>
      </c>
      <c r="E196" s="2">
        <f>MTC!I194</f>
        <v>9.2034372631489507</v>
      </c>
      <c r="F196" s="2">
        <f t="shared" si="6"/>
        <v>3060.9021548349992</v>
      </c>
      <c r="G196" s="2">
        <f t="shared" si="7"/>
        <v>0.22879966875813018</v>
      </c>
      <c r="H196" s="3">
        <f>E196*Lambda-D196</f>
        <v>340468.29080106155</v>
      </c>
      <c r="I196" s="3">
        <f>C196*Lambda-B196</f>
        <v>332089.20951799001</v>
      </c>
      <c r="J196">
        <f t="shared" si="8"/>
        <v>1</v>
      </c>
      <c r="M196">
        <v>19200</v>
      </c>
      <c r="N196">
        <v>0.86399999999999999</v>
      </c>
      <c r="O196">
        <v>0.13600000000000001</v>
      </c>
    </row>
    <row r="197" spans="1:15" x14ac:dyDescent="0.25">
      <c r="A197">
        <v>194</v>
      </c>
      <c r="B197" s="3">
        <f>NoMTC!K195</f>
        <v>107979.41825239699</v>
      </c>
      <c r="C197" s="2">
        <f>NoMTC!I195</f>
        <v>7.5045219693783096</v>
      </c>
      <c r="D197" s="3">
        <f>MTC!K195</f>
        <v>110387.687778714</v>
      </c>
      <c r="E197" s="2">
        <f>MTC!I195</f>
        <v>7.6995919404205804</v>
      </c>
      <c r="F197" s="2">
        <f t="shared" ref="F197:F260" si="9">D197-B197</f>
        <v>2408.2695263170026</v>
      </c>
      <c r="G197" s="2">
        <f t="shared" ref="G197:G260" si="10">E197-C197</f>
        <v>0.19506997104227075</v>
      </c>
      <c r="H197" s="3">
        <f>E197*Lambda-D197</f>
        <v>274591.90924231504</v>
      </c>
      <c r="I197" s="3">
        <f>C197*Lambda-B197</f>
        <v>267246.68021651852</v>
      </c>
      <c r="J197">
        <f t="shared" ref="J197:J260" si="11">IF(H197=MAX(H197:I197),1,0)</f>
        <v>1</v>
      </c>
      <c r="M197">
        <v>19300</v>
      </c>
      <c r="N197">
        <v>0.872</v>
      </c>
      <c r="O197">
        <v>0.128</v>
      </c>
    </row>
    <row r="198" spans="1:15" x14ac:dyDescent="0.25">
      <c r="A198">
        <v>195</v>
      </c>
      <c r="B198" s="3">
        <f>NoMTC!K196</f>
        <v>109250.02049056</v>
      </c>
      <c r="C198" s="2">
        <f>NoMTC!I196</f>
        <v>7.7944050658457904</v>
      </c>
      <c r="D198" s="3">
        <f>MTC!K196</f>
        <v>119753.402596243</v>
      </c>
      <c r="E198" s="2">
        <f>MTC!I196</f>
        <v>8.5025468486780795</v>
      </c>
      <c r="F198" s="2">
        <f t="shared" si="9"/>
        <v>10503.382105683006</v>
      </c>
      <c r="G198" s="2">
        <f t="shared" si="10"/>
        <v>0.70814178283228912</v>
      </c>
      <c r="H198" s="3">
        <f>E198*Lambda-D198</f>
        <v>305373.93983766093</v>
      </c>
      <c r="I198" s="3">
        <f>C198*Lambda-B198</f>
        <v>280470.23280172952</v>
      </c>
      <c r="J198">
        <f t="shared" si="11"/>
        <v>1</v>
      </c>
      <c r="M198">
        <v>19400</v>
      </c>
      <c r="N198">
        <v>0.874</v>
      </c>
      <c r="O198">
        <v>0.126</v>
      </c>
    </row>
    <row r="199" spans="1:15" x14ac:dyDescent="0.25">
      <c r="A199">
        <v>196</v>
      </c>
      <c r="B199" s="3">
        <f>NoMTC!K197</f>
        <v>85148.353813124806</v>
      </c>
      <c r="C199" s="2">
        <f>NoMTC!I197</f>
        <v>8.1013768431698896</v>
      </c>
      <c r="D199" s="3">
        <f>MTC!K197</f>
        <v>85983.404499355194</v>
      </c>
      <c r="E199" s="2">
        <f>MTC!I197</f>
        <v>8.2231741358861292</v>
      </c>
      <c r="F199" s="2">
        <f t="shared" si="9"/>
        <v>835.05068623038824</v>
      </c>
      <c r="G199" s="2">
        <f t="shared" si="10"/>
        <v>0.12179729271623962</v>
      </c>
      <c r="H199" s="3">
        <f>E199*Lambda-D199</f>
        <v>325175.30229495128</v>
      </c>
      <c r="I199" s="3">
        <f>C199*Lambda-B199</f>
        <v>319920.48834536964</v>
      </c>
      <c r="J199">
        <f t="shared" si="11"/>
        <v>1</v>
      </c>
      <c r="M199">
        <v>19500</v>
      </c>
      <c r="N199">
        <v>0.874</v>
      </c>
      <c r="O199">
        <v>0.126</v>
      </c>
    </row>
    <row r="200" spans="1:15" x14ac:dyDescent="0.25">
      <c r="A200">
        <v>197</v>
      </c>
      <c r="B200" s="3">
        <f>NoMTC!K198</f>
        <v>168523.77578891799</v>
      </c>
      <c r="C200" s="2">
        <f>NoMTC!I198</f>
        <v>7.1675581166472098</v>
      </c>
      <c r="D200" s="3">
        <f>MTC!K198</f>
        <v>180420.52866512601</v>
      </c>
      <c r="E200" s="2">
        <f>MTC!I198</f>
        <v>7.6341241814370697</v>
      </c>
      <c r="F200" s="2">
        <f t="shared" si="9"/>
        <v>11896.752876208018</v>
      </c>
      <c r="G200" s="2">
        <f t="shared" si="10"/>
        <v>0.46656606478985996</v>
      </c>
      <c r="H200" s="3">
        <f>E200*Lambda-D200</f>
        <v>201285.68040672748</v>
      </c>
      <c r="I200" s="3">
        <f>C200*Lambda-B200</f>
        <v>189854.13004344251</v>
      </c>
      <c r="J200">
        <f t="shared" si="11"/>
        <v>1</v>
      </c>
      <c r="M200">
        <v>19600</v>
      </c>
      <c r="N200">
        <v>0.88400000000000001</v>
      </c>
      <c r="O200">
        <v>0.11599999999999999</v>
      </c>
    </row>
    <row r="201" spans="1:15" x14ac:dyDescent="0.25">
      <c r="A201">
        <v>198</v>
      </c>
      <c r="B201" s="3">
        <f>NoMTC!K199</f>
        <v>131028.353313816</v>
      </c>
      <c r="C201" s="2">
        <f>NoMTC!I199</f>
        <v>6.8508056403060298</v>
      </c>
      <c r="D201" s="3">
        <f>MTC!K199</f>
        <v>138077.038442752</v>
      </c>
      <c r="E201" s="2">
        <f>MTC!I199</f>
        <v>7.1960245676390997</v>
      </c>
      <c r="F201" s="2">
        <f t="shared" si="9"/>
        <v>7048.6851289360056</v>
      </c>
      <c r="G201" s="2">
        <f t="shared" si="10"/>
        <v>0.34521892733306991</v>
      </c>
      <c r="H201" s="3">
        <f>E201*Lambda-D201</f>
        <v>221724.189939203</v>
      </c>
      <c r="I201" s="3">
        <f>C201*Lambda-B201</f>
        <v>211511.92870148545</v>
      </c>
      <c r="J201">
        <f t="shared" si="11"/>
        <v>1</v>
      </c>
      <c r="M201">
        <v>19700</v>
      </c>
      <c r="N201">
        <v>0.88600000000000001</v>
      </c>
      <c r="O201">
        <v>0.11399999999999999</v>
      </c>
    </row>
    <row r="202" spans="1:15" x14ac:dyDescent="0.25">
      <c r="A202">
        <v>199</v>
      </c>
      <c r="B202" s="3">
        <f>NoMTC!K200</f>
        <v>127219.82256878</v>
      </c>
      <c r="C202" s="2">
        <f>NoMTC!I200</f>
        <v>8.5044587671813492</v>
      </c>
      <c r="D202" s="3">
        <f>MTC!K200</f>
        <v>132649.890773344</v>
      </c>
      <c r="E202" s="2">
        <f>MTC!I200</f>
        <v>8.8509454071845504</v>
      </c>
      <c r="F202" s="2">
        <f t="shared" si="9"/>
        <v>5430.0682045639987</v>
      </c>
      <c r="G202" s="2">
        <f t="shared" si="10"/>
        <v>0.34648664000320117</v>
      </c>
      <c r="H202" s="3">
        <f>E202*Lambda-D202</f>
        <v>309897.37958588346</v>
      </c>
      <c r="I202" s="3">
        <f>C202*Lambda-B202</f>
        <v>298003.1157902875</v>
      </c>
      <c r="J202">
        <f t="shared" si="11"/>
        <v>1</v>
      </c>
      <c r="M202">
        <v>19800</v>
      </c>
      <c r="N202">
        <v>0.88800000000000001</v>
      </c>
      <c r="O202">
        <v>0.11199999999999999</v>
      </c>
    </row>
    <row r="203" spans="1:15" x14ac:dyDescent="0.25">
      <c r="A203">
        <v>200</v>
      </c>
      <c r="B203" s="3">
        <f>NoMTC!K201</f>
        <v>135963.44985555499</v>
      </c>
      <c r="C203" s="2">
        <f>NoMTC!I201</f>
        <v>7.1635839524623304</v>
      </c>
      <c r="D203" s="3">
        <f>MTC!K201</f>
        <v>143906.52943395899</v>
      </c>
      <c r="E203" s="2">
        <f>MTC!I201</f>
        <v>7.5509661371683299</v>
      </c>
      <c r="F203" s="2">
        <f t="shared" si="9"/>
        <v>7943.0795784039947</v>
      </c>
      <c r="G203" s="2">
        <f t="shared" si="10"/>
        <v>0.3873821847059995</v>
      </c>
      <c r="H203" s="3">
        <f>E203*Lambda-D203</f>
        <v>233641.77742445748</v>
      </c>
      <c r="I203" s="3">
        <f>C203*Lambda-B203</f>
        <v>222215.74776756155</v>
      </c>
      <c r="J203">
        <f t="shared" si="11"/>
        <v>1</v>
      </c>
      <c r="M203">
        <v>19900</v>
      </c>
      <c r="N203">
        <v>0.89200000000000002</v>
      </c>
      <c r="O203">
        <v>0.10799999999999998</v>
      </c>
    </row>
    <row r="204" spans="1:15" x14ac:dyDescent="0.25">
      <c r="A204">
        <v>201</v>
      </c>
      <c r="B204" s="3">
        <f>NoMTC!K202</f>
        <v>117500.857352483</v>
      </c>
      <c r="C204" s="2">
        <f>NoMTC!I202</f>
        <v>5.9258305867856</v>
      </c>
      <c r="D204" s="3">
        <f>MTC!K202</f>
        <v>127024.32217400199</v>
      </c>
      <c r="E204" s="2">
        <f>MTC!I202</f>
        <v>6.3689673981936803</v>
      </c>
      <c r="F204" s="2">
        <f t="shared" si="9"/>
        <v>9523.4648215189954</v>
      </c>
      <c r="G204" s="2">
        <f t="shared" si="10"/>
        <v>0.44313681140808026</v>
      </c>
      <c r="H204" s="3">
        <f>E204*Lambda-D204</f>
        <v>191424.04773568199</v>
      </c>
      <c r="I204" s="3">
        <f>C204*Lambda-B204</f>
        <v>178790.67198679698</v>
      </c>
      <c r="J204">
        <f t="shared" si="11"/>
        <v>1</v>
      </c>
      <c r="M204">
        <v>20000</v>
      </c>
      <c r="N204">
        <v>0.89800000000000002</v>
      </c>
      <c r="O204">
        <v>0.10199999999999998</v>
      </c>
    </row>
    <row r="205" spans="1:15" x14ac:dyDescent="0.25">
      <c r="A205">
        <v>202</v>
      </c>
      <c r="B205" s="3">
        <f>NoMTC!K203</f>
        <v>130830.57104461901</v>
      </c>
      <c r="C205" s="2">
        <f>NoMTC!I203</f>
        <v>8.50637501109561</v>
      </c>
      <c r="D205" s="3">
        <f>MTC!K203</f>
        <v>133920.497652447</v>
      </c>
      <c r="E205" s="2">
        <f>MTC!I203</f>
        <v>8.6777756359360403</v>
      </c>
      <c r="F205" s="2">
        <f t="shared" si="9"/>
        <v>3089.9266078279907</v>
      </c>
      <c r="G205" s="2">
        <f t="shared" si="10"/>
        <v>0.17140062484043028</v>
      </c>
      <c r="H205" s="3">
        <f>E205*Lambda-D205</f>
        <v>299968.28414435498</v>
      </c>
      <c r="I205" s="3">
        <f>C205*Lambda-B205</f>
        <v>294488.17951016146</v>
      </c>
      <c r="J205">
        <f t="shared" si="11"/>
        <v>1</v>
      </c>
      <c r="M205">
        <v>20100</v>
      </c>
      <c r="N205">
        <v>0.90200000000000002</v>
      </c>
      <c r="O205">
        <v>9.7999999999999976E-2</v>
      </c>
    </row>
    <row r="206" spans="1:15" x14ac:dyDescent="0.25">
      <c r="A206">
        <v>203</v>
      </c>
      <c r="B206" s="3">
        <f>NoMTC!K204</f>
        <v>126188.585176462</v>
      </c>
      <c r="C206" s="2">
        <f>NoMTC!I204</f>
        <v>8.5087596760593307</v>
      </c>
      <c r="D206" s="3">
        <f>MTC!K204</f>
        <v>130070.502923215</v>
      </c>
      <c r="E206" s="2">
        <f>MTC!I204</f>
        <v>8.7790885985314304</v>
      </c>
      <c r="F206" s="2">
        <f t="shared" si="9"/>
        <v>3881.9177467529953</v>
      </c>
      <c r="G206" s="2">
        <f t="shared" si="10"/>
        <v>0.27032892247209972</v>
      </c>
      <c r="H206" s="3">
        <f>E206*Lambda-D206</f>
        <v>308883.92700335651</v>
      </c>
      <c r="I206" s="3">
        <f>C206*Lambda-B206</f>
        <v>299249.39862650452</v>
      </c>
      <c r="J206">
        <f t="shared" si="11"/>
        <v>1</v>
      </c>
      <c r="M206">
        <v>20200</v>
      </c>
      <c r="N206">
        <v>0.90800000000000003</v>
      </c>
      <c r="O206">
        <v>9.1999999999999971E-2</v>
      </c>
    </row>
    <row r="207" spans="1:15" x14ac:dyDescent="0.25">
      <c r="A207">
        <v>204</v>
      </c>
      <c r="B207" s="3">
        <f>NoMTC!K205</f>
        <v>101891.645924155</v>
      </c>
      <c r="C207" s="2">
        <f>NoMTC!I205</f>
        <v>7.71564964500124</v>
      </c>
      <c r="D207" s="3">
        <f>MTC!K205</f>
        <v>104441.472376937</v>
      </c>
      <c r="E207" s="2">
        <f>MTC!I205</f>
        <v>7.8903075055954801</v>
      </c>
      <c r="F207" s="2">
        <f t="shared" si="9"/>
        <v>2549.8264527819993</v>
      </c>
      <c r="G207" s="2">
        <f t="shared" si="10"/>
        <v>0.17465786059424016</v>
      </c>
      <c r="H207" s="3">
        <f>E207*Lambda-D207</f>
        <v>290073.90290283703</v>
      </c>
      <c r="I207" s="3">
        <f>C207*Lambda-B207</f>
        <v>283890.83632590697</v>
      </c>
      <c r="J207">
        <f t="shared" si="11"/>
        <v>1</v>
      </c>
      <c r="M207">
        <v>20300</v>
      </c>
      <c r="N207">
        <v>0.91</v>
      </c>
      <c r="O207">
        <v>8.9999999999999969E-2</v>
      </c>
    </row>
    <row r="208" spans="1:15" x14ac:dyDescent="0.25">
      <c r="A208">
        <v>205</v>
      </c>
      <c r="B208" s="3">
        <f>NoMTC!K206</f>
        <v>120527.530509219</v>
      </c>
      <c r="C208" s="2">
        <f>NoMTC!I206</f>
        <v>7.43924969371096</v>
      </c>
      <c r="D208" s="3">
        <f>MTC!K206</f>
        <v>131348.62992738499</v>
      </c>
      <c r="E208" s="2">
        <f>MTC!I206</f>
        <v>8.09244992043166</v>
      </c>
      <c r="F208" s="2">
        <f t="shared" si="9"/>
        <v>10821.099418165992</v>
      </c>
      <c r="G208" s="2">
        <f t="shared" si="10"/>
        <v>0.65320022672069999</v>
      </c>
      <c r="H208" s="3">
        <f>E208*Lambda-D208</f>
        <v>273273.86609419796</v>
      </c>
      <c r="I208" s="3">
        <f>C208*Lambda-B208</f>
        <v>251434.95417632902</v>
      </c>
      <c r="J208">
        <f t="shared" si="11"/>
        <v>1</v>
      </c>
      <c r="M208">
        <v>20400</v>
      </c>
      <c r="N208">
        <v>0.91600000000000004</v>
      </c>
      <c r="O208">
        <v>8.3999999999999964E-2</v>
      </c>
    </row>
    <row r="209" spans="1:15" x14ac:dyDescent="0.25">
      <c r="A209">
        <v>206</v>
      </c>
      <c r="B209" s="3">
        <f>NoMTC!K207</f>
        <v>97775.327046565406</v>
      </c>
      <c r="C209" s="2">
        <f>NoMTC!I207</f>
        <v>7.5074268308298704</v>
      </c>
      <c r="D209" s="3">
        <f>MTC!K207</f>
        <v>101161.440530751</v>
      </c>
      <c r="E209" s="2">
        <f>MTC!I207</f>
        <v>7.7604809564097001</v>
      </c>
      <c r="F209" s="2">
        <f t="shared" si="9"/>
        <v>3386.1134841855965</v>
      </c>
      <c r="G209" s="2">
        <f t="shared" si="10"/>
        <v>0.25305412557982976</v>
      </c>
      <c r="H209" s="3">
        <f>E209*Lambda-D209</f>
        <v>286862.60728973401</v>
      </c>
      <c r="I209" s="3">
        <f>C209*Lambda-B209</f>
        <v>277596.01449492812</v>
      </c>
      <c r="J209">
        <f t="shared" si="11"/>
        <v>1</v>
      </c>
      <c r="M209">
        <v>20500</v>
      </c>
      <c r="N209">
        <v>0.92</v>
      </c>
      <c r="O209">
        <v>7.999999999999996E-2</v>
      </c>
    </row>
    <row r="210" spans="1:15" x14ac:dyDescent="0.25">
      <c r="A210">
        <v>207</v>
      </c>
      <c r="B210" s="3">
        <f>NoMTC!K208</f>
        <v>121885.19394844701</v>
      </c>
      <c r="C210" s="2">
        <f>NoMTC!I208</f>
        <v>7.4653654207292997</v>
      </c>
      <c r="D210" s="3">
        <f>MTC!K208</f>
        <v>129915.829073035</v>
      </c>
      <c r="E210" s="2">
        <f>MTC!I208</f>
        <v>7.9333449789774502</v>
      </c>
      <c r="F210" s="2">
        <f t="shared" si="9"/>
        <v>8030.6351245879923</v>
      </c>
      <c r="G210" s="2">
        <f t="shared" si="10"/>
        <v>0.46797955824815052</v>
      </c>
      <c r="H210" s="3">
        <f>E210*Lambda-D210</f>
        <v>266751.41987583751</v>
      </c>
      <c r="I210" s="3">
        <f>C210*Lambda-B210</f>
        <v>251383.07708801795</v>
      </c>
      <c r="J210">
        <f t="shared" si="11"/>
        <v>1</v>
      </c>
      <c r="M210">
        <v>20600</v>
      </c>
      <c r="N210">
        <v>0.92400000000000004</v>
      </c>
      <c r="O210">
        <v>7.5999999999999956E-2</v>
      </c>
    </row>
    <row r="211" spans="1:15" x14ac:dyDescent="0.25">
      <c r="A211">
        <v>208</v>
      </c>
      <c r="B211" s="3">
        <f>NoMTC!K209</f>
        <v>159741.621635171</v>
      </c>
      <c r="C211" s="2">
        <f>NoMTC!I209</f>
        <v>7.4260364067480404</v>
      </c>
      <c r="D211" s="3">
        <f>MTC!K209</f>
        <v>163831.934859651</v>
      </c>
      <c r="E211" s="2">
        <f>MTC!I209</f>
        <v>7.6053463664778098</v>
      </c>
      <c r="F211" s="2">
        <f t="shared" si="9"/>
        <v>4090.3132244799926</v>
      </c>
      <c r="G211" s="2">
        <f t="shared" si="10"/>
        <v>0.17930995972976937</v>
      </c>
      <c r="H211" s="3">
        <f>E211*Lambda-D211</f>
        <v>216435.38346423951</v>
      </c>
      <c r="I211" s="3">
        <f>C211*Lambda-B211</f>
        <v>211560.19870223099</v>
      </c>
      <c r="J211">
        <f t="shared" si="11"/>
        <v>1</v>
      </c>
      <c r="M211">
        <v>20700</v>
      </c>
      <c r="N211">
        <v>0.93</v>
      </c>
      <c r="O211">
        <v>6.9999999999999951E-2</v>
      </c>
    </row>
    <row r="212" spans="1:15" x14ac:dyDescent="0.25">
      <c r="A212">
        <v>209</v>
      </c>
      <c r="B212" s="3">
        <f>NoMTC!K210</f>
        <v>114741.20396553801</v>
      </c>
      <c r="C212" s="2">
        <f>NoMTC!I210</f>
        <v>6.3924005881318999</v>
      </c>
      <c r="D212" s="3">
        <f>MTC!K210</f>
        <v>129570.63437331701</v>
      </c>
      <c r="E212" s="2">
        <f>MTC!I210</f>
        <v>7.1734540350412601</v>
      </c>
      <c r="F212" s="2">
        <f t="shared" si="9"/>
        <v>14829.430407779</v>
      </c>
      <c r="G212" s="2">
        <f t="shared" si="10"/>
        <v>0.78105344690936018</v>
      </c>
      <c r="H212" s="3">
        <f>E212*Lambda-D212</f>
        <v>229102.067378746</v>
      </c>
      <c r="I212" s="3">
        <f>C212*Lambda-B212</f>
        <v>204878.82544105698</v>
      </c>
      <c r="J212">
        <f t="shared" si="11"/>
        <v>1</v>
      </c>
      <c r="M212">
        <v>20800</v>
      </c>
      <c r="N212">
        <v>0.93200000000000005</v>
      </c>
      <c r="O212">
        <v>6.7999999999999949E-2</v>
      </c>
    </row>
    <row r="213" spans="1:15" x14ac:dyDescent="0.25">
      <c r="A213">
        <v>210</v>
      </c>
      <c r="B213" s="3">
        <f>NoMTC!K211</f>
        <v>115273.451527274</v>
      </c>
      <c r="C213" s="2">
        <f>NoMTC!I211</f>
        <v>7.90810234872969</v>
      </c>
      <c r="D213" s="3">
        <f>MTC!K211</f>
        <v>127661.04596733399</v>
      </c>
      <c r="E213" s="2">
        <f>MTC!I211</f>
        <v>8.7413274282126405</v>
      </c>
      <c r="F213" s="2">
        <f t="shared" si="9"/>
        <v>12387.594440059998</v>
      </c>
      <c r="G213" s="2">
        <f t="shared" si="10"/>
        <v>0.83322507948295055</v>
      </c>
      <c r="H213" s="3">
        <f>E213*Lambda-D213</f>
        <v>309405.32544329803</v>
      </c>
      <c r="I213" s="3">
        <f>C213*Lambda-B213</f>
        <v>280131.66590921051</v>
      </c>
      <c r="J213">
        <f t="shared" si="11"/>
        <v>1</v>
      </c>
      <c r="M213">
        <v>20900</v>
      </c>
      <c r="N213">
        <v>0.93200000000000005</v>
      </c>
      <c r="O213">
        <v>6.7999999999999949E-2</v>
      </c>
    </row>
    <row r="214" spans="1:15" x14ac:dyDescent="0.25">
      <c r="A214">
        <v>211</v>
      </c>
      <c r="B214" s="3">
        <f>NoMTC!K212</f>
        <v>141556.534878568</v>
      </c>
      <c r="C214" s="2">
        <f>NoMTC!I212</f>
        <v>7.1467524574685699</v>
      </c>
      <c r="D214" s="3">
        <f>MTC!K212</f>
        <v>143789.14083340499</v>
      </c>
      <c r="E214" s="2">
        <f>MTC!I212</f>
        <v>7.2526162744171998</v>
      </c>
      <c r="F214" s="2">
        <f t="shared" si="9"/>
        <v>2232.6059548369958</v>
      </c>
      <c r="G214" s="2">
        <f t="shared" si="10"/>
        <v>0.1058638169486299</v>
      </c>
      <c r="H214" s="3">
        <f>E214*Lambda-D214</f>
        <v>218841.672887455</v>
      </c>
      <c r="I214" s="3">
        <f>C214*Lambda-B214</f>
        <v>215781.08799486051</v>
      </c>
      <c r="J214">
        <f t="shared" si="11"/>
        <v>1</v>
      </c>
      <c r="M214">
        <v>21000</v>
      </c>
      <c r="N214">
        <v>0.93400000000000005</v>
      </c>
      <c r="O214">
        <v>6.5999999999999948E-2</v>
      </c>
    </row>
    <row r="215" spans="1:15" x14ac:dyDescent="0.25">
      <c r="A215">
        <v>212</v>
      </c>
      <c r="B215" s="3">
        <f>NoMTC!K213</f>
        <v>156195.655393191</v>
      </c>
      <c r="C215" s="2">
        <f>NoMTC!I213</f>
        <v>8.6194430154888799</v>
      </c>
      <c r="D215" s="3">
        <f>MTC!K213</f>
        <v>166331.84382549199</v>
      </c>
      <c r="E215" s="2">
        <f>MTC!I213</f>
        <v>9.1187324348314096</v>
      </c>
      <c r="F215" s="2">
        <f t="shared" si="9"/>
        <v>10136.188432300987</v>
      </c>
      <c r="G215" s="2">
        <f t="shared" si="10"/>
        <v>0.49928941934252968</v>
      </c>
      <c r="H215" s="3">
        <f>E215*Lambda-D215</f>
        <v>289604.77791607846</v>
      </c>
      <c r="I215" s="3">
        <f>C215*Lambda-B215</f>
        <v>274776.49538125296</v>
      </c>
      <c r="J215">
        <f t="shared" si="11"/>
        <v>1</v>
      </c>
      <c r="M215">
        <v>21100</v>
      </c>
      <c r="N215">
        <v>0.94</v>
      </c>
      <c r="O215">
        <v>6.0000000000000053E-2</v>
      </c>
    </row>
    <row r="216" spans="1:15" x14ac:dyDescent="0.25">
      <c r="A216">
        <v>213</v>
      </c>
      <c r="B216" s="3">
        <f>NoMTC!K214</f>
        <v>82378.966316822305</v>
      </c>
      <c r="C216" s="2">
        <f>NoMTC!I214</f>
        <v>7.1659377132446398</v>
      </c>
      <c r="D216" s="3">
        <f>MTC!K214</f>
        <v>86791.917941238498</v>
      </c>
      <c r="E216" s="2">
        <f>MTC!I214</f>
        <v>7.5679648136531998</v>
      </c>
      <c r="F216" s="2">
        <f t="shared" si="9"/>
        <v>4412.9516244161932</v>
      </c>
      <c r="G216" s="2">
        <f t="shared" si="10"/>
        <v>0.40202710040856005</v>
      </c>
      <c r="H216" s="3">
        <f>E216*Lambda-D216</f>
        <v>291606.32274142152</v>
      </c>
      <c r="I216" s="3">
        <f>C216*Lambda-B216</f>
        <v>275917.91934540973</v>
      </c>
      <c r="J216">
        <f t="shared" si="11"/>
        <v>1</v>
      </c>
      <c r="M216">
        <v>21200</v>
      </c>
      <c r="N216">
        <v>0.94199999999999995</v>
      </c>
      <c r="O216">
        <v>5.8000000000000052E-2</v>
      </c>
    </row>
    <row r="217" spans="1:15" x14ac:dyDescent="0.25">
      <c r="A217">
        <v>214</v>
      </c>
      <c r="B217" s="3">
        <f>NoMTC!K215</f>
        <v>131250.57708515599</v>
      </c>
      <c r="C217" s="2">
        <f>NoMTC!I215</f>
        <v>8.3681158928372206</v>
      </c>
      <c r="D217" s="3">
        <f>MTC!K215</f>
        <v>139060.77768372101</v>
      </c>
      <c r="E217" s="2">
        <f>MTC!I215</f>
        <v>8.8126975929424098</v>
      </c>
      <c r="F217" s="2">
        <f t="shared" si="9"/>
        <v>7810.2005985650176</v>
      </c>
      <c r="G217" s="2">
        <f t="shared" si="10"/>
        <v>0.44458170010518927</v>
      </c>
      <c r="H217" s="3">
        <f>E217*Lambda-D217</f>
        <v>301574.10196339944</v>
      </c>
      <c r="I217" s="3">
        <f>C217*Lambda-B217</f>
        <v>287155.21755670506</v>
      </c>
      <c r="J217">
        <f t="shared" si="11"/>
        <v>1</v>
      </c>
      <c r="M217">
        <v>21300</v>
      </c>
      <c r="N217">
        <v>0.95</v>
      </c>
      <c r="O217">
        <v>5.0000000000000044E-2</v>
      </c>
    </row>
    <row r="218" spans="1:15" x14ac:dyDescent="0.25">
      <c r="A218">
        <v>215</v>
      </c>
      <c r="B218" s="3">
        <f>NoMTC!K216</f>
        <v>109916.65733302</v>
      </c>
      <c r="C218" s="2">
        <f>NoMTC!I216</f>
        <v>8.1571205136002707</v>
      </c>
      <c r="D218" s="3">
        <f>MTC!K216</f>
        <v>115076.221841087</v>
      </c>
      <c r="E218" s="2">
        <f>MTC!I216</f>
        <v>8.5333244636358803</v>
      </c>
      <c r="F218" s="2">
        <f t="shared" si="9"/>
        <v>5159.5645080669929</v>
      </c>
      <c r="G218" s="2">
        <f t="shared" si="10"/>
        <v>0.37620395003560958</v>
      </c>
      <c r="H218" s="3">
        <f>E218*Lambda-D218</f>
        <v>311590.00134070701</v>
      </c>
      <c r="I218" s="3">
        <f>C218*Lambda-B218</f>
        <v>297939.36834699352</v>
      </c>
      <c r="J218">
        <f t="shared" si="11"/>
        <v>1</v>
      </c>
      <c r="M218">
        <v>21400</v>
      </c>
      <c r="N218">
        <v>0.95399999999999996</v>
      </c>
      <c r="O218">
        <v>4.6000000000000041E-2</v>
      </c>
    </row>
    <row r="219" spans="1:15" x14ac:dyDescent="0.25">
      <c r="A219">
        <v>216</v>
      </c>
      <c r="B219" s="3">
        <f>NoMTC!K217</f>
        <v>114268.34447310001</v>
      </c>
      <c r="C219" s="2">
        <f>NoMTC!I217</f>
        <v>7.8911578805325799</v>
      </c>
      <c r="D219" s="3">
        <f>MTC!K217</f>
        <v>122877.186568773</v>
      </c>
      <c r="E219" s="2">
        <f>MTC!I217</f>
        <v>8.4999583549953304</v>
      </c>
      <c r="F219" s="2">
        <f t="shared" si="9"/>
        <v>8608.8420956729969</v>
      </c>
      <c r="G219" s="2">
        <f t="shared" si="10"/>
        <v>0.60880047446275043</v>
      </c>
      <c r="H219" s="3">
        <f>E219*Lambda-D219</f>
        <v>302120.73118099349</v>
      </c>
      <c r="I219" s="3">
        <f>C219*Lambda-B219</f>
        <v>280289.54955352901</v>
      </c>
      <c r="J219">
        <f t="shared" si="11"/>
        <v>1</v>
      </c>
      <c r="M219">
        <v>21500</v>
      </c>
      <c r="N219">
        <v>0.95599999999999996</v>
      </c>
      <c r="O219">
        <v>4.4000000000000039E-2</v>
      </c>
    </row>
    <row r="220" spans="1:15" x14ac:dyDescent="0.25">
      <c r="A220">
        <v>217</v>
      </c>
      <c r="B220" s="3">
        <f>NoMTC!K218</f>
        <v>119152.57968538201</v>
      </c>
      <c r="C220" s="2">
        <f>NoMTC!I218</f>
        <v>8.4024961453795797</v>
      </c>
      <c r="D220" s="3">
        <f>MTC!K218</f>
        <v>126885.37181460499</v>
      </c>
      <c r="E220" s="2">
        <f>MTC!I218</f>
        <v>8.9064361366967493</v>
      </c>
      <c r="F220" s="2">
        <f t="shared" si="9"/>
        <v>7732.7921292229876</v>
      </c>
      <c r="G220" s="2">
        <f t="shared" si="10"/>
        <v>0.5039399913171696</v>
      </c>
      <c r="H220" s="3">
        <f>E220*Lambda-D220</f>
        <v>318436.43502023246</v>
      </c>
      <c r="I220" s="3">
        <f>C220*Lambda-B220</f>
        <v>300972.22758359695</v>
      </c>
      <c r="J220">
        <f t="shared" si="11"/>
        <v>1</v>
      </c>
      <c r="M220">
        <v>21600</v>
      </c>
      <c r="N220">
        <v>0.96</v>
      </c>
      <c r="O220">
        <v>4.0000000000000036E-2</v>
      </c>
    </row>
    <row r="221" spans="1:15" x14ac:dyDescent="0.25">
      <c r="A221">
        <v>218</v>
      </c>
      <c r="B221" s="3">
        <f>NoMTC!K219</f>
        <v>155717.95723405899</v>
      </c>
      <c r="C221" s="2">
        <f>NoMTC!I219</f>
        <v>8.0507084591733307</v>
      </c>
      <c r="D221" s="3">
        <f>MTC!K219</f>
        <v>162639.079476599</v>
      </c>
      <c r="E221" s="2">
        <f>MTC!I219</f>
        <v>8.3951146275379003</v>
      </c>
      <c r="F221" s="2">
        <f t="shared" si="9"/>
        <v>6921.1222425400047</v>
      </c>
      <c r="G221" s="2">
        <f t="shared" si="10"/>
        <v>0.34440616836456961</v>
      </c>
      <c r="H221" s="3">
        <f>E221*Lambda-D221</f>
        <v>257116.65190029604</v>
      </c>
      <c r="I221" s="3">
        <f>C221*Lambda-B221</f>
        <v>246817.46572460752</v>
      </c>
      <c r="J221">
        <f t="shared" si="11"/>
        <v>1</v>
      </c>
      <c r="M221">
        <v>21700</v>
      </c>
      <c r="N221">
        <v>0.96199999999999997</v>
      </c>
      <c r="O221">
        <v>3.8000000000000034E-2</v>
      </c>
    </row>
    <row r="222" spans="1:15" x14ac:dyDescent="0.25">
      <c r="A222">
        <v>219</v>
      </c>
      <c r="B222" s="3">
        <f>NoMTC!K220</f>
        <v>147847.77094877599</v>
      </c>
      <c r="C222" s="2">
        <f>NoMTC!I220</f>
        <v>8.0650641088977295</v>
      </c>
      <c r="D222" s="3">
        <f>MTC!K220</f>
        <v>152036.00792952499</v>
      </c>
      <c r="E222" s="2">
        <f>MTC!I220</f>
        <v>8.2884695564760396</v>
      </c>
      <c r="F222" s="2">
        <f t="shared" si="9"/>
        <v>4188.2369807490031</v>
      </c>
      <c r="G222" s="2">
        <f t="shared" si="10"/>
        <v>0.22340544757831005</v>
      </c>
      <c r="H222" s="3">
        <f>E222*Lambda-D222</f>
        <v>262387.46989427699</v>
      </c>
      <c r="I222" s="3">
        <f>C222*Lambda-B222</f>
        <v>255405.43449611048</v>
      </c>
      <c r="J222">
        <f t="shared" si="11"/>
        <v>1</v>
      </c>
      <c r="M222">
        <v>21800</v>
      </c>
      <c r="N222">
        <v>0.96599999999999997</v>
      </c>
      <c r="O222">
        <v>3.400000000000003E-2</v>
      </c>
    </row>
    <row r="223" spans="1:15" x14ac:dyDescent="0.25">
      <c r="A223">
        <v>220</v>
      </c>
      <c r="B223" s="3">
        <f>NoMTC!K221</f>
        <v>108899.30340092001</v>
      </c>
      <c r="C223" s="2">
        <f>NoMTC!I221</f>
        <v>7.0370988401789303</v>
      </c>
      <c r="D223" s="3">
        <f>MTC!K221</f>
        <v>111168.602365514</v>
      </c>
      <c r="E223" s="2">
        <f>MTC!I221</f>
        <v>7.1762251310835596</v>
      </c>
      <c r="F223" s="2">
        <f t="shared" si="9"/>
        <v>2269.2989645939961</v>
      </c>
      <c r="G223" s="2">
        <f t="shared" si="10"/>
        <v>0.13912629090462936</v>
      </c>
      <c r="H223" s="3">
        <f>E223*Lambda-D223</f>
        <v>247642.65418866396</v>
      </c>
      <c r="I223" s="3">
        <f>C223*Lambda-B223</f>
        <v>242955.63860802649</v>
      </c>
      <c r="J223">
        <f t="shared" si="11"/>
        <v>1</v>
      </c>
      <c r="M223">
        <v>21900</v>
      </c>
      <c r="N223">
        <v>0.96799999999999997</v>
      </c>
      <c r="O223">
        <v>3.2000000000000028E-2</v>
      </c>
    </row>
    <row r="224" spans="1:15" x14ac:dyDescent="0.25">
      <c r="A224">
        <v>221</v>
      </c>
      <c r="B224" s="3">
        <f>NoMTC!K222</f>
        <v>110441.251596976</v>
      </c>
      <c r="C224" s="2">
        <f>NoMTC!I222</f>
        <v>8.1310695194243596</v>
      </c>
      <c r="D224" s="3">
        <f>MTC!K222</f>
        <v>115263.309069857</v>
      </c>
      <c r="E224" s="2">
        <f>MTC!I222</f>
        <v>8.4690922948544802</v>
      </c>
      <c r="F224" s="2">
        <f t="shared" si="9"/>
        <v>4822.0574728810025</v>
      </c>
      <c r="G224" s="2">
        <f t="shared" si="10"/>
        <v>0.3380227754301206</v>
      </c>
      <c r="H224" s="3">
        <f>E224*Lambda-D224</f>
        <v>308191.30567286699</v>
      </c>
      <c r="I224" s="3">
        <f>C224*Lambda-B224</f>
        <v>296112.22437424195</v>
      </c>
      <c r="J224">
        <f t="shared" si="11"/>
        <v>1</v>
      </c>
      <c r="M224">
        <v>22000</v>
      </c>
      <c r="N224">
        <v>0.96799999999999997</v>
      </c>
      <c r="O224">
        <v>3.2000000000000028E-2</v>
      </c>
    </row>
    <row r="225" spans="1:15" x14ac:dyDescent="0.25">
      <c r="A225">
        <v>222</v>
      </c>
      <c r="B225" s="3">
        <f>NoMTC!K223</f>
        <v>114093.830057489</v>
      </c>
      <c r="C225" s="2">
        <f>NoMTC!I223</f>
        <v>6.3307375168734499</v>
      </c>
      <c r="D225" s="3">
        <f>MTC!K223</f>
        <v>121357.91329895399</v>
      </c>
      <c r="E225" s="2">
        <f>MTC!I223</f>
        <v>6.7281612209807902</v>
      </c>
      <c r="F225" s="2">
        <f t="shared" si="9"/>
        <v>7264.0832414649922</v>
      </c>
      <c r="G225" s="2">
        <f t="shared" si="10"/>
        <v>0.39742370410734029</v>
      </c>
      <c r="H225" s="3">
        <f>E225*Lambda-D225</f>
        <v>215050.14775008554</v>
      </c>
      <c r="I225" s="3">
        <f>C225*Lambda-B225</f>
        <v>202443.0457861835</v>
      </c>
      <c r="J225">
        <f t="shared" si="11"/>
        <v>1</v>
      </c>
      <c r="M225">
        <v>22100</v>
      </c>
      <c r="N225">
        <v>0.97</v>
      </c>
      <c r="O225">
        <v>3.0000000000000027E-2</v>
      </c>
    </row>
    <row r="226" spans="1:15" x14ac:dyDescent="0.25">
      <c r="A226">
        <v>223</v>
      </c>
      <c r="B226" s="3">
        <f>NoMTC!K224</f>
        <v>120639.130532333</v>
      </c>
      <c r="C226" s="2">
        <f>NoMTC!I224</f>
        <v>7.5781452253715997</v>
      </c>
      <c r="D226" s="3">
        <f>MTC!K224</f>
        <v>125377.59301117</v>
      </c>
      <c r="E226" s="2">
        <f>MTC!I224</f>
        <v>7.8707507182951799</v>
      </c>
      <c r="F226" s="2">
        <f t="shared" si="9"/>
        <v>4738.4624788369983</v>
      </c>
      <c r="G226" s="2">
        <f t="shared" si="10"/>
        <v>0.29260549292358018</v>
      </c>
      <c r="H226" s="3">
        <f>E226*Lambda-D226</f>
        <v>268159.94290358899</v>
      </c>
      <c r="I226" s="3">
        <f>C226*Lambda-B226</f>
        <v>258268.130736247</v>
      </c>
      <c r="J226">
        <f t="shared" si="11"/>
        <v>1</v>
      </c>
      <c r="M226">
        <v>22200</v>
      </c>
      <c r="N226">
        <v>0.97199999999999998</v>
      </c>
      <c r="O226">
        <v>2.8000000000000025E-2</v>
      </c>
    </row>
    <row r="227" spans="1:15" x14ac:dyDescent="0.25">
      <c r="A227">
        <v>224</v>
      </c>
      <c r="B227" s="3">
        <f>NoMTC!K225</f>
        <v>125026.69329164999</v>
      </c>
      <c r="C227" s="2">
        <f>NoMTC!I225</f>
        <v>7.12458457037242</v>
      </c>
      <c r="D227" s="3">
        <f>MTC!K225</f>
        <v>128799.117952274</v>
      </c>
      <c r="E227" s="2">
        <f>MTC!I225</f>
        <v>7.3236323180896497</v>
      </c>
      <c r="F227" s="2">
        <f t="shared" si="9"/>
        <v>3772.4246606240049</v>
      </c>
      <c r="G227" s="2">
        <f t="shared" si="10"/>
        <v>0.19904774771722966</v>
      </c>
      <c r="H227" s="3">
        <f>E227*Lambda-D227</f>
        <v>237382.49795220851</v>
      </c>
      <c r="I227" s="3">
        <f>C227*Lambda-B227</f>
        <v>231202.53522697103</v>
      </c>
      <c r="J227">
        <f t="shared" si="11"/>
        <v>1</v>
      </c>
      <c r="M227">
        <v>22300</v>
      </c>
      <c r="N227">
        <v>0.97399999999999998</v>
      </c>
      <c r="O227">
        <v>2.6000000000000023E-2</v>
      </c>
    </row>
    <row r="228" spans="1:15" x14ac:dyDescent="0.25">
      <c r="A228">
        <v>225</v>
      </c>
      <c r="B228" s="3">
        <f>NoMTC!K226</f>
        <v>131380.78454177</v>
      </c>
      <c r="C228" s="2">
        <f>NoMTC!I226</f>
        <v>7.8947093056823299</v>
      </c>
      <c r="D228" s="3">
        <f>MTC!K226</f>
        <v>139032.588895528</v>
      </c>
      <c r="E228" s="2">
        <f>MTC!I226</f>
        <v>8.33904403841996</v>
      </c>
      <c r="F228" s="2">
        <f t="shared" si="9"/>
        <v>7651.8043537579942</v>
      </c>
      <c r="G228" s="2">
        <f t="shared" si="10"/>
        <v>0.44433473273763013</v>
      </c>
      <c r="H228" s="3">
        <f>E228*Lambda-D228</f>
        <v>277919.61302547</v>
      </c>
      <c r="I228" s="3">
        <f>C228*Lambda-B228</f>
        <v>263354.68074234651</v>
      </c>
      <c r="J228">
        <f t="shared" si="11"/>
        <v>1</v>
      </c>
      <c r="M228">
        <v>22400</v>
      </c>
      <c r="N228">
        <v>0.97599999999999998</v>
      </c>
      <c r="O228">
        <v>2.4000000000000021E-2</v>
      </c>
    </row>
    <row r="229" spans="1:15" x14ac:dyDescent="0.25">
      <c r="A229">
        <v>226</v>
      </c>
      <c r="B229" s="3">
        <f>NoMTC!K227</f>
        <v>104455.230284369</v>
      </c>
      <c r="C229" s="2">
        <f>NoMTC!I227</f>
        <v>7.9520099981102996</v>
      </c>
      <c r="D229" s="3">
        <f>MTC!K227</f>
        <v>109594.001427264</v>
      </c>
      <c r="E229" s="2">
        <f>MTC!I227</f>
        <v>8.3434619496273008</v>
      </c>
      <c r="F229" s="2">
        <f t="shared" si="9"/>
        <v>5138.7711428949988</v>
      </c>
      <c r="G229" s="2">
        <f t="shared" si="10"/>
        <v>0.39145195151700118</v>
      </c>
      <c r="H229" s="3">
        <f>E229*Lambda-D229</f>
        <v>307579.09605410101</v>
      </c>
      <c r="I229" s="3">
        <f>C229*Lambda-B229</f>
        <v>293145.26962114603</v>
      </c>
      <c r="J229">
        <f t="shared" si="11"/>
        <v>1</v>
      </c>
      <c r="M229">
        <v>22500</v>
      </c>
      <c r="N229">
        <v>0.97799999999999998</v>
      </c>
      <c r="O229">
        <v>2.200000000000002E-2</v>
      </c>
    </row>
    <row r="230" spans="1:15" x14ac:dyDescent="0.25">
      <c r="A230">
        <v>227</v>
      </c>
      <c r="B230" s="3">
        <f>NoMTC!K228</f>
        <v>132934.98098748701</v>
      </c>
      <c r="C230" s="2">
        <f>NoMTC!I228</f>
        <v>7.2078382715628502</v>
      </c>
      <c r="D230" s="3">
        <f>MTC!K228</f>
        <v>138514.605550632</v>
      </c>
      <c r="E230" s="2">
        <f>MTC!I228</f>
        <v>7.4997211578338003</v>
      </c>
      <c r="F230" s="2">
        <f t="shared" si="9"/>
        <v>5579.6245631449856</v>
      </c>
      <c r="G230" s="2">
        <f t="shared" si="10"/>
        <v>0.29188288627095016</v>
      </c>
      <c r="H230" s="3">
        <f>E230*Lambda-D230</f>
        <v>236471.452341058</v>
      </c>
      <c r="I230" s="3">
        <f>C230*Lambda-B230</f>
        <v>227456.93259065552</v>
      </c>
      <c r="J230">
        <f t="shared" si="11"/>
        <v>1</v>
      </c>
      <c r="M230">
        <v>22600</v>
      </c>
      <c r="N230">
        <v>0.98</v>
      </c>
      <c r="O230">
        <v>2.0000000000000018E-2</v>
      </c>
    </row>
    <row r="231" spans="1:15" x14ac:dyDescent="0.25">
      <c r="A231">
        <v>228</v>
      </c>
      <c r="B231" s="3">
        <f>NoMTC!K229</f>
        <v>115358.24660989099</v>
      </c>
      <c r="C231" s="2">
        <f>NoMTC!I229</f>
        <v>8.0948494562986593</v>
      </c>
      <c r="D231" s="3">
        <f>MTC!K229</f>
        <v>123127.11819951401</v>
      </c>
      <c r="E231" s="2">
        <f>MTC!I229</f>
        <v>8.6140553036879695</v>
      </c>
      <c r="F231" s="2">
        <f t="shared" si="9"/>
        <v>7768.8715896230133</v>
      </c>
      <c r="G231" s="2">
        <f t="shared" si="10"/>
        <v>0.51920584738931019</v>
      </c>
      <c r="H231" s="3">
        <f>E231*Lambda-D231</f>
        <v>307575.64698488446</v>
      </c>
      <c r="I231" s="3">
        <f>C231*Lambda-B231</f>
        <v>289384.22620504198</v>
      </c>
      <c r="J231">
        <f t="shared" si="11"/>
        <v>1</v>
      </c>
      <c r="M231">
        <v>22700</v>
      </c>
      <c r="N231">
        <v>0.98199999999999998</v>
      </c>
      <c r="O231">
        <v>1.8000000000000016E-2</v>
      </c>
    </row>
    <row r="232" spans="1:15" x14ac:dyDescent="0.25">
      <c r="A232">
        <v>229</v>
      </c>
      <c r="B232" s="3">
        <f>NoMTC!K230</f>
        <v>119356.506274949</v>
      </c>
      <c r="C232" s="2">
        <f>NoMTC!I230</f>
        <v>7.7323582488747302</v>
      </c>
      <c r="D232" s="3">
        <f>MTC!K230</f>
        <v>124619.544446991</v>
      </c>
      <c r="E232" s="2">
        <f>MTC!I230</f>
        <v>8.0606986662842299</v>
      </c>
      <c r="F232" s="2">
        <f t="shared" si="9"/>
        <v>5263.0381720419973</v>
      </c>
      <c r="G232" s="2">
        <f t="shared" si="10"/>
        <v>0.32834041740949971</v>
      </c>
      <c r="H232" s="3">
        <f>E232*Lambda-D232</f>
        <v>278415.38886722049</v>
      </c>
      <c r="I232" s="3">
        <f>C232*Lambda-B232</f>
        <v>267261.40616878751</v>
      </c>
      <c r="J232">
        <f t="shared" si="11"/>
        <v>1</v>
      </c>
      <c r="M232">
        <v>22800</v>
      </c>
      <c r="N232">
        <v>0.98199999999999998</v>
      </c>
      <c r="O232">
        <v>1.8000000000000016E-2</v>
      </c>
    </row>
    <row r="233" spans="1:15" x14ac:dyDescent="0.25">
      <c r="A233">
        <v>230</v>
      </c>
      <c r="B233" s="3">
        <f>NoMTC!K231</f>
        <v>154352.49860312199</v>
      </c>
      <c r="C233" s="2">
        <f>NoMTC!I231</f>
        <v>8.6797151170668307</v>
      </c>
      <c r="D233" s="3">
        <f>MTC!K231</f>
        <v>160538.61554694601</v>
      </c>
      <c r="E233" s="2">
        <f>MTC!I231</f>
        <v>8.9865593432522406</v>
      </c>
      <c r="F233" s="2">
        <f t="shared" si="9"/>
        <v>6186.1169438240177</v>
      </c>
      <c r="G233" s="2">
        <f t="shared" si="10"/>
        <v>0.30684422618540985</v>
      </c>
      <c r="H233" s="3">
        <f>E233*Lambda-D233</f>
        <v>288789.351615666</v>
      </c>
      <c r="I233" s="3">
        <f>C233*Lambda-B233</f>
        <v>279633.25725021958</v>
      </c>
      <c r="J233">
        <f t="shared" si="11"/>
        <v>1</v>
      </c>
      <c r="M233">
        <v>22900</v>
      </c>
      <c r="N233">
        <v>0.98399999999999999</v>
      </c>
      <c r="O233">
        <v>1.6000000000000014E-2</v>
      </c>
    </row>
    <row r="234" spans="1:15" x14ac:dyDescent="0.25">
      <c r="A234">
        <v>231</v>
      </c>
      <c r="B234" s="3">
        <f>NoMTC!K232</f>
        <v>130896.954294152</v>
      </c>
      <c r="C234" s="2">
        <f>NoMTC!I232</f>
        <v>6.9412261357961498</v>
      </c>
      <c r="D234" s="3">
        <f>MTC!K232</f>
        <v>135114.596097239</v>
      </c>
      <c r="E234" s="2">
        <f>MTC!I232</f>
        <v>7.1744472328509801</v>
      </c>
      <c r="F234" s="2">
        <f t="shared" si="9"/>
        <v>4217.6418030869972</v>
      </c>
      <c r="G234" s="2">
        <f t="shared" si="10"/>
        <v>0.2332210970548303</v>
      </c>
      <c r="H234" s="3">
        <f>E234*Lambda-D234</f>
        <v>223607.76554530999</v>
      </c>
      <c r="I234" s="3">
        <f>C234*Lambda-B234</f>
        <v>216164.3524956555</v>
      </c>
      <c r="J234">
        <f t="shared" si="11"/>
        <v>1</v>
      </c>
      <c r="M234">
        <v>23000</v>
      </c>
      <c r="N234">
        <v>0.98399999999999999</v>
      </c>
      <c r="O234">
        <v>1.6000000000000014E-2</v>
      </c>
    </row>
    <row r="235" spans="1:15" x14ac:dyDescent="0.25">
      <c r="A235">
        <v>232</v>
      </c>
      <c r="B235" s="3">
        <f>NoMTC!K233</f>
        <v>119405.424201442</v>
      </c>
      <c r="C235" s="2">
        <f>NoMTC!I233</f>
        <v>7.4213220067726198</v>
      </c>
      <c r="D235" s="3">
        <f>MTC!K233</f>
        <v>124187.55174351</v>
      </c>
      <c r="E235" s="2">
        <f>MTC!I233</f>
        <v>7.7310603422687096</v>
      </c>
      <c r="F235" s="2">
        <f t="shared" si="9"/>
        <v>4782.1275420680031</v>
      </c>
      <c r="G235" s="2">
        <f t="shared" si="10"/>
        <v>0.30973833549608987</v>
      </c>
      <c r="H235" s="3">
        <f>E235*Lambda-D235</f>
        <v>262365.46536992548</v>
      </c>
      <c r="I235" s="3">
        <f>C235*Lambda-B235</f>
        <v>251660.67613718897</v>
      </c>
      <c r="J235">
        <f t="shared" si="11"/>
        <v>1</v>
      </c>
      <c r="M235">
        <v>23100</v>
      </c>
      <c r="N235">
        <v>0.99</v>
      </c>
      <c r="O235">
        <v>1.0000000000000009E-2</v>
      </c>
    </row>
    <row r="236" spans="1:15" x14ac:dyDescent="0.25">
      <c r="A236">
        <v>233</v>
      </c>
      <c r="B236" s="3">
        <f>NoMTC!K234</f>
        <v>98915.743045077499</v>
      </c>
      <c r="C236" s="2">
        <f>NoMTC!I234</f>
        <v>6.5411866257799796</v>
      </c>
      <c r="D236" s="3">
        <f>MTC!K234</f>
        <v>105322.52550813901</v>
      </c>
      <c r="E236" s="2">
        <f>MTC!I234</f>
        <v>6.9521633273910899</v>
      </c>
      <c r="F236" s="2">
        <f t="shared" si="9"/>
        <v>6406.7824630615069</v>
      </c>
      <c r="G236" s="2">
        <f t="shared" si="10"/>
        <v>0.41097670161111033</v>
      </c>
      <c r="H236" s="3">
        <f>E236*Lambda-D236</f>
        <v>242285.64086141548</v>
      </c>
      <c r="I236" s="3">
        <f>C236*Lambda-B236</f>
        <v>228143.58824392152</v>
      </c>
      <c r="J236">
        <f t="shared" si="11"/>
        <v>1</v>
      </c>
      <c r="M236">
        <v>23200</v>
      </c>
      <c r="N236">
        <v>0.99</v>
      </c>
      <c r="O236">
        <v>1.0000000000000009E-2</v>
      </c>
    </row>
    <row r="237" spans="1:15" x14ac:dyDescent="0.25">
      <c r="A237">
        <v>234</v>
      </c>
      <c r="B237" s="3">
        <f>NoMTC!K235</f>
        <v>118326.212154443</v>
      </c>
      <c r="C237" s="2">
        <f>NoMTC!I235</f>
        <v>7.2003981946280202</v>
      </c>
      <c r="D237" s="3">
        <f>MTC!K235</f>
        <v>125242.552860492</v>
      </c>
      <c r="E237" s="2">
        <f>MTC!I235</f>
        <v>7.6244956114461298</v>
      </c>
      <c r="F237" s="2">
        <f t="shared" si="9"/>
        <v>6916.340706048999</v>
      </c>
      <c r="G237" s="2">
        <f t="shared" si="10"/>
        <v>0.42409741681810953</v>
      </c>
      <c r="H237" s="3">
        <f>E237*Lambda-D237</f>
        <v>255982.22771181448</v>
      </c>
      <c r="I237" s="3">
        <f>C237*Lambda-B237</f>
        <v>241693.69757695802</v>
      </c>
      <c r="J237">
        <f t="shared" si="11"/>
        <v>1</v>
      </c>
      <c r="M237">
        <v>23300</v>
      </c>
      <c r="N237">
        <v>0.99</v>
      </c>
      <c r="O237">
        <v>1.0000000000000009E-2</v>
      </c>
    </row>
    <row r="238" spans="1:15" x14ac:dyDescent="0.25">
      <c r="A238">
        <v>235</v>
      </c>
      <c r="B238" s="3">
        <f>NoMTC!K236</f>
        <v>88116.4399831927</v>
      </c>
      <c r="C238" s="2">
        <f>NoMTC!I236</f>
        <v>8.6234126370483004</v>
      </c>
      <c r="D238" s="3">
        <f>MTC!K236</f>
        <v>91280.829868717294</v>
      </c>
      <c r="E238" s="2">
        <f>MTC!I236</f>
        <v>8.9531786960286599</v>
      </c>
      <c r="F238" s="2">
        <f t="shared" si="9"/>
        <v>3164.3898855245934</v>
      </c>
      <c r="G238" s="2">
        <f t="shared" si="10"/>
        <v>0.32976605898035949</v>
      </c>
      <c r="H238" s="3">
        <f>E238*Lambda-D238</f>
        <v>356378.10493271571</v>
      </c>
      <c r="I238" s="3">
        <f>C238*Lambda-B238</f>
        <v>343054.19186922233</v>
      </c>
      <c r="J238">
        <f t="shared" si="11"/>
        <v>1</v>
      </c>
      <c r="M238">
        <v>23400</v>
      </c>
      <c r="N238">
        <v>0.99</v>
      </c>
      <c r="O238">
        <v>1.0000000000000009E-2</v>
      </c>
    </row>
    <row r="239" spans="1:15" x14ac:dyDescent="0.25">
      <c r="A239">
        <v>236</v>
      </c>
      <c r="B239" s="3">
        <f>NoMTC!K237</f>
        <v>111983.524320988</v>
      </c>
      <c r="C239" s="2">
        <f>NoMTC!I237</f>
        <v>6.6325144191543401</v>
      </c>
      <c r="D239" s="3">
        <f>MTC!K237</f>
        <v>115445.542960266</v>
      </c>
      <c r="E239" s="2">
        <f>MTC!I237</f>
        <v>6.8384910041370999</v>
      </c>
      <c r="F239" s="2">
        <f t="shared" si="9"/>
        <v>3462.0186392780015</v>
      </c>
      <c r="G239" s="2">
        <f t="shared" si="10"/>
        <v>0.20597658498275973</v>
      </c>
      <c r="H239" s="3">
        <f>E239*Lambda-D239</f>
        <v>226479.007246589</v>
      </c>
      <c r="I239" s="3">
        <f>C239*Lambda-B239</f>
        <v>219642.196636729</v>
      </c>
      <c r="J239">
        <f t="shared" si="11"/>
        <v>1</v>
      </c>
      <c r="M239">
        <v>23500</v>
      </c>
      <c r="N239">
        <v>0.99</v>
      </c>
      <c r="O239">
        <v>1.0000000000000009E-2</v>
      </c>
    </row>
    <row r="240" spans="1:15" x14ac:dyDescent="0.25">
      <c r="A240">
        <v>237</v>
      </c>
      <c r="B240" s="3">
        <f>NoMTC!K238</f>
        <v>155643.55763193601</v>
      </c>
      <c r="C240" s="2">
        <f>NoMTC!I238</f>
        <v>8.1179608219868893</v>
      </c>
      <c r="D240" s="3">
        <f>MTC!K238</f>
        <v>165531.73640242699</v>
      </c>
      <c r="E240" s="2">
        <f>MTC!I238</f>
        <v>8.5762412018031</v>
      </c>
      <c r="F240" s="2">
        <f t="shared" si="9"/>
        <v>9888.1787704909802</v>
      </c>
      <c r="G240" s="2">
        <f t="shared" si="10"/>
        <v>0.45828037981621073</v>
      </c>
      <c r="H240" s="3">
        <f>E240*Lambda-D240</f>
        <v>263280.32368772803</v>
      </c>
      <c r="I240" s="3">
        <f>C240*Lambda-B240</f>
        <v>250254.48346740843</v>
      </c>
      <c r="J240">
        <f t="shared" si="11"/>
        <v>1</v>
      </c>
      <c r="M240">
        <v>23600</v>
      </c>
      <c r="N240">
        <v>0.99</v>
      </c>
      <c r="O240">
        <v>1.0000000000000009E-2</v>
      </c>
    </row>
    <row r="241" spans="1:15" x14ac:dyDescent="0.25">
      <c r="A241">
        <v>238</v>
      </c>
      <c r="B241" s="3">
        <f>NoMTC!K239</f>
        <v>99756.795459293106</v>
      </c>
      <c r="C241" s="2">
        <f>NoMTC!I239</f>
        <v>7.6084908877536099</v>
      </c>
      <c r="D241" s="3">
        <f>MTC!K239</f>
        <v>104305.37900687</v>
      </c>
      <c r="E241" s="2">
        <f>MTC!I239</f>
        <v>7.9602600197936697</v>
      </c>
      <c r="F241" s="2">
        <f t="shared" si="9"/>
        <v>4548.5835475768981</v>
      </c>
      <c r="G241" s="2">
        <f t="shared" si="10"/>
        <v>0.35176913204005977</v>
      </c>
      <c r="H241" s="3">
        <f>E241*Lambda-D241</f>
        <v>293707.62198281346</v>
      </c>
      <c r="I241" s="3">
        <f>C241*Lambda-B241</f>
        <v>280667.74892838736</v>
      </c>
      <c r="J241">
        <f t="shared" si="11"/>
        <v>1</v>
      </c>
      <c r="M241">
        <v>23700</v>
      </c>
      <c r="N241">
        <v>0.99199999999999999</v>
      </c>
      <c r="O241">
        <v>8.0000000000000071E-3</v>
      </c>
    </row>
    <row r="242" spans="1:15" x14ac:dyDescent="0.25">
      <c r="A242">
        <v>239</v>
      </c>
      <c r="B242" s="3">
        <f>NoMTC!K240</f>
        <v>128615.327261835</v>
      </c>
      <c r="C242" s="2">
        <f>NoMTC!I240</f>
        <v>7.9258060562580397</v>
      </c>
      <c r="D242" s="3">
        <f>MTC!K240</f>
        <v>129365.643618851</v>
      </c>
      <c r="E242" s="2">
        <f>MTC!I240</f>
        <v>7.9966504846728403</v>
      </c>
      <c r="F242" s="2">
        <f t="shared" si="9"/>
        <v>750.31635701599589</v>
      </c>
      <c r="G242" s="2">
        <f t="shared" si="10"/>
        <v>7.0844428414800653E-2</v>
      </c>
      <c r="H242" s="3">
        <f>E242*Lambda-D242</f>
        <v>270466.88061479107</v>
      </c>
      <c r="I242" s="3">
        <f>C242*Lambda-B242</f>
        <v>267674.97555106698</v>
      </c>
      <c r="J242">
        <f t="shared" si="11"/>
        <v>1</v>
      </c>
      <c r="M242">
        <v>23800</v>
      </c>
      <c r="N242">
        <v>0.99199999999999999</v>
      </c>
      <c r="O242">
        <v>8.0000000000000071E-3</v>
      </c>
    </row>
    <row r="243" spans="1:15" x14ac:dyDescent="0.25">
      <c r="A243">
        <v>240</v>
      </c>
      <c r="B243" s="3">
        <f>NoMTC!K241</f>
        <v>146299.80685899299</v>
      </c>
      <c r="C243" s="2">
        <f>NoMTC!I241</f>
        <v>8.0097153313739096</v>
      </c>
      <c r="D243" s="3">
        <f>MTC!K241</f>
        <v>149024.612268942</v>
      </c>
      <c r="E243" s="2">
        <f>MTC!I241</f>
        <v>8.1493680075244193</v>
      </c>
      <c r="F243" s="2">
        <f t="shared" si="9"/>
        <v>2724.8054099490109</v>
      </c>
      <c r="G243" s="2">
        <f t="shared" si="10"/>
        <v>0.13965267615050969</v>
      </c>
      <c r="H243" s="3">
        <f>E243*Lambda-D243</f>
        <v>258443.78810727899</v>
      </c>
      <c r="I243" s="3">
        <f>C243*Lambda-B243</f>
        <v>254185.9597097025</v>
      </c>
      <c r="J243">
        <f t="shared" si="11"/>
        <v>1</v>
      </c>
      <c r="M243">
        <v>23900</v>
      </c>
      <c r="N243">
        <v>0.99399999999999999</v>
      </c>
      <c r="O243">
        <v>6.0000000000000053E-3</v>
      </c>
    </row>
    <row r="244" spans="1:15" x14ac:dyDescent="0.25">
      <c r="A244">
        <v>241</v>
      </c>
      <c r="B244" s="3">
        <f>NoMTC!K242</f>
        <v>91338.149718350498</v>
      </c>
      <c r="C244" s="2">
        <f>NoMTC!I242</f>
        <v>7.8349680379495696</v>
      </c>
      <c r="D244" s="3">
        <f>MTC!K242</f>
        <v>95334.431741339198</v>
      </c>
      <c r="E244" s="2">
        <f>MTC!I242</f>
        <v>8.1735194366579904</v>
      </c>
      <c r="F244" s="2">
        <f t="shared" si="9"/>
        <v>3996.2820229887002</v>
      </c>
      <c r="G244" s="2">
        <f t="shared" si="10"/>
        <v>0.33855139870842077</v>
      </c>
      <c r="H244" s="3">
        <f>E244*Lambda-D244</f>
        <v>313341.54009156028</v>
      </c>
      <c r="I244" s="3">
        <f>C244*Lambda-B244</f>
        <v>300410.252179128</v>
      </c>
      <c r="J244">
        <f t="shared" si="11"/>
        <v>1</v>
      </c>
      <c r="M244">
        <v>24000</v>
      </c>
      <c r="N244">
        <v>0.99399999999999999</v>
      </c>
      <c r="O244">
        <v>6.0000000000000053E-3</v>
      </c>
    </row>
    <row r="245" spans="1:15" x14ac:dyDescent="0.25">
      <c r="A245">
        <v>242</v>
      </c>
      <c r="B245" s="3">
        <f>NoMTC!K243</f>
        <v>95978.474100593899</v>
      </c>
      <c r="C245" s="2">
        <f>NoMTC!I243</f>
        <v>8.3228584709708304</v>
      </c>
      <c r="D245" s="3">
        <f>MTC!K243</f>
        <v>99224.747877785805</v>
      </c>
      <c r="E245" s="2">
        <f>MTC!I243</f>
        <v>8.5924854309532694</v>
      </c>
      <c r="F245" s="2">
        <f t="shared" si="9"/>
        <v>3246.2737771919055</v>
      </c>
      <c r="G245" s="2">
        <f t="shared" si="10"/>
        <v>0.26962695998243902</v>
      </c>
      <c r="H245" s="3">
        <f>E245*Lambda-D245</f>
        <v>330399.52366987767</v>
      </c>
      <c r="I245" s="3">
        <f>C245*Lambda-B245</f>
        <v>320164.44944794761</v>
      </c>
      <c r="J245">
        <f t="shared" si="11"/>
        <v>1</v>
      </c>
      <c r="M245">
        <v>24100</v>
      </c>
      <c r="N245">
        <v>0.99399999999999999</v>
      </c>
      <c r="O245">
        <v>6.0000000000000053E-3</v>
      </c>
    </row>
    <row r="246" spans="1:15" x14ac:dyDescent="0.25">
      <c r="A246">
        <v>243</v>
      </c>
      <c r="B246" s="3">
        <f>NoMTC!K244</f>
        <v>95776.124569497406</v>
      </c>
      <c r="C246" s="2">
        <f>NoMTC!I244</f>
        <v>7.1101501260378503</v>
      </c>
      <c r="D246" s="3">
        <f>MTC!K244</f>
        <v>101931.609643945</v>
      </c>
      <c r="E246" s="2">
        <f>MTC!I244</f>
        <v>7.5597425215638401</v>
      </c>
      <c r="F246" s="2">
        <f t="shared" si="9"/>
        <v>6155.4850744475989</v>
      </c>
      <c r="G246" s="2">
        <f t="shared" si="10"/>
        <v>0.44959239552598973</v>
      </c>
      <c r="H246" s="3">
        <f>E246*Lambda-D246</f>
        <v>276055.51643424702</v>
      </c>
      <c r="I246" s="3">
        <f>C246*Lambda-B246</f>
        <v>259731.38173239509</v>
      </c>
      <c r="J246">
        <f t="shared" si="11"/>
        <v>1</v>
      </c>
      <c r="M246">
        <v>24200</v>
      </c>
      <c r="N246">
        <v>0.99399999999999999</v>
      </c>
      <c r="O246">
        <v>6.0000000000000053E-3</v>
      </c>
    </row>
    <row r="247" spans="1:15" x14ac:dyDescent="0.25">
      <c r="A247">
        <v>244</v>
      </c>
      <c r="B247" s="3">
        <f>NoMTC!K245</f>
        <v>103677.910894922</v>
      </c>
      <c r="C247" s="2">
        <f>NoMTC!I245</f>
        <v>8.0720650225936801</v>
      </c>
      <c r="D247" s="3">
        <f>MTC!K245</f>
        <v>107633.80309328101</v>
      </c>
      <c r="E247" s="2">
        <f>MTC!I245</f>
        <v>8.3861092875780905</v>
      </c>
      <c r="F247" s="2">
        <f t="shared" si="9"/>
        <v>3955.8921983590117</v>
      </c>
      <c r="G247" s="2">
        <f t="shared" si="10"/>
        <v>0.3140442649844104</v>
      </c>
      <c r="H247" s="3">
        <f>E247*Lambda-D247</f>
        <v>311671.66128562356</v>
      </c>
      <c r="I247" s="3">
        <f>C247*Lambda-B247</f>
        <v>299925.340234762</v>
      </c>
      <c r="J247">
        <f t="shared" si="11"/>
        <v>1</v>
      </c>
      <c r="M247">
        <v>24300</v>
      </c>
      <c r="N247">
        <v>0.99399999999999999</v>
      </c>
      <c r="O247">
        <v>6.0000000000000053E-3</v>
      </c>
    </row>
    <row r="248" spans="1:15" x14ac:dyDescent="0.25">
      <c r="A248">
        <v>245</v>
      </c>
      <c r="B248" s="3">
        <f>NoMTC!K246</f>
        <v>113535.98879753699</v>
      </c>
      <c r="C248" s="2">
        <f>NoMTC!I246</f>
        <v>7.1171931530503203</v>
      </c>
      <c r="D248" s="3">
        <f>MTC!K246</f>
        <v>117091.832525188</v>
      </c>
      <c r="E248" s="2">
        <f>MTC!I246</f>
        <v>7.3424137316172402</v>
      </c>
      <c r="F248" s="2">
        <f t="shared" si="9"/>
        <v>3555.8437276510085</v>
      </c>
      <c r="G248" s="2">
        <f t="shared" si="10"/>
        <v>0.2252205785669199</v>
      </c>
      <c r="H248" s="3">
        <f>E248*Lambda-D248</f>
        <v>250028.85405567405</v>
      </c>
      <c r="I248" s="3">
        <f>C248*Lambda-B248</f>
        <v>242323.66885497904</v>
      </c>
      <c r="J248">
        <f t="shared" si="11"/>
        <v>1</v>
      </c>
      <c r="M248">
        <v>24400</v>
      </c>
      <c r="N248">
        <v>0.99399999999999999</v>
      </c>
      <c r="O248">
        <v>6.0000000000000053E-3</v>
      </c>
    </row>
    <row r="249" spans="1:15" x14ac:dyDescent="0.25">
      <c r="A249">
        <v>246</v>
      </c>
      <c r="B249" s="3">
        <f>NoMTC!K247</f>
        <v>121533.93809106501</v>
      </c>
      <c r="C249" s="2">
        <f>NoMTC!I247</f>
        <v>7.42082723557479</v>
      </c>
      <c r="D249" s="3">
        <f>MTC!K247</f>
        <v>129559.70573815099</v>
      </c>
      <c r="E249" s="2">
        <f>MTC!I247</f>
        <v>7.88063711728865</v>
      </c>
      <c r="F249" s="2">
        <f t="shared" si="9"/>
        <v>8025.7676470859878</v>
      </c>
      <c r="G249" s="2">
        <f t="shared" si="10"/>
        <v>0.45980988171386006</v>
      </c>
      <c r="H249" s="3">
        <f>E249*Lambda-D249</f>
        <v>264472.15012628154</v>
      </c>
      <c r="I249" s="3">
        <f>C249*Lambda-B249</f>
        <v>249507.42368767448</v>
      </c>
      <c r="J249">
        <f t="shared" si="11"/>
        <v>1</v>
      </c>
      <c r="M249">
        <v>24500</v>
      </c>
      <c r="N249">
        <v>0.99399999999999999</v>
      </c>
      <c r="O249">
        <v>6.0000000000000053E-3</v>
      </c>
    </row>
    <row r="250" spans="1:15" x14ac:dyDescent="0.25">
      <c r="A250">
        <v>247</v>
      </c>
      <c r="B250" s="3">
        <f>NoMTC!K248</f>
        <v>84126.007851749993</v>
      </c>
      <c r="C250" s="2">
        <f>NoMTC!I248</f>
        <v>7.1909177470088101</v>
      </c>
      <c r="D250" s="3">
        <f>MTC!K248</f>
        <v>89507.162546616906</v>
      </c>
      <c r="E250" s="2">
        <f>MTC!I248</f>
        <v>7.6813564306244304</v>
      </c>
      <c r="F250" s="2">
        <f t="shared" si="9"/>
        <v>5381.1546948669129</v>
      </c>
      <c r="G250" s="2">
        <f t="shared" si="10"/>
        <v>0.49043868361562026</v>
      </c>
      <c r="H250" s="3">
        <f>E250*Lambda-D250</f>
        <v>294560.65898460458</v>
      </c>
      <c r="I250" s="3">
        <f>C250*Lambda-B250</f>
        <v>275419.87949869048</v>
      </c>
      <c r="J250">
        <f t="shared" si="11"/>
        <v>1</v>
      </c>
      <c r="M250">
        <v>24600</v>
      </c>
      <c r="N250">
        <v>0.99399999999999999</v>
      </c>
      <c r="O250">
        <v>6.0000000000000053E-3</v>
      </c>
    </row>
    <row r="251" spans="1:15" x14ac:dyDescent="0.25">
      <c r="A251">
        <v>248</v>
      </c>
      <c r="B251" s="3">
        <f>NoMTC!K249</f>
        <v>123114.300713783</v>
      </c>
      <c r="C251" s="2">
        <f>NoMTC!I249</f>
        <v>8.7475019651583104</v>
      </c>
      <c r="D251" s="3">
        <f>MTC!K249</f>
        <v>129636.990680624</v>
      </c>
      <c r="E251" s="2">
        <f>MTC!I249</f>
        <v>9.1654046321642397</v>
      </c>
      <c r="F251" s="2">
        <f t="shared" si="9"/>
        <v>6522.6899668410042</v>
      </c>
      <c r="G251" s="2">
        <f t="shared" si="10"/>
        <v>0.41790266700592937</v>
      </c>
      <c r="H251" s="3">
        <f>E251*Lambda-D251</f>
        <v>328633.24092758796</v>
      </c>
      <c r="I251" s="3">
        <f>C251*Lambda-B251</f>
        <v>314260.79754413251</v>
      </c>
      <c r="J251">
        <f t="shared" si="11"/>
        <v>1</v>
      </c>
      <c r="M251">
        <v>24700</v>
      </c>
      <c r="N251">
        <v>0.99399999999999999</v>
      </c>
      <c r="O251">
        <v>6.0000000000000053E-3</v>
      </c>
    </row>
    <row r="252" spans="1:15" x14ac:dyDescent="0.25">
      <c r="A252">
        <v>249</v>
      </c>
      <c r="B252" s="3">
        <f>NoMTC!K250</f>
        <v>90069.223870702001</v>
      </c>
      <c r="C252" s="2">
        <f>NoMTC!I250</f>
        <v>7.4108768529898503</v>
      </c>
      <c r="D252" s="3">
        <f>MTC!K250</f>
        <v>94523.011081305405</v>
      </c>
      <c r="E252" s="2">
        <f>MTC!I250</f>
        <v>7.8243178684686701</v>
      </c>
      <c r="F252" s="2">
        <f t="shared" si="9"/>
        <v>4453.7872106034047</v>
      </c>
      <c r="G252" s="2">
        <f t="shared" si="10"/>
        <v>0.41344101547881973</v>
      </c>
      <c r="H252" s="3">
        <f>E252*Lambda-D252</f>
        <v>296692.88234212808</v>
      </c>
      <c r="I252" s="3">
        <f>C252*Lambda-B252</f>
        <v>280474.61877879046</v>
      </c>
      <c r="J252">
        <f t="shared" si="11"/>
        <v>1</v>
      </c>
      <c r="M252">
        <v>24800</v>
      </c>
      <c r="N252">
        <v>0.99399999999999999</v>
      </c>
      <c r="O252">
        <v>6.0000000000000053E-3</v>
      </c>
    </row>
    <row r="253" spans="1:15" x14ac:dyDescent="0.25">
      <c r="A253">
        <v>250</v>
      </c>
      <c r="B253" s="3">
        <f>NoMTC!K251</f>
        <v>111298.09003294499</v>
      </c>
      <c r="C253" s="2">
        <f>NoMTC!I251</f>
        <v>8.0798283993856508</v>
      </c>
      <c r="D253" s="3">
        <f>MTC!K251</f>
        <v>118268.963512291</v>
      </c>
      <c r="E253" s="2">
        <f>MTC!I251</f>
        <v>8.5877361740244993</v>
      </c>
      <c r="F253" s="2">
        <f t="shared" si="9"/>
        <v>6970.8734793460026</v>
      </c>
      <c r="G253" s="2">
        <f t="shared" si="10"/>
        <v>0.50790777463884851</v>
      </c>
      <c r="H253" s="3">
        <f>E253*Lambda-D253</f>
        <v>311117.84518893401</v>
      </c>
      <c r="I253" s="3">
        <f>C253*Lambda-B253</f>
        <v>292693.32993633754</v>
      </c>
      <c r="J253">
        <f t="shared" si="11"/>
        <v>1</v>
      </c>
      <c r="M253">
        <v>24900</v>
      </c>
      <c r="N253">
        <v>0.99399999999999999</v>
      </c>
      <c r="O253">
        <v>6.0000000000000053E-3</v>
      </c>
    </row>
    <row r="254" spans="1:15" x14ac:dyDescent="0.25">
      <c r="A254">
        <v>251</v>
      </c>
      <c r="B254" s="3">
        <f>NoMTC!K252</f>
        <v>103980.155503063</v>
      </c>
      <c r="C254" s="2">
        <f>NoMTC!I252</f>
        <v>7.44520393958285</v>
      </c>
      <c r="D254" s="3">
        <f>MTC!K252</f>
        <v>108367.981608945</v>
      </c>
      <c r="E254" s="2">
        <f>MTC!I252</f>
        <v>7.7593911637114701</v>
      </c>
      <c r="F254" s="2">
        <f t="shared" si="9"/>
        <v>4387.8261058820062</v>
      </c>
      <c r="G254" s="2">
        <f t="shared" si="10"/>
        <v>0.3141872241286201</v>
      </c>
      <c r="H254" s="3">
        <f>E254*Lambda-D254</f>
        <v>279601.57657662849</v>
      </c>
      <c r="I254" s="3">
        <f>C254*Lambda-B254</f>
        <v>268280.0414760795</v>
      </c>
      <c r="J254">
        <f t="shared" si="11"/>
        <v>1</v>
      </c>
      <c r="M254">
        <v>25000</v>
      </c>
      <c r="N254">
        <v>0.99399999999999999</v>
      </c>
      <c r="O254">
        <v>6.0000000000000053E-3</v>
      </c>
    </row>
    <row r="255" spans="1:15" x14ac:dyDescent="0.25">
      <c r="A255">
        <v>252</v>
      </c>
      <c r="B255" s="3">
        <f>NoMTC!K253</f>
        <v>154039.619703587</v>
      </c>
      <c r="C255" s="2">
        <f>NoMTC!I253</f>
        <v>6.9477779379917903</v>
      </c>
      <c r="D255" s="3">
        <f>MTC!K253</f>
        <v>162961.04356547599</v>
      </c>
      <c r="E255" s="2">
        <f>MTC!I253</f>
        <v>7.32238064997295</v>
      </c>
      <c r="F255" s="2">
        <f t="shared" si="9"/>
        <v>8921.423861888994</v>
      </c>
      <c r="G255" s="2">
        <f t="shared" si="10"/>
        <v>0.37460271198115969</v>
      </c>
      <c r="H255" s="3">
        <f>E255*Lambda-D255</f>
        <v>203157.98893317152</v>
      </c>
      <c r="I255" s="3">
        <f>C255*Lambda-B255</f>
        <v>193349.27719600251</v>
      </c>
      <c r="J255">
        <f t="shared" si="11"/>
        <v>1</v>
      </c>
      <c r="M255">
        <v>25100</v>
      </c>
      <c r="N255">
        <v>0.99199999999999999</v>
      </c>
      <c r="O255">
        <v>8.0000000000000071E-3</v>
      </c>
    </row>
    <row r="256" spans="1:15" x14ac:dyDescent="0.25">
      <c r="A256">
        <v>253</v>
      </c>
      <c r="B256" s="3">
        <f>NoMTC!K254</f>
        <v>98689.536692877198</v>
      </c>
      <c r="C256" s="2">
        <f>NoMTC!I254</f>
        <v>7.2704948078126002</v>
      </c>
      <c r="D256" s="3">
        <f>MTC!K254</f>
        <v>101983.33655097699</v>
      </c>
      <c r="E256" s="2">
        <f>MTC!I254</f>
        <v>7.52541973753004</v>
      </c>
      <c r="F256" s="2">
        <f t="shared" si="9"/>
        <v>3293.7998580997955</v>
      </c>
      <c r="G256" s="2">
        <f t="shared" si="10"/>
        <v>0.25492492971743985</v>
      </c>
      <c r="H256" s="3">
        <f>E256*Lambda-D256</f>
        <v>274287.65032552497</v>
      </c>
      <c r="I256" s="3">
        <f>C256*Lambda-B256</f>
        <v>264835.20369775285</v>
      </c>
      <c r="J256">
        <f t="shared" si="11"/>
        <v>1</v>
      </c>
      <c r="M256">
        <v>25200</v>
      </c>
      <c r="N256">
        <v>0.99199999999999999</v>
      </c>
      <c r="O256">
        <v>8.0000000000000071E-3</v>
      </c>
    </row>
    <row r="257" spans="1:15" x14ac:dyDescent="0.25">
      <c r="A257">
        <v>254</v>
      </c>
      <c r="B257" s="3">
        <f>NoMTC!K255</f>
        <v>110475.431666912</v>
      </c>
      <c r="C257" s="2">
        <f>NoMTC!I255</f>
        <v>7.9454101364088796</v>
      </c>
      <c r="D257" s="3">
        <f>MTC!K255</f>
        <v>115717.08810204599</v>
      </c>
      <c r="E257" s="2">
        <f>MTC!I255</f>
        <v>8.3299871788504696</v>
      </c>
      <c r="F257" s="2">
        <f t="shared" si="9"/>
        <v>5241.6564351339912</v>
      </c>
      <c r="G257" s="2">
        <f t="shared" si="10"/>
        <v>0.38457704244158997</v>
      </c>
      <c r="H257" s="3">
        <f>E257*Lambda-D257</f>
        <v>300782.27084047749</v>
      </c>
      <c r="I257" s="3">
        <f>C257*Lambda-B257</f>
        <v>286795.07515353197</v>
      </c>
      <c r="J257">
        <f t="shared" si="11"/>
        <v>1</v>
      </c>
      <c r="M257">
        <v>25300</v>
      </c>
      <c r="N257">
        <v>0.99199999999999999</v>
      </c>
      <c r="O257">
        <v>8.0000000000000071E-3</v>
      </c>
    </row>
    <row r="258" spans="1:15" x14ac:dyDescent="0.25">
      <c r="A258">
        <v>255</v>
      </c>
      <c r="B258" s="3">
        <f>NoMTC!K256</f>
        <v>127108.95458536599</v>
      </c>
      <c r="C258" s="2">
        <f>NoMTC!I256</f>
        <v>6.5615522729537599</v>
      </c>
      <c r="D258" s="3">
        <f>MTC!K256</f>
        <v>131466.76064867299</v>
      </c>
      <c r="E258" s="2">
        <f>MTC!I256</f>
        <v>6.7773206745351899</v>
      </c>
      <c r="F258" s="2">
        <f t="shared" si="9"/>
        <v>4357.8060633069981</v>
      </c>
      <c r="G258" s="2">
        <f t="shared" si="10"/>
        <v>0.21576840158143007</v>
      </c>
      <c r="H258" s="3">
        <f>E258*Lambda-D258</f>
        <v>207399.27307808649</v>
      </c>
      <c r="I258" s="3">
        <f>C258*Lambda-B258</f>
        <v>200968.659062322</v>
      </c>
      <c r="J258">
        <f t="shared" si="11"/>
        <v>1</v>
      </c>
      <c r="M258">
        <v>25400</v>
      </c>
      <c r="N258">
        <v>0.99399999999999999</v>
      </c>
      <c r="O258">
        <v>6.0000000000000053E-3</v>
      </c>
    </row>
    <row r="259" spans="1:15" x14ac:dyDescent="0.25">
      <c r="A259">
        <v>256</v>
      </c>
      <c r="B259" s="3">
        <f>NoMTC!K257</f>
        <v>117117.400283745</v>
      </c>
      <c r="C259" s="2">
        <f>NoMTC!I257</f>
        <v>7.1170990207697598</v>
      </c>
      <c r="D259" s="3">
        <f>MTC!K257</f>
        <v>120397.316285547</v>
      </c>
      <c r="E259" s="2">
        <f>MTC!I257</f>
        <v>7.3111585826451799</v>
      </c>
      <c r="F259" s="2">
        <f t="shared" si="9"/>
        <v>3279.9160018020048</v>
      </c>
      <c r="G259" s="2">
        <f t="shared" si="10"/>
        <v>0.19405956187542017</v>
      </c>
      <c r="H259" s="3">
        <f>E259*Lambda-D259</f>
        <v>245160.612846712</v>
      </c>
      <c r="I259" s="3">
        <f>C259*Lambda-B259</f>
        <v>238737.55075474302</v>
      </c>
      <c r="J259">
        <f t="shared" si="11"/>
        <v>1</v>
      </c>
      <c r="M259">
        <v>25500</v>
      </c>
      <c r="N259">
        <v>0.996</v>
      </c>
      <c r="O259">
        <v>4.0000000000000036E-3</v>
      </c>
    </row>
    <row r="260" spans="1:15" x14ac:dyDescent="0.25">
      <c r="A260">
        <v>257</v>
      </c>
      <c r="B260" s="3">
        <f>NoMTC!K258</f>
        <v>98333.837401702694</v>
      </c>
      <c r="C260" s="2">
        <f>NoMTC!I258</f>
        <v>6.3529957729448299</v>
      </c>
      <c r="D260" s="3">
        <f>MTC!K258</f>
        <v>101826.99662638</v>
      </c>
      <c r="E260" s="2">
        <f>MTC!I258</f>
        <v>6.6017297599312599</v>
      </c>
      <c r="F260" s="2">
        <f t="shared" si="9"/>
        <v>3493.1592246773071</v>
      </c>
      <c r="G260" s="2">
        <f t="shared" si="10"/>
        <v>0.24873398698643001</v>
      </c>
      <c r="H260" s="3">
        <f>E260*Lambda-D260</f>
        <v>228259.49137018295</v>
      </c>
      <c r="I260" s="3">
        <f>C260*Lambda-B260</f>
        <v>219315.95124553877</v>
      </c>
      <c r="J260">
        <f t="shared" si="11"/>
        <v>1</v>
      </c>
      <c r="M260">
        <v>25600</v>
      </c>
      <c r="N260">
        <v>0.996</v>
      </c>
      <c r="O260">
        <v>4.0000000000000036E-3</v>
      </c>
    </row>
    <row r="261" spans="1:15" x14ac:dyDescent="0.25">
      <c r="A261">
        <v>258</v>
      </c>
      <c r="B261" s="3">
        <f>NoMTC!K259</f>
        <v>144615.774182705</v>
      </c>
      <c r="C261" s="2">
        <f>NoMTC!I259</f>
        <v>8.0599852619033392</v>
      </c>
      <c r="D261" s="3">
        <f>MTC!K259</f>
        <v>150478.12178347801</v>
      </c>
      <c r="E261" s="2">
        <f>MTC!I259</f>
        <v>8.3435305817745</v>
      </c>
      <c r="F261" s="2">
        <f t="shared" ref="F261:F324" si="12">D261-B261</f>
        <v>5862.347600773006</v>
      </c>
      <c r="G261" s="2">
        <f t="shared" ref="G261:G324" si="13">E261-C261</f>
        <v>0.28354531987116083</v>
      </c>
      <c r="H261" s="3">
        <f>E261*Lambda-D261</f>
        <v>266698.40730524698</v>
      </c>
      <c r="I261" s="3">
        <f>C261*Lambda-B261</f>
        <v>258383.48891246194</v>
      </c>
      <c r="J261">
        <f t="shared" ref="J261:J324" si="14">IF(H261=MAX(H261:I261),1,0)</f>
        <v>1</v>
      </c>
      <c r="M261">
        <v>25700</v>
      </c>
      <c r="N261">
        <v>0.996</v>
      </c>
      <c r="O261">
        <v>4.0000000000000036E-3</v>
      </c>
    </row>
    <row r="262" spans="1:15" x14ac:dyDescent="0.25">
      <c r="A262">
        <v>259</v>
      </c>
      <c r="B262" s="3">
        <f>NoMTC!K260</f>
        <v>124656.33504135501</v>
      </c>
      <c r="C262" s="2">
        <f>NoMTC!I260</f>
        <v>8.0504111523078503</v>
      </c>
      <c r="D262" s="3">
        <f>MTC!K260</f>
        <v>126359.971985638</v>
      </c>
      <c r="E262" s="2">
        <f>MTC!I260</f>
        <v>8.15144051268393</v>
      </c>
      <c r="F262" s="2">
        <f t="shared" si="12"/>
        <v>1703.6369442829891</v>
      </c>
      <c r="G262" s="2">
        <f t="shared" si="13"/>
        <v>0.10102936037607968</v>
      </c>
      <c r="H262" s="3">
        <f>E262*Lambda-D262</f>
        <v>281212.05364855856</v>
      </c>
      <c r="I262" s="3">
        <f>C262*Lambda-B262</f>
        <v>277864.2225740375</v>
      </c>
      <c r="J262">
        <f t="shared" si="14"/>
        <v>1</v>
      </c>
      <c r="M262">
        <v>25800</v>
      </c>
      <c r="N262">
        <v>0.996</v>
      </c>
      <c r="O262">
        <v>4.0000000000000036E-3</v>
      </c>
    </row>
    <row r="263" spans="1:15" x14ac:dyDescent="0.25">
      <c r="A263">
        <v>260</v>
      </c>
      <c r="B263" s="3">
        <f>NoMTC!K261</f>
        <v>102903.078657526</v>
      </c>
      <c r="C263" s="2">
        <f>NoMTC!I261</f>
        <v>6.8335240398315404</v>
      </c>
      <c r="D263" s="3">
        <f>MTC!K261</f>
        <v>112698.383084527</v>
      </c>
      <c r="E263" s="2">
        <f>MTC!I261</f>
        <v>7.4776900967573896</v>
      </c>
      <c r="F263" s="2">
        <f t="shared" si="12"/>
        <v>9795.3044270009996</v>
      </c>
      <c r="G263" s="2">
        <f t="shared" si="13"/>
        <v>0.64416605692584916</v>
      </c>
      <c r="H263" s="3">
        <f>E263*Lambda-D263</f>
        <v>261186.12175334251</v>
      </c>
      <c r="I263" s="3">
        <f>C263*Lambda-B263</f>
        <v>238773.12333405105</v>
      </c>
      <c r="J263">
        <f t="shared" si="14"/>
        <v>1</v>
      </c>
      <c r="M263">
        <v>25900</v>
      </c>
      <c r="N263">
        <v>0.996</v>
      </c>
      <c r="O263">
        <v>4.0000000000000036E-3</v>
      </c>
    </row>
    <row r="264" spans="1:15" x14ac:dyDescent="0.25">
      <c r="A264">
        <v>261</v>
      </c>
      <c r="B264" s="3">
        <f>NoMTC!K262</f>
        <v>107907.094870806</v>
      </c>
      <c r="C264" s="2">
        <f>NoMTC!I262</f>
        <v>7.8816405040518802</v>
      </c>
      <c r="D264" s="3">
        <f>MTC!K262</f>
        <v>116798.231031023</v>
      </c>
      <c r="E264" s="2">
        <f>MTC!I262</f>
        <v>8.5339215771165602</v>
      </c>
      <c r="F264" s="2">
        <f t="shared" si="12"/>
        <v>8891.1361602169927</v>
      </c>
      <c r="G264" s="2">
        <f t="shared" si="13"/>
        <v>0.65228107306467997</v>
      </c>
      <c r="H264" s="3">
        <f>E264*Lambda-D264</f>
        <v>309897.84782480507</v>
      </c>
      <c r="I264" s="3">
        <f>C264*Lambda-B264</f>
        <v>286174.93033178803</v>
      </c>
      <c r="J264">
        <f t="shared" si="14"/>
        <v>1</v>
      </c>
      <c r="M264">
        <v>26000</v>
      </c>
      <c r="N264">
        <v>0.996</v>
      </c>
      <c r="O264">
        <v>4.0000000000000036E-3</v>
      </c>
    </row>
    <row r="265" spans="1:15" x14ac:dyDescent="0.25">
      <c r="A265">
        <v>262</v>
      </c>
      <c r="B265" s="3">
        <f>NoMTC!K263</f>
        <v>110184.862758806</v>
      </c>
      <c r="C265" s="2">
        <f>NoMTC!I263</f>
        <v>7.3968035571864696</v>
      </c>
      <c r="D265" s="3">
        <f>MTC!K263</f>
        <v>116422.745539467</v>
      </c>
      <c r="E265" s="2">
        <f>MTC!I263</f>
        <v>7.8239550057220502</v>
      </c>
      <c r="F265" s="2">
        <f t="shared" si="12"/>
        <v>6237.8827806609916</v>
      </c>
      <c r="G265" s="2">
        <f t="shared" si="13"/>
        <v>0.42715144853558051</v>
      </c>
      <c r="H265" s="3">
        <f>E265*Lambda-D265</f>
        <v>274775.00474663556</v>
      </c>
      <c r="I265" s="3">
        <f>C265*Lambda-B265</f>
        <v>259655.3151005175</v>
      </c>
      <c r="J265">
        <f t="shared" si="14"/>
        <v>1</v>
      </c>
      <c r="M265">
        <v>26100</v>
      </c>
      <c r="N265">
        <v>0.996</v>
      </c>
      <c r="O265">
        <v>4.0000000000000036E-3</v>
      </c>
    </row>
    <row r="266" spans="1:15" x14ac:dyDescent="0.25">
      <c r="A266">
        <v>263</v>
      </c>
      <c r="B266" s="3">
        <f>NoMTC!K264</f>
        <v>97060.606141817101</v>
      </c>
      <c r="C266" s="2">
        <f>NoMTC!I264</f>
        <v>8.1312343771225102</v>
      </c>
      <c r="D266" s="3">
        <f>MTC!K264</f>
        <v>102608.442987036</v>
      </c>
      <c r="E266" s="2">
        <f>MTC!I264</f>
        <v>8.62106459966747</v>
      </c>
      <c r="F266" s="2">
        <f t="shared" si="12"/>
        <v>5547.8368452189025</v>
      </c>
      <c r="G266" s="2">
        <f t="shared" si="13"/>
        <v>0.48983022254495978</v>
      </c>
      <c r="H266" s="3">
        <f>E266*Lambda-D266</f>
        <v>328444.78699633747</v>
      </c>
      <c r="I266" s="3">
        <f>C266*Lambda-B266</f>
        <v>309501.11271430837</v>
      </c>
      <c r="J266">
        <f t="shared" si="14"/>
        <v>1</v>
      </c>
      <c r="M266">
        <v>26200</v>
      </c>
      <c r="N266">
        <v>0.996</v>
      </c>
      <c r="O266">
        <v>4.0000000000000036E-3</v>
      </c>
    </row>
    <row r="267" spans="1:15" x14ac:dyDescent="0.25">
      <c r="A267">
        <v>264</v>
      </c>
      <c r="B267" s="3">
        <f>NoMTC!K265</f>
        <v>116352.913571659</v>
      </c>
      <c r="C267" s="2">
        <f>NoMTC!I265</f>
        <v>8.6608796221834901</v>
      </c>
      <c r="D267" s="3">
        <f>MTC!K265</f>
        <v>121247.089384775</v>
      </c>
      <c r="E267" s="2">
        <f>MTC!I265</f>
        <v>9.0232903015207206</v>
      </c>
      <c r="F267" s="2">
        <f t="shared" si="12"/>
        <v>4894.1758131160022</v>
      </c>
      <c r="G267" s="2">
        <f t="shared" si="13"/>
        <v>0.36241067933723059</v>
      </c>
      <c r="H267" s="3">
        <f>E267*Lambda-D267</f>
        <v>329917.42569126107</v>
      </c>
      <c r="I267" s="3">
        <f>C267*Lambda-B267</f>
        <v>316691.06753751548</v>
      </c>
      <c r="J267">
        <f t="shared" si="14"/>
        <v>1</v>
      </c>
      <c r="M267">
        <v>26300</v>
      </c>
      <c r="N267">
        <v>0.996</v>
      </c>
      <c r="O267">
        <v>4.0000000000000036E-3</v>
      </c>
    </row>
    <row r="268" spans="1:15" x14ac:dyDescent="0.25">
      <c r="A268">
        <v>265</v>
      </c>
      <c r="B268" s="3">
        <f>NoMTC!K266</f>
        <v>113178.32313735</v>
      </c>
      <c r="C268" s="2">
        <f>NoMTC!I266</f>
        <v>6.7032071033611</v>
      </c>
      <c r="D268" s="3">
        <f>MTC!K266</f>
        <v>117022.584375972</v>
      </c>
      <c r="E268" s="2">
        <f>MTC!I266</f>
        <v>6.9263780960122396</v>
      </c>
      <c r="F268" s="2">
        <f t="shared" si="12"/>
        <v>3844.2612386219989</v>
      </c>
      <c r="G268" s="2">
        <f t="shared" si="13"/>
        <v>0.2231709926511396</v>
      </c>
      <c r="H268" s="3">
        <f>E268*Lambda-D268</f>
        <v>229296.32042463997</v>
      </c>
      <c r="I268" s="3">
        <f>C268*Lambda-B268</f>
        <v>221982.03203070498</v>
      </c>
      <c r="J268">
        <f t="shared" si="14"/>
        <v>1</v>
      </c>
      <c r="M268">
        <v>26400</v>
      </c>
      <c r="N268">
        <v>0.996</v>
      </c>
      <c r="O268">
        <v>4.0000000000000036E-3</v>
      </c>
    </row>
    <row r="269" spans="1:15" x14ac:dyDescent="0.25">
      <c r="A269">
        <v>266</v>
      </c>
      <c r="B269" s="3">
        <f>NoMTC!K267</f>
        <v>113934.873775227</v>
      </c>
      <c r="C269" s="2">
        <f>NoMTC!I267</f>
        <v>8.1700449173737297</v>
      </c>
      <c r="D269" s="3">
        <f>MTC!K267</f>
        <v>121823.9549859</v>
      </c>
      <c r="E269" s="2">
        <f>MTC!I267</f>
        <v>8.7374254411900196</v>
      </c>
      <c r="F269" s="2">
        <f t="shared" si="12"/>
        <v>7889.0812106730009</v>
      </c>
      <c r="G269" s="2">
        <f t="shared" si="13"/>
        <v>0.56738052381628989</v>
      </c>
      <c r="H269" s="3">
        <f>E269*Lambda-D269</f>
        <v>315047.31707360095</v>
      </c>
      <c r="I269" s="3">
        <f>C269*Lambda-B269</f>
        <v>294567.37209345947</v>
      </c>
      <c r="J269">
        <f t="shared" si="14"/>
        <v>1</v>
      </c>
      <c r="M269">
        <v>26500</v>
      </c>
      <c r="N269">
        <v>0.996</v>
      </c>
      <c r="O269">
        <v>4.0000000000000036E-3</v>
      </c>
    </row>
    <row r="270" spans="1:15" x14ac:dyDescent="0.25">
      <c r="A270">
        <v>267</v>
      </c>
      <c r="B270" s="3">
        <f>NoMTC!K268</f>
        <v>107067.047241751</v>
      </c>
      <c r="C270" s="2">
        <f>NoMTC!I268</f>
        <v>7.5136723732869397</v>
      </c>
      <c r="D270" s="3">
        <f>MTC!K268</f>
        <v>112533.30632107799</v>
      </c>
      <c r="E270" s="2">
        <f>MTC!I268</f>
        <v>7.8780694588775804</v>
      </c>
      <c r="F270" s="2">
        <f t="shared" si="12"/>
        <v>5466.2590793269919</v>
      </c>
      <c r="G270" s="2">
        <f t="shared" si="13"/>
        <v>0.36439708559064066</v>
      </c>
      <c r="H270" s="3">
        <f>E270*Lambda-D270</f>
        <v>281370.16662280104</v>
      </c>
      <c r="I270" s="3">
        <f>C270*Lambda-B270</f>
        <v>268616.571422596</v>
      </c>
      <c r="J270">
        <f t="shared" si="14"/>
        <v>1</v>
      </c>
      <c r="M270">
        <v>26600</v>
      </c>
      <c r="N270">
        <v>0.996</v>
      </c>
      <c r="O270">
        <v>4.0000000000000036E-3</v>
      </c>
    </row>
    <row r="271" spans="1:15" x14ac:dyDescent="0.25">
      <c r="A271">
        <v>268</v>
      </c>
      <c r="B271" s="3">
        <f>NoMTC!K269</f>
        <v>138149.248194313</v>
      </c>
      <c r="C271" s="2">
        <f>NoMTC!I269</f>
        <v>9.0149000866977307</v>
      </c>
      <c r="D271" s="3">
        <f>MTC!K269</f>
        <v>143274.49218471599</v>
      </c>
      <c r="E271" s="2">
        <f>MTC!I269</f>
        <v>9.3611143388001601</v>
      </c>
      <c r="F271" s="2">
        <f t="shared" si="12"/>
        <v>5125.2439904029889</v>
      </c>
      <c r="G271" s="2">
        <f t="shared" si="13"/>
        <v>0.3462142521024294</v>
      </c>
      <c r="H271" s="3">
        <f>E271*Lambda-D271</f>
        <v>324781.224755292</v>
      </c>
      <c r="I271" s="3">
        <f>C271*Lambda-B271</f>
        <v>312595.75614057353</v>
      </c>
      <c r="J271">
        <f t="shared" si="14"/>
        <v>1</v>
      </c>
      <c r="M271">
        <v>26700</v>
      </c>
      <c r="N271">
        <v>0.996</v>
      </c>
      <c r="O271">
        <v>4.0000000000000036E-3</v>
      </c>
    </row>
    <row r="272" spans="1:15" x14ac:dyDescent="0.25">
      <c r="A272">
        <v>269</v>
      </c>
      <c r="B272" s="3">
        <f>NoMTC!K270</f>
        <v>113489.854959395</v>
      </c>
      <c r="C272" s="2">
        <f>NoMTC!I270</f>
        <v>6.4627651894063698</v>
      </c>
      <c r="D272" s="3">
        <f>MTC!K270</f>
        <v>117787.891102443</v>
      </c>
      <c r="E272" s="2">
        <f>MTC!I270</f>
        <v>6.6918421170478197</v>
      </c>
      <c r="F272" s="2">
        <f t="shared" si="12"/>
        <v>4298.036143047997</v>
      </c>
      <c r="G272" s="2">
        <f t="shared" si="13"/>
        <v>0.22907692764144993</v>
      </c>
      <c r="H272" s="3">
        <f>E272*Lambda-D272</f>
        <v>216804.21474994801</v>
      </c>
      <c r="I272" s="3">
        <f>C272*Lambda-B272</f>
        <v>209648.40451092349</v>
      </c>
      <c r="J272">
        <f t="shared" si="14"/>
        <v>1</v>
      </c>
      <c r="M272">
        <v>26800</v>
      </c>
      <c r="N272">
        <v>0.996</v>
      </c>
      <c r="O272">
        <v>4.0000000000000036E-3</v>
      </c>
    </row>
    <row r="273" spans="1:15" x14ac:dyDescent="0.25">
      <c r="A273">
        <v>270</v>
      </c>
      <c r="B273" s="3">
        <f>NoMTC!K271</f>
        <v>110511.72902920299</v>
      </c>
      <c r="C273" s="2">
        <f>NoMTC!I271</f>
        <v>7.7164473690808402</v>
      </c>
      <c r="D273" s="3">
        <f>MTC!K271</f>
        <v>118390.47816630499</v>
      </c>
      <c r="E273" s="2">
        <f>MTC!I271</f>
        <v>8.2355883274446793</v>
      </c>
      <c r="F273" s="2">
        <f t="shared" si="12"/>
        <v>7878.7491371020005</v>
      </c>
      <c r="G273" s="2">
        <f t="shared" si="13"/>
        <v>0.51914095836383911</v>
      </c>
      <c r="H273" s="3">
        <f>E273*Lambda-D273</f>
        <v>293388.93820592895</v>
      </c>
      <c r="I273" s="3">
        <f>C273*Lambda-B273</f>
        <v>275310.639424839</v>
      </c>
      <c r="J273">
        <f t="shared" si="14"/>
        <v>1</v>
      </c>
      <c r="M273">
        <v>26900</v>
      </c>
      <c r="N273">
        <v>0.996</v>
      </c>
      <c r="O273">
        <v>4.0000000000000036E-3</v>
      </c>
    </row>
    <row r="274" spans="1:15" x14ac:dyDescent="0.25">
      <c r="A274">
        <v>271</v>
      </c>
      <c r="B274" s="3">
        <f>NoMTC!K272</f>
        <v>117319.890486738</v>
      </c>
      <c r="C274" s="2">
        <f>NoMTC!I272</f>
        <v>6.9302074717656996</v>
      </c>
      <c r="D274" s="3">
        <f>MTC!K272</f>
        <v>127047.84906978899</v>
      </c>
      <c r="E274" s="2">
        <f>MTC!I272</f>
        <v>7.4860808499507199</v>
      </c>
      <c r="F274" s="2">
        <f t="shared" si="12"/>
        <v>9727.9585830509895</v>
      </c>
      <c r="G274" s="2">
        <f t="shared" si="13"/>
        <v>0.55587337818502025</v>
      </c>
      <c r="H274" s="3">
        <f>E274*Lambda-D274</f>
        <v>247256.193427747</v>
      </c>
      <c r="I274" s="3">
        <f>C274*Lambda-B274</f>
        <v>229190.483101547</v>
      </c>
      <c r="J274">
        <f t="shared" si="14"/>
        <v>1</v>
      </c>
      <c r="M274">
        <v>27000</v>
      </c>
      <c r="N274">
        <v>0.996</v>
      </c>
      <c r="O274">
        <v>4.0000000000000036E-3</v>
      </c>
    </row>
    <row r="275" spans="1:15" x14ac:dyDescent="0.25">
      <c r="A275">
        <v>272</v>
      </c>
      <c r="B275" s="3">
        <f>NoMTC!K273</f>
        <v>142367.233526942</v>
      </c>
      <c r="C275" s="2">
        <f>NoMTC!I273</f>
        <v>8.9994152196137307</v>
      </c>
      <c r="D275" s="3">
        <f>MTC!K273</f>
        <v>146366.546919694</v>
      </c>
      <c r="E275" s="2">
        <f>MTC!I273</f>
        <v>9.2539587562619392</v>
      </c>
      <c r="F275" s="2">
        <f t="shared" si="12"/>
        <v>3999.3133927519957</v>
      </c>
      <c r="G275" s="2">
        <f t="shared" si="13"/>
        <v>0.2545435366482085</v>
      </c>
      <c r="H275" s="3">
        <f>E275*Lambda-D275</f>
        <v>316331.39089340298</v>
      </c>
      <c r="I275" s="3">
        <f>C275*Lambda-B275</f>
        <v>307603.52745374455</v>
      </c>
      <c r="J275">
        <f t="shared" si="14"/>
        <v>1</v>
      </c>
      <c r="M275">
        <v>27100</v>
      </c>
      <c r="N275">
        <v>0.996</v>
      </c>
      <c r="O275">
        <v>4.0000000000000036E-3</v>
      </c>
    </row>
    <row r="276" spans="1:15" x14ac:dyDescent="0.25">
      <c r="A276">
        <v>273</v>
      </c>
      <c r="B276" s="3">
        <f>NoMTC!K274</f>
        <v>124693.349163256</v>
      </c>
      <c r="C276" s="2">
        <f>NoMTC!I274</f>
        <v>8.4228755184852595</v>
      </c>
      <c r="D276" s="3">
        <f>MTC!K274</f>
        <v>130267.545715517</v>
      </c>
      <c r="E276" s="2">
        <f>MTC!I274</f>
        <v>8.8110626054706103</v>
      </c>
      <c r="F276" s="2">
        <f t="shared" si="12"/>
        <v>5574.1965522609971</v>
      </c>
      <c r="G276" s="2">
        <f t="shared" si="13"/>
        <v>0.38818708698535076</v>
      </c>
      <c r="H276" s="3">
        <f>E276*Lambda-D276</f>
        <v>310285.58455801348</v>
      </c>
      <c r="I276" s="3">
        <f>C276*Lambda-B276</f>
        <v>296450.42676100699</v>
      </c>
      <c r="J276">
        <f t="shared" si="14"/>
        <v>1</v>
      </c>
      <c r="M276">
        <v>27200</v>
      </c>
      <c r="N276">
        <v>0.996</v>
      </c>
      <c r="O276">
        <v>4.0000000000000036E-3</v>
      </c>
    </row>
    <row r="277" spans="1:15" x14ac:dyDescent="0.25">
      <c r="A277">
        <v>274</v>
      </c>
      <c r="B277" s="3">
        <f>NoMTC!K275</f>
        <v>105798.400756804</v>
      </c>
      <c r="C277" s="2">
        <f>NoMTC!I275</f>
        <v>8.0565836193638507</v>
      </c>
      <c r="D277" s="3">
        <f>MTC!K275</f>
        <v>111306.622643824</v>
      </c>
      <c r="E277" s="2">
        <f>MTC!I275</f>
        <v>8.4997116955693404</v>
      </c>
      <c r="F277" s="2">
        <f t="shared" si="12"/>
        <v>5508.2218870200013</v>
      </c>
      <c r="G277" s="2">
        <f t="shared" si="13"/>
        <v>0.44312807620548966</v>
      </c>
      <c r="H277" s="3">
        <f>E277*Lambda-D277</f>
        <v>313678.96213464299</v>
      </c>
      <c r="I277" s="3">
        <f>C277*Lambda-B277</f>
        <v>297030.78021138854</v>
      </c>
      <c r="J277">
        <f t="shared" si="14"/>
        <v>1</v>
      </c>
      <c r="M277">
        <v>27300</v>
      </c>
      <c r="N277">
        <v>0.996</v>
      </c>
      <c r="O277">
        <v>4.0000000000000036E-3</v>
      </c>
    </row>
    <row r="278" spans="1:15" x14ac:dyDescent="0.25">
      <c r="A278">
        <v>275</v>
      </c>
      <c r="B278" s="3">
        <f>NoMTC!K276</f>
        <v>112839.335422798</v>
      </c>
      <c r="C278" s="2">
        <f>NoMTC!I276</f>
        <v>6.3098763720086604</v>
      </c>
      <c r="D278" s="3">
        <f>MTC!K276</f>
        <v>120331.86159165</v>
      </c>
      <c r="E278" s="2">
        <f>MTC!I276</f>
        <v>6.7189017022545601</v>
      </c>
      <c r="F278" s="2">
        <f t="shared" si="12"/>
        <v>7492.5261688519968</v>
      </c>
      <c r="G278" s="2">
        <f t="shared" si="13"/>
        <v>0.40902533024589971</v>
      </c>
      <c r="H278" s="3">
        <f>E278*Lambda-D278</f>
        <v>215613.22352107801</v>
      </c>
      <c r="I278" s="3">
        <f>C278*Lambda-B278</f>
        <v>202654.483177635</v>
      </c>
      <c r="J278">
        <f t="shared" si="14"/>
        <v>1</v>
      </c>
      <c r="M278">
        <v>27400</v>
      </c>
      <c r="N278">
        <v>0.996</v>
      </c>
      <c r="O278">
        <v>4.0000000000000036E-3</v>
      </c>
    </row>
    <row r="279" spans="1:15" x14ac:dyDescent="0.25">
      <c r="A279">
        <v>276</v>
      </c>
      <c r="B279" s="3">
        <f>NoMTC!K277</f>
        <v>95540.954492944104</v>
      </c>
      <c r="C279" s="2">
        <f>NoMTC!I277</f>
        <v>6.6775340727062096</v>
      </c>
      <c r="D279" s="3">
        <f>MTC!K277</f>
        <v>102178.007758928</v>
      </c>
      <c r="E279" s="2">
        <f>MTC!I277</f>
        <v>7.1324848976169397</v>
      </c>
      <c r="F279" s="2">
        <f t="shared" si="12"/>
        <v>6637.0532659838937</v>
      </c>
      <c r="G279" s="2">
        <f t="shared" si="13"/>
        <v>0.45495082491073013</v>
      </c>
      <c r="H279" s="3">
        <f>E279*Lambda-D279</f>
        <v>254446.237121919</v>
      </c>
      <c r="I279" s="3">
        <f>C279*Lambda-B279</f>
        <v>238335.74914236635</v>
      </c>
      <c r="J279">
        <f t="shared" si="14"/>
        <v>1</v>
      </c>
      <c r="M279">
        <v>27500</v>
      </c>
      <c r="N279">
        <v>0.996</v>
      </c>
      <c r="O279">
        <v>4.0000000000000036E-3</v>
      </c>
    </row>
    <row r="280" spans="1:15" x14ac:dyDescent="0.25">
      <c r="A280">
        <v>277</v>
      </c>
      <c r="B280" s="3">
        <f>NoMTC!K278</f>
        <v>105650.014219934</v>
      </c>
      <c r="C280" s="2">
        <f>NoMTC!I278</f>
        <v>7.59283121585276</v>
      </c>
      <c r="D280" s="3">
        <f>MTC!K278</f>
        <v>106638.667671759</v>
      </c>
      <c r="E280" s="2">
        <f>MTC!I278</f>
        <v>7.67497124681661</v>
      </c>
      <c r="F280" s="2">
        <f t="shared" si="12"/>
        <v>988.65345182499732</v>
      </c>
      <c r="G280" s="2">
        <f t="shared" si="13"/>
        <v>8.214003096385003E-2</v>
      </c>
      <c r="H280" s="3">
        <f>E280*Lambda-D280</f>
        <v>277109.89466907154</v>
      </c>
      <c r="I280" s="3">
        <f>C280*Lambda-B280</f>
        <v>273991.54657270398</v>
      </c>
      <c r="J280">
        <f t="shared" si="14"/>
        <v>1</v>
      </c>
      <c r="M280">
        <v>27600</v>
      </c>
      <c r="N280">
        <v>0.996</v>
      </c>
      <c r="O280">
        <v>4.0000000000000036E-3</v>
      </c>
    </row>
    <row r="281" spans="1:15" x14ac:dyDescent="0.25">
      <c r="A281">
        <v>278</v>
      </c>
      <c r="B281" s="3">
        <f>NoMTC!K279</f>
        <v>137097.898202382</v>
      </c>
      <c r="C281" s="2">
        <f>NoMTC!I279</f>
        <v>7.5583805475407404</v>
      </c>
      <c r="D281" s="3">
        <f>MTC!K279</f>
        <v>142592.975983763</v>
      </c>
      <c r="E281" s="2">
        <f>MTC!I279</f>
        <v>7.8539668033529697</v>
      </c>
      <c r="F281" s="2">
        <f t="shared" si="12"/>
        <v>5495.0777813809982</v>
      </c>
      <c r="G281" s="2">
        <f t="shared" si="13"/>
        <v>0.2955862558122293</v>
      </c>
      <c r="H281" s="3">
        <f>E281*Lambda-D281</f>
        <v>250105.36418388551</v>
      </c>
      <c r="I281" s="3">
        <f>C281*Lambda-B281</f>
        <v>240821.12917465504</v>
      </c>
      <c r="J281">
        <f t="shared" si="14"/>
        <v>1</v>
      </c>
      <c r="M281">
        <v>27700</v>
      </c>
      <c r="N281">
        <v>0.996</v>
      </c>
      <c r="O281">
        <v>4.0000000000000036E-3</v>
      </c>
    </row>
    <row r="282" spans="1:15" x14ac:dyDescent="0.25">
      <c r="A282">
        <v>279</v>
      </c>
      <c r="B282" s="3">
        <f>NoMTC!K280</f>
        <v>110708.86843536999</v>
      </c>
      <c r="C282" s="2">
        <f>NoMTC!I280</f>
        <v>8.9875017794129608</v>
      </c>
      <c r="D282" s="3">
        <f>MTC!K280</f>
        <v>115888.776905516</v>
      </c>
      <c r="E282" s="2">
        <f>MTC!I280</f>
        <v>9.3600045761185005</v>
      </c>
      <c r="F282" s="2">
        <f t="shared" si="12"/>
        <v>5179.9084701460088</v>
      </c>
      <c r="G282" s="2">
        <f t="shared" si="13"/>
        <v>0.37250279670553965</v>
      </c>
      <c r="H282" s="3">
        <f>E282*Lambda-D282</f>
        <v>352111.45190040901</v>
      </c>
      <c r="I282" s="3">
        <f>C282*Lambda-B282</f>
        <v>338666.22053527809</v>
      </c>
      <c r="J282">
        <f t="shared" si="14"/>
        <v>1</v>
      </c>
      <c r="M282">
        <v>27800</v>
      </c>
      <c r="N282">
        <v>0.996</v>
      </c>
      <c r="O282">
        <v>4.0000000000000036E-3</v>
      </c>
    </row>
    <row r="283" spans="1:15" x14ac:dyDescent="0.25">
      <c r="A283">
        <v>280</v>
      </c>
      <c r="B283" s="3">
        <f>NoMTC!K281</f>
        <v>154272.57382512401</v>
      </c>
      <c r="C283" s="2">
        <f>NoMTC!I281</f>
        <v>8.8604703872804098</v>
      </c>
      <c r="D283" s="3">
        <f>MTC!K281</f>
        <v>161164.72979166801</v>
      </c>
      <c r="E283" s="2">
        <f>MTC!I281</f>
        <v>9.2492031844716998</v>
      </c>
      <c r="F283" s="2">
        <f t="shared" si="12"/>
        <v>6892.155966544</v>
      </c>
      <c r="G283" s="2">
        <f t="shared" si="13"/>
        <v>0.38873279719128995</v>
      </c>
      <c r="H283" s="3">
        <f>E283*Lambda-D283</f>
        <v>301295.42943191697</v>
      </c>
      <c r="I283" s="3">
        <f>C283*Lambda-B283</f>
        <v>288750.94553889649</v>
      </c>
      <c r="J283">
        <f t="shared" si="14"/>
        <v>1</v>
      </c>
      <c r="M283">
        <v>27900</v>
      </c>
      <c r="N283">
        <v>0.996</v>
      </c>
      <c r="O283">
        <v>4.0000000000000036E-3</v>
      </c>
    </row>
    <row r="284" spans="1:15" x14ac:dyDescent="0.25">
      <c r="A284">
        <v>281</v>
      </c>
      <c r="B284" s="3">
        <f>NoMTC!K282</f>
        <v>113696.68660982</v>
      </c>
      <c r="C284" s="2">
        <f>NoMTC!I282</f>
        <v>7.6239431042529802</v>
      </c>
      <c r="D284" s="3">
        <f>MTC!K282</f>
        <v>120014.438996593</v>
      </c>
      <c r="E284" s="2">
        <f>MTC!I282</f>
        <v>8.0448995739123692</v>
      </c>
      <c r="F284" s="2">
        <f t="shared" si="12"/>
        <v>6317.7523867730051</v>
      </c>
      <c r="G284" s="2">
        <f t="shared" si="13"/>
        <v>0.42095646965938904</v>
      </c>
      <c r="H284" s="3">
        <f>E284*Lambda-D284</f>
        <v>282230.53969902545</v>
      </c>
      <c r="I284" s="3">
        <f>C284*Lambda-B284</f>
        <v>267500.46860282903</v>
      </c>
      <c r="J284">
        <f t="shared" si="14"/>
        <v>1</v>
      </c>
      <c r="M284">
        <v>28000</v>
      </c>
      <c r="N284">
        <v>0.996</v>
      </c>
      <c r="O284">
        <v>4.0000000000000036E-3</v>
      </c>
    </row>
    <row r="285" spans="1:15" x14ac:dyDescent="0.25">
      <c r="A285">
        <v>282</v>
      </c>
      <c r="B285" s="3">
        <f>NoMTC!K283</f>
        <v>106795.212286799</v>
      </c>
      <c r="C285" s="2">
        <f>NoMTC!I283</f>
        <v>7.4137854446171803</v>
      </c>
      <c r="D285" s="3">
        <f>MTC!K283</f>
        <v>113411.07196960101</v>
      </c>
      <c r="E285" s="2">
        <f>MTC!I283</f>
        <v>7.8568940806552199</v>
      </c>
      <c r="F285" s="2">
        <f t="shared" si="12"/>
        <v>6615.859682802009</v>
      </c>
      <c r="G285" s="2">
        <f t="shared" si="13"/>
        <v>0.44310863603803963</v>
      </c>
      <c r="H285" s="3">
        <f>E285*Lambda-D285</f>
        <v>279433.63206315995</v>
      </c>
      <c r="I285" s="3">
        <f>C285*Lambda-B285</f>
        <v>263894.05994406005</v>
      </c>
      <c r="J285">
        <f t="shared" si="14"/>
        <v>1</v>
      </c>
      <c r="M285">
        <v>28100</v>
      </c>
      <c r="N285">
        <v>0.996</v>
      </c>
      <c r="O285">
        <v>4.0000000000000036E-3</v>
      </c>
    </row>
    <row r="286" spans="1:15" x14ac:dyDescent="0.25">
      <c r="A286">
        <v>283</v>
      </c>
      <c r="B286" s="3">
        <f>NoMTC!K284</f>
        <v>121259.110654666</v>
      </c>
      <c r="C286" s="2">
        <f>NoMTC!I284</f>
        <v>7.9208556505967502</v>
      </c>
      <c r="D286" s="3">
        <f>MTC!K284</f>
        <v>127240.42585662501</v>
      </c>
      <c r="E286" s="2">
        <f>MTC!I284</f>
        <v>8.3116217418728997</v>
      </c>
      <c r="F286" s="2">
        <f t="shared" si="12"/>
        <v>5981.3152019590052</v>
      </c>
      <c r="G286" s="2">
        <f t="shared" si="13"/>
        <v>0.39076609127614947</v>
      </c>
      <c r="H286" s="3">
        <f>E286*Lambda-D286</f>
        <v>288340.66123701999</v>
      </c>
      <c r="I286" s="3">
        <f>C286*Lambda-B286</f>
        <v>274783.67187517148</v>
      </c>
      <c r="J286">
        <f t="shared" si="14"/>
        <v>1</v>
      </c>
      <c r="M286">
        <v>28200</v>
      </c>
      <c r="N286">
        <v>0.998</v>
      </c>
      <c r="O286">
        <v>2.0000000000000018E-3</v>
      </c>
    </row>
    <row r="287" spans="1:15" x14ac:dyDescent="0.25">
      <c r="A287">
        <v>284</v>
      </c>
      <c r="B287" s="3">
        <f>NoMTC!K285</f>
        <v>166751.120485375</v>
      </c>
      <c r="C287" s="2">
        <f>NoMTC!I285</f>
        <v>8.4658779579715393</v>
      </c>
      <c r="D287" s="3">
        <f>MTC!K285</f>
        <v>175268.49332777201</v>
      </c>
      <c r="E287" s="2">
        <f>MTC!I285</f>
        <v>8.8726851499139503</v>
      </c>
      <c r="F287" s="2">
        <f t="shared" si="12"/>
        <v>8517.3728423970169</v>
      </c>
      <c r="G287" s="2">
        <f t="shared" si="13"/>
        <v>0.406807191942411</v>
      </c>
      <c r="H287" s="3">
        <f>E287*Lambda-D287</f>
        <v>268365.76416792552</v>
      </c>
      <c r="I287" s="3">
        <f>C287*Lambda-B287</f>
        <v>256542.77741320198</v>
      </c>
      <c r="J287">
        <f t="shared" si="14"/>
        <v>1</v>
      </c>
      <c r="M287">
        <v>28300</v>
      </c>
      <c r="N287">
        <v>0.998</v>
      </c>
      <c r="O287">
        <v>2.0000000000000018E-3</v>
      </c>
    </row>
    <row r="288" spans="1:15" x14ac:dyDescent="0.25">
      <c r="A288">
        <v>285</v>
      </c>
      <c r="B288" s="3">
        <f>NoMTC!K286</f>
        <v>129115.754705017</v>
      </c>
      <c r="C288" s="2">
        <f>NoMTC!I286</f>
        <v>7.8079646644332099</v>
      </c>
      <c r="D288" s="3">
        <f>MTC!K286</f>
        <v>132856.615550255</v>
      </c>
      <c r="E288" s="2">
        <f>MTC!I286</f>
        <v>8.0074293428618297</v>
      </c>
      <c r="F288" s="2">
        <f t="shared" si="12"/>
        <v>3740.8608452379995</v>
      </c>
      <c r="G288" s="2">
        <f t="shared" si="13"/>
        <v>0.19946467842861981</v>
      </c>
      <c r="H288" s="3">
        <f>E288*Lambda-D288</f>
        <v>267514.85159283649</v>
      </c>
      <c r="I288" s="3">
        <f>C288*Lambda-B288</f>
        <v>261282.47851664349</v>
      </c>
      <c r="J288">
        <f t="shared" si="14"/>
        <v>1</v>
      </c>
      <c r="M288">
        <v>28400</v>
      </c>
      <c r="N288">
        <v>0.998</v>
      </c>
      <c r="O288">
        <v>2.0000000000000018E-3</v>
      </c>
    </row>
    <row r="289" spans="1:15" x14ac:dyDescent="0.25">
      <c r="A289">
        <v>286</v>
      </c>
      <c r="B289" s="3">
        <f>NoMTC!K287</f>
        <v>100040.45620288599</v>
      </c>
      <c r="C289" s="2">
        <f>NoMTC!I287</f>
        <v>8.1752090050995001</v>
      </c>
      <c r="D289" s="3">
        <f>MTC!K287</f>
        <v>103305.104085211</v>
      </c>
      <c r="E289" s="2">
        <f>MTC!I287</f>
        <v>8.4352211059782896</v>
      </c>
      <c r="F289" s="2">
        <f t="shared" si="12"/>
        <v>3264.6478823250072</v>
      </c>
      <c r="G289" s="2">
        <f t="shared" si="13"/>
        <v>0.26001210087878945</v>
      </c>
      <c r="H289" s="3">
        <f>E289*Lambda-D289</f>
        <v>318455.95121370349</v>
      </c>
      <c r="I289" s="3">
        <f>C289*Lambda-B289</f>
        <v>308719.99405208899</v>
      </c>
      <c r="J289">
        <f t="shared" si="14"/>
        <v>1</v>
      </c>
      <c r="M289">
        <v>28500</v>
      </c>
      <c r="N289">
        <v>0.998</v>
      </c>
      <c r="O289">
        <v>2.0000000000000018E-3</v>
      </c>
    </row>
    <row r="290" spans="1:15" x14ac:dyDescent="0.25">
      <c r="A290">
        <v>287</v>
      </c>
      <c r="B290" s="3">
        <f>NoMTC!K288</f>
        <v>110267.468459497</v>
      </c>
      <c r="C290" s="2">
        <f>NoMTC!I288</f>
        <v>7.4059278551962899</v>
      </c>
      <c r="D290" s="3">
        <f>MTC!K288</f>
        <v>114214.721506627</v>
      </c>
      <c r="E290" s="2">
        <f>MTC!I288</f>
        <v>7.6774754276516104</v>
      </c>
      <c r="F290" s="2">
        <f t="shared" si="12"/>
        <v>3947.2530471299979</v>
      </c>
      <c r="G290" s="2">
        <f t="shared" si="13"/>
        <v>0.27154757245532046</v>
      </c>
      <c r="H290" s="3">
        <f>E290*Lambda-D290</f>
        <v>269659.04987595353</v>
      </c>
      <c r="I290" s="3">
        <f>C290*Lambda-B290</f>
        <v>260028.92430031751</v>
      </c>
      <c r="J290">
        <f t="shared" si="14"/>
        <v>1</v>
      </c>
      <c r="M290">
        <v>28600</v>
      </c>
      <c r="N290">
        <v>0.998</v>
      </c>
      <c r="O290">
        <v>2.0000000000000018E-3</v>
      </c>
    </row>
    <row r="291" spans="1:15" x14ac:dyDescent="0.25">
      <c r="A291">
        <v>288</v>
      </c>
      <c r="B291" s="3">
        <f>NoMTC!K289</f>
        <v>124043.319202442</v>
      </c>
      <c r="C291" s="2">
        <f>NoMTC!I289</f>
        <v>6.91425322692458</v>
      </c>
      <c r="D291" s="3">
        <f>MTC!K289</f>
        <v>129702.765203405</v>
      </c>
      <c r="E291" s="2">
        <f>MTC!I289</f>
        <v>7.2040812041512297</v>
      </c>
      <c r="F291" s="2">
        <f t="shared" si="12"/>
        <v>5659.4460009629984</v>
      </c>
      <c r="G291" s="2">
        <f t="shared" si="13"/>
        <v>0.28982797722664966</v>
      </c>
      <c r="H291" s="3">
        <f>E291*Lambda-D291</f>
        <v>230501.29500415648</v>
      </c>
      <c r="I291" s="3">
        <f>C291*Lambda-B291</f>
        <v>221669.34214378701</v>
      </c>
      <c r="J291">
        <f t="shared" si="14"/>
        <v>1</v>
      </c>
      <c r="M291">
        <v>28700</v>
      </c>
      <c r="N291">
        <v>0.998</v>
      </c>
      <c r="O291">
        <v>2.0000000000000018E-3</v>
      </c>
    </row>
    <row r="292" spans="1:15" x14ac:dyDescent="0.25">
      <c r="A292">
        <v>289</v>
      </c>
      <c r="B292" s="3">
        <f>NoMTC!K290</f>
        <v>109579.778643446</v>
      </c>
      <c r="C292" s="2">
        <f>NoMTC!I290</f>
        <v>7.1330073886790304</v>
      </c>
      <c r="D292" s="3">
        <f>MTC!K290</f>
        <v>112931.090095693</v>
      </c>
      <c r="E292" s="2">
        <f>MTC!I290</f>
        <v>7.3317279658483399</v>
      </c>
      <c r="F292" s="2">
        <f t="shared" si="12"/>
        <v>3351.3114522469987</v>
      </c>
      <c r="G292" s="2">
        <f t="shared" si="13"/>
        <v>0.19872057716930946</v>
      </c>
      <c r="H292" s="3">
        <f>E292*Lambda-D292</f>
        <v>253655.30819672399</v>
      </c>
      <c r="I292" s="3">
        <f>C292*Lambda-B292</f>
        <v>247070.59079050552</v>
      </c>
      <c r="J292">
        <f t="shared" si="14"/>
        <v>1</v>
      </c>
      <c r="M292">
        <v>28800</v>
      </c>
      <c r="N292">
        <v>0.998</v>
      </c>
      <c r="O292">
        <v>2.0000000000000018E-3</v>
      </c>
    </row>
    <row r="293" spans="1:15" x14ac:dyDescent="0.25">
      <c r="A293">
        <v>290</v>
      </c>
      <c r="B293" s="3">
        <f>NoMTC!K291</f>
        <v>107269.138792567</v>
      </c>
      <c r="C293" s="2">
        <f>NoMTC!I291</f>
        <v>8.1787235848114506</v>
      </c>
      <c r="D293" s="3">
        <f>MTC!K291</f>
        <v>113656.57504536</v>
      </c>
      <c r="E293" s="2">
        <f>MTC!I291</f>
        <v>8.6560206145774892</v>
      </c>
      <c r="F293" s="2">
        <f t="shared" si="12"/>
        <v>6387.4362527930061</v>
      </c>
      <c r="G293" s="2">
        <f t="shared" si="13"/>
        <v>0.47729702976603861</v>
      </c>
      <c r="H293" s="3">
        <f>E293*Lambda-D293</f>
        <v>319144.45568351442</v>
      </c>
      <c r="I293" s="3">
        <f>C293*Lambda-B293</f>
        <v>301667.04044800549</v>
      </c>
      <c r="J293">
        <f t="shared" si="14"/>
        <v>1</v>
      </c>
      <c r="M293">
        <v>28900</v>
      </c>
      <c r="N293">
        <v>0.998</v>
      </c>
      <c r="O293">
        <v>2.0000000000000018E-3</v>
      </c>
    </row>
    <row r="294" spans="1:15" x14ac:dyDescent="0.25">
      <c r="A294">
        <v>291</v>
      </c>
      <c r="B294" s="3">
        <f>NoMTC!K292</f>
        <v>117586.185742036</v>
      </c>
      <c r="C294" s="2">
        <f>NoMTC!I292</f>
        <v>7.6684748074083497</v>
      </c>
      <c r="D294" s="3">
        <f>MTC!K292</f>
        <v>120786.72544139301</v>
      </c>
      <c r="E294" s="2">
        <f>MTC!I292</f>
        <v>7.87197187436922</v>
      </c>
      <c r="F294" s="2">
        <f t="shared" si="12"/>
        <v>3200.539699357003</v>
      </c>
      <c r="G294" s="2">
        <f t="shared" si="13"/>
        <v>0.20349706696087022</v>
      </c>
      <c r="H294" s="3">
        <f>E294*Lambda-D294</f>
        <v>272811.86827706802</v>
      </c>
      <c r="I294" s="3">
        <f>C294*Lambda-B294</f>
        <v>265837.55462838151</v>
      </c>
      <c r="J294">
        <f t="shared" si="14"/>
        <v>1</v>
      </c>
      <c r="M294">
        <v>29000</v>
      </c>
      <c r="N294">
        <v>0.998</v>
      </c>
      <c r="O294">
        <v>2.0000000000000018E-3</v>
      </c>
    </row>
    <row r="295" spans="1:15" x14ac:dyDescent="0.25">
      <c r="A295">
        <v>292</v>
      </c>
      <c r="B295" s="3">
        <f>NoMTC!K293</f>
        <v>121086.557607361</v>
      </c>
      <c r="C295" s="2">
        <f>NoMTC!I293</f>
        <v>7.1495584662354004</v>
      </c>
      <c r="D295" s="3">
        <f>MTC!K293</f>
        <v>122904.51186247601</v>
      </c>
      <c r="E295" s="2">
        <f>MTC!I293</f>
        <v>7.2922045132898896</v>
      </c>
      <c r="F295" s="2">
        <f t="shared" si="12"/>
        <v>1817.954255115008</v>
      </c>
      <c r="G295" s="2">
        <f t="shared" si="13"/>
        <v>0.14264604705448924</v>
      </c>
      <c r="H295" s="3">
        <f>E295*Lambda-D295</f>
        <v>241705.71380201849</v>
      </c>
      <c r="I295" s="3">
        <f>C295*Lambda-B295</f>
        <v>236391.36570440902</v>
      </c>
      <c r="J295">
        <f t="shared" si="14"/>
        <v>1</v>
      </c>
      <c r="M295">
        <v>29100</v>
      </c>
      <c r="N295">
        <v>0.998</v>
      </c>
      <c r="O295">
        <v>2.0000000000000018E-3</v>
      </c>
    </row>
    <row r="296" spans="1:15" x14ac:dyDescent="0.25">
      <c r="A296">
        <v>293</v>
      </c>
      <c r="B296" s="3">
        <f>NoMTC!K294</f>
        <v>84958.118897086606</v>
      </c>
      <c r="C296" s="2">
        <f>NoMTC!I294</f>
        <v>6.5290266143293998</v>
      </c>
      <c r="D296" s="3">
        <f>MTC!K294</f>
        <v>91848.135406091402</v>
      </c>
      <c r="E296" s="2">
        <f>MTC!I294</f>
        <v>7.0646035794142099</v>
      </c>
      <c r="F296" s="2">
        <f t="shared" si="12"/>
        <v>6890.0165090047958</v>
      </c>
      <c r="G296" s="2">
        <f t="shared" si="13"/>
        <v>0.53557696508481012</v>
      </c>
      <c r="H296" s="3">
        <f>E296*Lambda-D296</f>
        <v>261382.04356461909</v>
      </c>
      <c r="I296" s="3">
        <f>C296*Lambda-B296</f>
        <v>241493.21181938337</v>
      </c>
      <c r="J296">
        <f t="shared" si="14"/>
        <v>1</v>
      </c>
      <c r="M296">
        <v>29200</v>
      </c>
      <c r="N296">
        <v>0.998</v>
      </c>
      <c r="O296">
        <v>2.0000000000000018E-3</v>
      </c>
    </row>
    <row r="297" spans="1:15" x14ac:dyDescent="0.25">
      <c r="A297">
        <v>294</v>
      </c>
      <c r="B297" s="3">
        <f>NoMTC!K295</f>
        <v>117446.227253683</v>
      </c>
      <c r="C297" s="2">
        <f>NoMTC!I295</f>
        <v>7.6462211574248196</v>
      </c>
      <c r="D297" s="3">
        <f>MTC!K295</f>
        <v>128366.966461398</v>
      </c>
      <c r="E297" s="2">
        <f>MTC!I295</f>
        <v>8.3337156618370791</v>
      </c>
      <c r="F297" s="2">
        <f t="shared" si="12"/>
        <v>10920.739207715</v>
      </c>
      <c r="G297" s="2">
        <f t="shared" si="13"/>
        <v>0.68749450441225957</v>
      </c>
      <c r="H297" s="3">
        <f>E297*Lambda-D297</f>
        <v>288318.81663045596</v>
      </c>
      <c r="I297" s="3">
        <f>C297*Lambda-B297</f>
        <v>264864.83061755798</v>
      </c>
      <c r="J297">
        <f t="shared" si="14"/>
        <v>1</v>
      </c>
      <c r="M297">
        <v>29300</v>
      </c>
      <c r="N297">
        <v>0.998</v>
      </c>
      <c r="O297">
        <v>2.0000000000000018E-3</v>
      </c>
    </row>
    <row r="298" spans="1:15" x14ac:dyDescent="0.25">
      <c r="A298">
        <v>295</v>
      </c>
      <c r="B298" s="3">
        <f>NoMTC!K296</f>
        <v>145564.34242102201</v>
      </c>
      <c r="C298" s="2">
        <f>NoMTC!I296</f>
        <v>8.0421416453951107</v>
      </c>
      <c r="D298" s="3">
        <f>MTC!K296</f>
        <v>152863.81124077001</v>
      </c>
      <c r="E298" s="2">
        <f>MTC!I296</f>
        <v>8.4158396793612091</v>
      </c>
      <c r="F298" s="2">
        <f t="shared" si="12"/>
        <v>7299.4688197479991</v>
      </c>
      <c r="G298" s="2">
        <f t="shared" si="13"/>
        <v>0.37369803396609846</v>
      </c>
      <c r="H298" s="3">
        <f>E298*Lambda-D298</f>
        <v>267928.17272729042</v>
      </c>
      <c r="I298" s="3">
        <f>C298*Lambda-B298</f>
        <v>256542.73984873353</v>
      </c>
      <c r="J298">
        <f t="shared" si="14"/>
        <v>1</v>
      </c>
      <c r="M298">
        <v>29400</v>
      </c>
      <c r="N298">
        <v>0.998</v>
      </c>
      <c r="O298">
        <v>2.0000000000000018E-3</v>
      </c>
    </row>
    <row r="299" spans="1:15" x14ac:dyDescent="0.25">
      <c r="A299">
        <v>296</v>
      </c>
      <c r="B299" s="3">
        <f>NoMTC!K297</f>
        <v>104102.347383655</v>
      </c>
      <c r="C299" s="2">
        <f>NoMTC!I297</f>
        <v>7.3847428621821303</v>
      </c>
      <c r="D299" s="3">
        <f>MTC!K297</f>
        <v>111847.23141982</v>
      </c>
      <c r="E299" s="2">
        <f>MTC!I297</f>
        <v>7.9269427160027197</v>
      </c>
      <c r="F299" s="2">
        <f t="shared" si="12"/>
        <v>7744.8840361650073</v>
      </c>
      <c r="G299" s="2">
        <f t="shared" si="13"/>
        <v>0.54219985382058944</v>
      </c>
      <c r="H299" s="3">
        <f>E299*Lambda-D299</f>
        <v>284499.90438031597</v>
      </c>
      <c r="I299" s="3">
        <f>C299*Lambda-B299</f>
        <v>265134.79572545155</v>
      </c>
      <c r="J299">
        <f t="shared" si="14"/>
        <v>1</v>
      </c>
      <c r="M299">
        <v>29500</v>
      </c>
      <c r="N299">
        <v>0.998</v>
      </c>
      <c r="O299">
        <v>2.0000000000000018E-3</v>
      </c>
    </row>
    <row r="300" spans="1:15" x14ac:dyDescent="0.25">
      <c r="A300">
        <v>297</v>
      </c>
      <c r="B300" s="3">
        <f>NoMTC!K298</f>
        <v>96535.750612049305</v>
      </c>
      <c r="C300" s="2">
        <f>NoMTC!I298</f>
        <v>8.2350639219541897</v>
      </c>
      <c r="D300" s="3">
        <f>MTC!K298</f>
        <v>102783.418560354</v>
      </c>
      <c r="E300" s="2">
        <f>MTC!I298</f>
        <v>8.7562097229740896</v>
      </c>
      <c r="F300" s="2">
        <f t="shared" si="12"/>
        <v>6247.6679483046901</v>
      </c>
      <c r="G300" s="2">
        <f t="shared" si="13"/>
        <v>0.52114580101989993</v>
      </c>
      <c r="H300" s="3">
        <f>E300*Lambda-D300</f>
        <v>335027.0675883505</v>
      </c>
      <c r="I300" s="3">
        <f>C300*Lambda-B300</f>
        <v>315217.44548566017</v>
      </c>
      <c r="J300">
        <f t="shared" si="14"/>
        <v>1</v>
      </c>
      <c r="M300">
        <v>29600</v>
      </c>
      <c r="N300">
        <v>0.998</v>
      </c>
      <c r="O300">
        <v>2.0000000000000018E-3</v>
      </c>
    </row>
    <row r="301" spans="1:15" x14ac:dyDescent="0.25">
      <c r="A301">
        <v>298</v>
      </c>
      <c r="B301" s="3">
        <f>NoMTC!K299</f>
        <v>110936.472635717</v>
      </c>
      <c r="C301" s="2">
        <f>NoMTC!I299</f>
        <v>9.3837717175921505</v>
      </c>
      <c r="D301" s="3">
        <f>MTC!K299</f>
        <v>113547.100718268</v>
      </c>
      <c r="E301" s="2">
        <f>MTC!I299</f>
        <v>9.6255929532048796</v>
      </c>
      <c r="F301" s="2">
        <f t="shared" si="12"/>
        <v>2610.6280825510039</v>
      </c>
      <c r="G301" s="2">
        <f t="shared" si="13"/>
        <v>0.24182123561272917</v>
      </c>
      <c r="H301" s="3">
        <f>E301*Lambda-D301</f>
        <v>367732.54694197595</v>
      </c>
      <c r="I301" s="3">
        <f>C301*Lambda-B301</f>
        <v>358252.11324389052</v>
      </c>
      <c r="J301">
        <f t="shared" si="14"/>
        <v>1</v>
      </c>
      <c r="M301">
        <v>29700</v>
      </c>
      <c r="N301">
        <v>0.998</v>
      </c>
      <c r="O301">
        <v>2.0000000000000018E-3</v>
      </c>
    </row>
    <row r="302" spans="1:15" x14ac:dyDescent="0.25">
      <c r="A302">
        <v>299</v>
      </c>
      <c r="B302" s="3">
        <f>NoMTC!K300</f>
        <v>121853.18056938</v>
      </c>
      <c r="C302" s="2">
        <f>NoMTC!I300</f>
        <v>6.7121385975585701</v>
      </c>
      <c r="D302" s="3">
        <f>MTC!K300</f>
        <v>127118.130133395</v>
      </c>
      <c r="E302" s="2">
        <f>MTC!I300</f>
        <v>7.0048105422965401</v>
      </c>
      <c r="F302" s="2">
        <f t="shared" si="12"/>
        <v>5264.949564014998</v>
      </c>
      <c r="G302" s="2">
        <f t="shared" si="13"/>
        <v>0.29267194473796998</v>
      </c>
      <c r="H302" s="3">
        <f>E302*Lambda-D302</f>
        <v>223122.39698143202</v>
      </c>
      <c r="I302" s="3">
        <f>C302*Lambda-B302</f>
        <v>213753.74930854852</v>
      </c>
      <c r="J302">
        <f t="shared" si="14"/>
        <v>1</v>
      </c>
      <c r="M302">
        <v>29800</v>
      </c>
      <c r="N302">
        <v>0.998</v>
      </c>
      <c r="O302">
        <v>2.0000000000000018E-3</v>
      </c>
    </row>
    <row r="303" spans="1:15" x14ac:dyDescent="0.25">
      <c r="A303">
        <v>300</v>
      </c>
      <c r="B303" s="3">
        <f>NoMTC!K301</f>
        <v>126012.173072808</v>
      </c>
      <c r="C303" s="2">
        <f>NoMTC!I301</f>
        <v>7.5299279089316498</v>
      </c>
      <c r="D303" s="3">
        <f>MTC!K301</f>
        <v>130815.121906285</v>
      </c>
      <c r="E303" s="2">
        <f>MTC!I301</f>
        <v>7.8094847002809997</v>
      </c>
      <c r="F303" s="2">
        <f t="shared" si="12"/>
        <v>4802.9488334769994</v>
      </c>
      <c r="G303" s="2">
        <f t="shared" si="13"/>
        <v>0.27955679134934996</v>
      </c>
      <c r="H303" s="3">
        <f>E303*Lambda-D303</f>
        <v>259659.11310776498</v>
      </c>
      <c r="I303" s="3">
        <f>C303*Lambda-B303</f>
        <v>250484.22237377445</v>
      </c>
      <c r="J303">
        <f t="shared" si="14"/>
        <v>1</v>
      </c>
      <c r="M303">
        <v>29900</v>
      </c>
      <c r="N303">
        <v>0.998</v>
      </c>
      <c r="O303">
        <v>2.0000000000000018E-3</v>
      </c>
    </row>
    <row r="304" spans="1:15" x14ac:dyDescent="0.25">
      <c r="A304">
        <v>301</v>
      </c>
      <c r="B304" s="3">
        <f>NoMTC!K302</f>
        <v>134530.01270114499</v>
      </c>
      <c r="C304" s="2">
        <f>NoMTC!I302</f>
        <v>8.0893217500168806</v>
      </c>
      <c r="D304" s="3">
        <f>MTC!K302</f>
        <v>141218.795673894</v>
      </c>
      <c r="E304" s="2">
        <f>MTC!I302</f>
        <v>8.4717071664327097</v>
      </c>
      <c r="F304" s="2">
        <f t="shared" si="12"/>
        <v>6688.7829727490025</v>
      </c>
      <c r="G304" s="2">
        <f t="shared" si="13"/>
        <v>0.38238541641582913</v>
      </c>
      <c r="H304" s="3">
        <f>E304*Lambda-D304</f>
        <v>282366.56264774146</v>
      </c>
      <c r="I304" s="3">
        <f>C304*Lambda-B304</f>
        <v>269936.07479969901</v>
      </c>
      <c r="J304">
        <f t="shared" si="14"/>
        <v>1</v>
      </c>
      <c r="M304">
        <v>30000</v>
      </c>
      <c r="N304">
        <v>0.998</v>
      </c>
      <c r="O304">
        <v>2.0000000000000018E-3</v>
      </c>
    </row>
    <row r="305" spans="1:15" x14ac:dyDescent="0.25">
      <c r="A305">
        <v>302</v>
      </c>
      <c r="B305" s="3">
        <f>NoMTC!K303</f>
        <v>103221.460930516</v>
      </c>
      <c r="C305" s="2">
        <f>NoMTC!I303</f>
        <v>6.9419174071647998</v>
      </c>
      <c r="D305" s="3">
        <f>MTC!K303</f>
        <v>109151.343678323</v>
      </c>
      <c r="E305" s="2">
        <f>MTC!I303</f>
        <v>7.3255158616972302</v>
      </c>
      <c r="F305" s="2">
        <f t="shared" si="12"/>
        <v>5929.8827478070016</v>
      </c>
      <c r="G305" s="2">
        <f t="shared" si="13"/>
        <v>0.38359845453243047</v>
      </c>
      <c r="H305" s="3">
        <f>E305*Lambda-D305</f>
        <v>257124.44940653854</v>
      </c>
      <c r="I305" s="3">
        <f>C305*Lambda-B305</f>
        <v>243874.40942772396</v>
      </c>
      <c r="J305">
        <f t="shared" si="14"/>
        <v>1</v>
      </c>
      <c r="M305">
        <v>30100</v>
      </c>
      <c r="N305">
        <v>0.998</v>
      </c>
      <c r="O305">
        <v>2.0000000000000018E-3</v>
      </c>
    </row>
    <row r="306" spans="1:15" x14ac:dyDescent="0.25">
      <c r="A306">
        <v>303</v>
      </c>
      <c r="B306" s="3">
        <f>NoMTC!K304</f>
        <v>138446.33807023201</v>
      </c>
      <c r="C306" s="2">
        <f>NoMTC!I304</f>
        <v>6.5567038217393403</v>
      </c>
      <c r="D306" s="3">
        <f>MTC!K304</f>
        <v>136105.48850689299</v>
      </c>
      <c r="E306" s="2">
        <f>MTC!I304</f>
        <v>6.4631407233447202</v>
      </c>
      <c r="F306" s="2">
        <f t="shared" si="12"/>
        <v>-2340.8495633390266</v>
      </c>
      <c r="G306" s="2">
        <f t="shared" si="13"/>
        <v>-9.356309839462007E-2</v>
      </c>
      <c r="H306" s="3">
        <f>E306*Lambda-D306</f>
        <v>187051.547660343</v>
      </c>
      <c r="I306" s="3">
        <f>C306*Lambda-B306</f>
        <v>189388.853016735</v>
      </c>
      <c r="J306">
        <f t="shared" si="14"/>
        <v>0</v>
      </c>
      <c r="M306">
        <v>30200</v>
      </c>
      <c r="N306">
        <v>0.998</v>
      </c>
      <c r="O306">
        <v>2.0000000000000018E-3</v>
      </c>
    </row>
    <row r="307" spans="1:15" x14ac:dyDescent="0.25">
      <c r="A307">
        <v>304</v>
      </c>
      <c r="B307" s="3">
        <f>NoMTC!K305</f>
        <v>105139.78980206</v>
      </c>
      <c r="C307" s="2">
        <f>NoMTC!I305</f>
        <v>6.40464439401324</v>
      </c>
      <c r="D307" s="3">
        <f>MTC!K305</f>
        <v>113054.4613585</v>
      </c>
      <c r="E307" s="2">
        <f>MTC!I305</f>
        <v>6.8585772497697599</v>
      </c>
      <c r="F307" s="2">
        <f t="shared" si="12"/>
        <v>7914.6715564400074</v>
      </c>
      <c r="G307" s="2">
        <f t="shared" si="13"/>
        <v>0.45393285575651987</v>
      </c>
      <c r="H307" s="3">
        <f>E307*Lambda-D307</f>
        <v>229874.40112998796</v>
      </c>
      <c r="I307" s="3">
        <f>C307*Lambda-B307</f>
        <v>215092.42989860201</v>
      </c>
      <c r="J307">
        <f t="shared" si="14"/>
        <v>1</v>
      </c>
      <c r="M307">
        <v>30300</v>
      </c>
      <c r="N307">
        <v>0.998</v>
      </c>
      <c r="O307">
        <v>2.0000000000000018E-3</v>
      </c>
    </row>
    <row r="308" spans="1:15" x14ac:dyDescent="0.25">
      <c r="A308">
        <v>305</v>
      </c>
      <c r="B308" s="3">
        <f>NoMTC!K306</f>
        <v>131188.63433107999</v>
      </c>
      <c r="C308" s="2">
        <f>NoMTC!I306</f>
        <v>7.3458921961973802</v>
      </c>
      <c r="D308" s="3">
        <f>MTC!K306</f>
        <v>137429.362739087</v>
      </c>
      <c r="E308" s="2">
        <f>MTC!I306</f>
        <v>7.6737986557814999</v>
      </c>
      <c r="F308" s="2">
        <f t="shared" si="12"/>
        <v>6240.7284080070094</v>
      </c>
      <c r="G308" s="2">
        <f t="shared" si="13"/>
        <v>0.32790645958411968</v>
      </c>
      <c r="H308" s="3">
        <f>E308*Lambda-D308</f>
        <v>246260.57004998802</v>
      </c>
      <c r="I308" s="3">
        <f>C308*Lambda-B308</f>
        <v>236105.97547878904</v>
      </c>
      <c r="J308">
        <f t="shared" si="14"/>
        <v>1</v>
      </c>
      <c r="M308">
        <v>30400</v>
      </c>
      <c r="N308">
        <v>0.998</v>
      </c>
      <c r="O308">
        <v>2.0000000000000018E-3</v>
      </c>
    </row>
    <row r="309" spans="1:15" x14ac:dyDescent="0.25">
      <c r="A309">
        <v>306</v>
      </c>
      <c r="B309" s="3">
        <f>NoMTC!K307</f>
        <v>138718.65193924899</v>
      </c>
      <c r="C309" s="2">
        <f>NoMTC!I307</f>
        <v>7.1255133897478498</v>
      </c>
      <c r="D309" s="3">
        <f>MTC!K307</f>
        <v>141651.823409659</v>
      </c>
      <c r="E309" s="2">
        <f>MTC!I307</f>
        <v>7.2685995744077099</v>
      </c>
      <c r="F309" s="2">
        <f t="shared" si="12"/>
        <v>2933.1714704100159</v>
      </c>
      <c r="G309" s="2">
        <f t="shared" si="13"/>
        <v>0.14308618465986012</v>
      </c>
      <c r="H309" s="3">
        <f>E309*Lambda-D309</f>
        <v>221778.15531072646</v>
      </c>
      <c r="I309" s="3">
        <f>C309*Lambda-B309</f>
        <v>217557.01754814349</v>
      </c>
      <c r="J309">
        <f t="shared" si="14"/>
        <v>1</v>
      </c>
      <c r="M309">
        <v>30500</v>
      </c>
      <c r="N309">
        <v>0.998</v>
      </c>
      <c r="O309">
        <v>2.0000000000000018E-3</v>
      </c>
    </row>
    <row r="310" spans="1:15" x14ac:dyDescent="0.25">
      <c r="A310">
        <v>307</v>
      </c>
      <c r="B310" s="3">
        <f>NoMTC!K308</f>
        <v>106329.823658448</v>
      </c>
      <c r="C310" s="2">
        <f>NoMTC!I308</f>
        <v>8.3461633265988002</v>
      </c>
      <c r="D310" s="3">
        <f>MTC!K308</f>
        <v>112334.869318319</v>
      </c>
      <c r="E310" s="2">
        <f>MTC!I308</f>
        <v>8.7938564933997192</v>
      </c>
      <c r="F310" s="2">
        <f t="shared" si="12"/>
        <v>6005.0456598710007</v>
      </c>
      <c r="G310" s="2">
        <f t="shared" si="13"/>
        <v>0.44769316680091897</v>
      </c>
      <c r="H310" s="3">
        <f>E310*Lambda-D310</f>
        <v>327357.95535166695</v>
      </c>
      <c r="I310" s="3">
        <f>C310*Lambda-B310</f>
        <v>310978.34267149202</v>
      </c>
      <c r="J310">
        <f t="shared" si="14"/>
        <v>1</v>
      </c>
      <c r="M310">
        <v>30600</v>
      </c>
      <c r="N310">
        <v>0.998</v>
      </c>
      <c r="O310">
        <v>2.0000000000000018E-3</v>
      </c>
    </row>
    <row r="311" spans="1:15" x14ac:dyDescent="0.25">
      <c r="A311">
        <v>308</v>
      </c>
      <c r="B311" s="3">
        <f>NoMTC!K309</f>
        <v>105871.36768485</v>
      </c>
      <c r="C311" s="2">
        <f>NoMTC!I309</f>
        <v>7.1861237154584598</v>
      </c>
      <c r="D311" s="3">
        <f>MTC!K309</f>
        <v>111713.47334366001</v>
      </c>
      <c r="E311" s="2">
        <f>MTC!I309</f>
        <v>7.5966146703164403</v>
      </c>
      <c r="F311" s="2">
        <f t="shared" si="12"/>
        <v>5842.1056588100037</v>
      </c>
      <c r="G311" s="2">
        <f t="shared" si="13"/>
        <v>0.41049095485798048</v>
      </c>
      <c r="H311" s="3">
        <f>E311*Lambda-D311</f>
        <v>268117.26017216203</v>
      </c>
      <c r="I311" s="3">
        <f>C311*Lambda-B311</f>
        <v>253434.81808807299</v>
      </c>
      <c r="J311">
        <f t="shared" si="14"/>
        <v>1</v>
      </c>
      <c r="M311">
        <v>30700</v>
      </c>
      <c r="N311">
        <v>0.998</v>
      </c>
      <c r="O311">
        <v>2.0000000000000018E-3</v>
      </c>
    </row>
    <row r="312" spans="1:15" x14ac:dyDescent="0.25">
      <c r="A312">
        <v>309</v>
      </c>
      <c r="B312" s="3">
        <f>NoMTC!K310</f>
        <v>139157.802434679</v>
      </c>
      <c r="C312" s="2">
        <f>NoMTC!I310</f>
        <v>8.9402323608062293</v>
      </c>
      <c r="D312" s="3">
        <f>MTC!K310</f>
        <v>149705.47386138601</v>
      </c>
      <c r="E312" s="2">
        <f>MTC!I310</f>
        <v>9.6163216793662691</v>
      </c>
      <c r="F312" s="2">
        <f t="shared" si="12"/>
        <v>10547.671426707006</v>
      </c>
      <c r="G312" s="2">
        <f t="shared" si="13"/>
        <v>0.67608931856003984</v>
      </c>
      <c r="H312" s="3">
        <f>E312*Lambda-D312</f>
        <v>331110.61010692746</v>
      </c>
      <c r="I312" s="3">
        <f>C312*Lambda-B312</f>
        <v>307853.81560563244</v>
      </c>
      <c r="J312">
        <f t="shared" si="14"/>
        <v>1</v>
      </c>
      <c r="M312">
        <v>30800</v>
      </c>
      <c r="N312">
        <v>0.998</v>
      </c>
      <c r="O312">
        <v>2.0000000000000018E-3</v>
      </c>
    </row>
    <row r="313" spans="1:15" x14ac:dyDescent="0.25">
      <c r="A313">
        <v>310</v>
      </c>
      <c r="B313" s="3">
        <f>NoMTC!K311</f>
        <v>148577.80204184999</v>
      </c>
      <c r="C313" s="2">
        <f>NoMTC!I311</f>
        <v>8.4288863325106007</v>
      </c>
      <c r="D313" s="3">
        <f>MTC!K311</f>
        <v>155892.96966547499</v>
      </c>
      <c r="E313" s="2">
        <f>MTC!I311</f>
        <v>8.8500798041373994</v>
      </c>
      <c r="F313" s="2">
        <f t="shared" si="12"/>
        <v>7315.1676236249914</v>
      </c>
      <c r="G313" s="2">
        <f t="shared" si="13"/>
        <v>0.42119347162679865</v>
      </c>
      <c r="H313" s="3">
        <f>E313*Lambda-D313</f>
        <v>286611.02054139494</v>
      </c>
      <c r="I313" s="3">
        <f>C313*Lambda-B313</f>
        <v>272866.51458368002</v>
      </c>
      <c r="J313">
        <f t="shared" si="14"/>
        <v>1</v>
      </c>
      <c r="M313">
        <v>30900</v>
      </c>
      <c r="N313">
        <v>0.998</v>
      </c>
      <c r="O313">
        <v>2.0000000000000018E-3</v>
      </c>
    </row>
    <row r="314" spans="1:15" x14ac:dyDescent="0.25">
      <c r="A314">
        <v>311</v>
      </c>
      <c r="B314" s="3">
        <f>NoMTC!K312</f>
        <v>140952.64321738901</v>
      </c>
      <c r="C314" s="2">
        <f>NoMTC!I312</f>
        <v>7.7272414849854698</v>
      </c>
      <c r="D314" s="3">
        <f>MTC!K312</f>
        <v>148669.37244706199</v>
      </c>
      <c r="E314" s="2">
        <f>MTC!I312</f>
        <v>8.1319641982161404</v>
      </c>
      <c r="F314" s="2">
        <f t="shared" si="12"/>
        <v>7716.7292296729865</v>
      </c>
      <c r="G314" s="2">
        <f t="shared" si="13"/>
        <v>0.40472271323067055</v>
      </c>
      <c r="H314" s="3">
        <f>E314*Lambda-D314</f>
        <v>257928.83746374503</v>
      </c>
      <c r="I314" s="3">
        <f>C314*Lambda-B314</f>
        <v>245409.43103188451</v>
      </c>
      <c r="J314">
        <f t="shared" si="14"/>
        <v>1</v>
      </c>
      <c r="M314">
        <v>31000</v>
      </c>
      <c r="N314">
        <v>0.998</v>
      </c>
      <c r="O314">
        <v>2.0000000000000018E-3</v>
      </c>
    </row>
    <row r="315" spans="1:15" x14ac:dyDescent="0.25">
      <c r="A315">
        <v>312</v>
      </c>
      <c r="B315" s="3">
        <f>NoMTC!K313</f>
        <v>110876.159731483</v>
      </c>
      <c r="C315" s="2">
        <f>NoMTC!I313</f>
        <v>8.1346913222090098</v>
      </c>
      <c r="D315" s="3">
        <f>MTC!K313</f>
        <v>118869.834715092</v>
      </c>
      <c r="E315" s="2">
        <f>MTC!I313</f>
        <v>8.6712831644755006</v>
      </c>
      <c r="F315" s="2">
        <f t="shared" si="12"/>
        <v>7993.6749836090021</v>
      </c>
      <c r="G315" s="2">
        <f t="shared" si="13"/>
        <v>0.53659184226649081</v>
      </c>
      <c r="H315" s="3">
        <f>E315*Lambda-D315</f>
        <v>314694.32350868301</v>
      </c>
      <c r="I315" s="3">
        <f>C315*Lambda-B315</f>
        <v>295858.40637896745</v>
      </c>
      <c r="J315">
        <f t="shared" si="14"/>
        <v>1</v>
      </c>
      <c r="M315">
        <v>31100</v>
      </c>
      <c r="N315">
        <v>0.998</v>
      </c>
      <c r="O315">
        <v>2.0000000000000018E-3</v>
      </c>
    </row>
    <row r="316" spans="1:15" x14ac:dyDescent="0.25">
      <c r="A316">
        <v>313</v>
      </c>
      <c r="B316" s="3">
        <f>NoMTC!K314</f>
        <v>96170.027877289802</v>
      </c>
      <c r="C316" s="2">
        <f>NoMTC!I314</f>
        <v>7.3486994314292602</v>
      </c>
      <c r="D316" s="3">
        <f>MTC!K314</f>
        <v>101606.792147063</v>
      </c>
      <c r="E316" s="2">
        <f>MTC!I314</f>
        <v>7.7794798917289798</v>
      </c>
      <c r="F316" s="2">
        <f t="shared" si="12"/>
        <v>5436.7642697731935</v>
      </c>
      <c r="G316" s="2">
        <f t="shared" si="13"/>
        <v>0.43078046029971961</v>
      </c>
      <c r="H316" s="3">
        <f>E316*Lambda-D316</f>
        <v>287367.20243938599</v>
      </c>
      <c r="I316" s="3">
        <f>C316*Lambda-B316</f>
        <v>271264.94369417318</v>
      </c>
      <c r="J316">
        <f t="shared" si="14"/>
        <v>1</v>
      </c>
      <c r="M316">
        <v>31200</v>
      </c>
      <c r="N316">
        <v>0.998</v>
      </c>
      <c r="O316">
        <v>2.0000000000000018E-3</v>
      </c>
    </row>
    <row r="317" spans="1:15" x14ac:dyDescent="0.25">
      <c r="A317">
        <v>314</v>
      </c>
      <c r="B317" s="3">
        <f>NoMTC!K315</f>
        <v>105915.922003984</v>
      </c>
      <c r="C317" s="2">
        <f>NoMTC!I315</f>
        <v>8.8172294553934094</v>
      </c>
      <c r="D317" s="3">
        <f>MTC!K315</f>
        <v>111234.280370591</v>
      </c>
      <c r="E317" s="2">
        <f>MTC!I315</f>
        <v>9.2629619596445405</v>
      </c>
      <c r="F317" s="2">
        <f t="shared" si="12"/>
        <v>5318.3583666070044</v>
      </c>
      <c r="G317" s="2">
        <f t="shared" si="13"/>
        <v>0.44573250425113109</v>
      </c>
      <c r="H317" s="3">
        <f>E317*Lambda-D317</f>
        <v>351913.81761163601</v>
      </c>
      <c r="I317" s="3">
        <f>C317*Lambda-B317</f>
        <v>334945.55076568649</v>
      </c>
      <c r="J317">
        <f t="shared" si="14"/>
        <v>1</v>
      </c>
      <c r="M317">
        <v>31300</v>
      </c>
      <c r="N317">
        <v>0.998</v>
      </c>
      <c r="O317">
        <v>2.0000000000000018E-3</v>
      </c>
    </row>
    <row r="318" spans="1:15" x14ac:dyDescent="0.25">
      <c r="A318">
        <v>315</v>
      </c>
      <c r="B318" s="3">
        <f>NoMTC!K316</f>
        <v>86985.842142641806</v>
      </c>
      <c r="C318" s="2">
        <f>NoMTC!I316</f>
        <v>7.6142115851070997</v>
      </c>
      <c r="D318" s="3">
        <f>MTC!K316</f>
        <v>91377.160013335393</v>
      </c>
      <c r="E318" s="2">
        <f>MTC!I316</f>
        <v>8.0042002195271191</v>
      </c>
      <c r="F318" s="2">
        <f t="shared" si="12"/>
        <v>4391.3178706935869</v>
      </c>
      <c r="G318" s="2">
        <f t="shared" si="13"/>
        <v>0.38998863442001941</v>
      </c>
      <c r="H318" s="3">
        <f>E318*Lambda-D318</f>
        <v>308832.85096302052</v>
      </c>
      <c r="I318" s="3">
        <f>C318*Lambda-B318</f>
        <v>293724.73711271316</v>
      </c>
      <c r="J318">
        <f t="shared" si="14"/>
        <v>1</v>
      </c>
      <c r="M318">
        <v>31400</v>
      </c>
      <c r="N318">
        <v>0.998</v>
      </c>
      <c r="O318">
        <v>2.0000000000000018E-3</v>
      </c>
    </row>
    <row r="319" spans="1:15" x14ac:dyDescent="0.25">
      <c r="A319">
        <v>316</v>
      </c>
      <c r="B319" s="3">
        <f>NoMTC!K317</f>
        <v>132183.332052015</v>
      </c>
      <c r="C319" s="2">
        <f>NoMTC!I317</f>
        <v>7.8555753355788402</v>
      </c>
      <c r="D319" s="3">
        <f>MTC!K317</f>
        <v>140893.79568417001</v>
      </c>
      <c r="E319" s="2">
        <f>MTC!I317</f>
        <v>8.3476446597994602</v>
      </c>
      <c r="F319" s="2">
        <f t="shared" si="12"/>
        <v>8710.4636321550061</v>
      </c>
      <c r="G319" s="2">
        <f t="shared" si="13"/>
        <v>0.49206932422062</v>
      </c>
      <c r="H319" s="3">
        <f>E319*Lambda-D319</f>
        <v>276488.43730580306</v>
      </c>
      <c r="I319" s="3">
        <f>C319*Lambda-B319</f>
        <v>260595.43472692702</v>
      </c>
      <c r="J319">
        <f t="shared" si="14"/>
        <v>1</v>
      </c>
      <c r="M319">
        <v>31500</v>
      </c>
      <c r="N319">
        <v>0.998</v>
      </c>
      <c r="O319">
        <v>2.0000000000000018E-3</v>
      </c>
    </row>
    <row r="320" spans="1:15" x14ac:dyDescent="0.25">
      <c r="A320">
        <v>317</v>
      </c>
      <c r="B320" s="3">
        <f>NoMTC!K318</f>
        <v>126980.162013273</v>
      </c>
      <c r="C320" s="2">
        <f>NoMTC!I318</f>
        <v>7.0988377857665901</v>
      </c>
      <c r="D320" s="3">
        <f>MTC!K318</f>
        <v>134530.08644692399</v>
      </c>
      <c r="E320" s="2">
        <f>MTC!I318</f>
        <v>7.5064052445111198</v>
      </c>
      <c r="F320" s="2">
        <f t="shared" si="12"/>
        <v>7549.9244336509873</v>
      </c>
      <c r="G320" s="2">
        <f t="shared" si="13"/>
        <v>0.40756745874452971</v>
      </c>
      <c r="H320" s="3">
        <f>E320*Lambda-D320</f>
        <v>240790.17577863202</v>
      </c>
      <c r="I320" s="3">
        <f>C320*Lambda-B320</f>
        <v>227961.72727505653</v>
      </c>
      <c r="J320">
        <f t="shared" si="14"/>
        <v>1</v>
      </c>
      <c r="M320">
        <v>31600</v>
      </c>
      <c r="N320">
        <v>0.998</v>
      </c>
      <c r="O320">
        <v>2.0000000000000018E-3</v>
      </c>
    </row>
    <row r="321" spans="1:15" x14ac:dyDescent="0.25">
      <c r="A321">
        <v>318</v>
      </c>
      <c r="B321" s="3">
        <f>NoMTC!K319</f>
        <v>116488.71695333</v>
      </c>
      <c r="C321" s="2">
        <f>NoMTC!I319</f>
        <v>8.3451709937313296</v>
      </c>
      <c r="D321" s="3">
        <f>MTC!K319</f>
        <v>122966.037749293</v>
      </c>
      <c r="E321" s="2">
        <f>MTC!I319</f>
        <v>8.7628556636669099</v>
      </c>
      <c r="F321" s="2">
        <f t="shared" si="12"/>
        <v>6477.3207959629945</v>
      </c>
      <c r="G321" s="2">
        <f t="shared" si="13"/>
        <v>0.41768466993558029</v>
      </c>
      <c r="H321" s="3">
        <f>E321*Lambda-D321</f>
        <v>315176.74543405254</v>
      </c>
      <c r="I321" s="3">
        <f>C321*Lambda-B321</f>
        <v>300769.83273323649</v>
      </c>
      <c r="J321">
        <f t="shared" si="14"/>
        <v>1</v>
      </c>
      <c r="M321">
        <v>31700</v>
      </c>
      <c r="N321">
        <v>0.998</v>
      </c>
      <c r="O321">
        <v>2.0000000000000018E-3</v>
      </c>
    </row>
    <row r="322" spans="1:15" x14ac:dyDescent="0.25">
      <c r="A322">
        <v>319</v>
      </c>
      <c r="B322" s="3">
        <f>NoMTC!K320</f>
        <v>91564.050110841505</v>
      </c>
      <c r="C322" s="2">
        <f>NoMTC!I320</f>
        <v>7.81855595559019</v>
      </c>
      <c r="D322" s="3">
        <f>MTC!K320</f>
        <v>98863.537770138195</v>
      </c>
      <c r="E322" s="2">
        <f>MTC!I320</f>
        <v>8.45579822832471</v>
      </c>
      <c r="F322" s="2">
        <f t="shared" si="12"/>
        <v>7299.4876592966903</v>
      </c>
      <c r="G322" s="2">
        <f t="shared" si="13"/>
        <v>0.63724227273451994</v>
      </c>
      <c r="H322" s="3">
        <f>E322*Lambda-D322</f>
        <v>323926.37364609732</v>
      </c>
      <c r="I322" s="3">
        <f>C322*Lambda-B322</f>
        <v>299363.74766866799</v>
      </c>
      <c r="J322">
        <f t="shared" si="14"/>
        <v>1</v>
      </c>
      <c r="M322">
        <v>31800</v>
      </c>
      <c r="N322">
        <v>0.998</v>
      </c>
      <c r="O322">
        <v>2.0000000000000018E-3</v>
      </c>
    </row>
    <row r="323" spans="1:15" x14ac:dyDescent="0.25">
      <c r="A323">
        <v>320</v>
      </c>
      <c r="B323" s="3">
        <f>NoMTC!K321</f>
        <v>101582.973634437</v>
      </c>
      <c r="C323" s="2">
        <f>NoMTC!I321</f>
        <v>7.5388734312302201</v>
      </c>
      <c r="D323" s="3">
        <f>MTC!K321</f>
        <v>106587.945597265</v>
      </c>
      <c r="E323" s="2">
        <f>MTC!I321</f>
        <v>7.8744837584869902</v>
      </c>
      <c r="F323" s="2">
        <f t="shared" si="12"/>
        <v>5004.971962828</v>
      </c>
      <c r="G323" s="2">
        <f t="shared" si="13"/>
        <v>0.33561032725677009</v>
      </c>
      <c r="H323" s="3">
        <f>E323*Lambda-D323</f>
        <v>287136.24232708453</v>
      </c>
      <c r="I323" s="3">
        <f>C323*Lambda-B323</f>
        <v>275360.69792707398</v>
      </c>
      <c r="J323">
        <f t="shared" si="14"/>
        <v>1</v>
      </c>
      <c r="M323">
        <v>31900</v>
      </c>
      <c r="N323">
        <v>0.998</v>
      </c>
      <c r="O323">
        <v>2.0000000000000018E-3</v>
      </c>
    </row>
    <row r="324" spans="1:15" x14ac:dyDescent="0.25">
      <c r="A324">
        <v>321</v>
      </c>
      <c r="B324" s="3">
        <f>NoMTC!K322</f>
        <v>117755.854215531</v>
      </c>
      <c r="C324" s="2">
        <f>NoMTC!I322</f>
        <v>7.3657769017692996</v>
      </c>
      <c r="D324" s="3">
        <f>MTC!K322</f>
        <v>126929.91068417</v>
      </c>
      <c r="E324" s="2">
        <f>MTC!I322</f>
        <v>7.8989013429977497</v>
      </c>
      <c r="F324" s="2">
        <f t="shared" si="12"/>
        <v>9174.0564686389989</v>
      </c>
      <c r="G324" s="2">
        <f t="shared" si="13"/>
        <v>0.53312444122845015</v>
      </c>
      <c r="H324" s="3">
        <f>E324*Lambda-D324</f>
        <v>268015.15646571747</v>
      </c>
      <c r="I324" s="3">
        <f>C324*Lambda-B324</f>
        <v>250532.99087293397</v>
      </c>
      <c r="J324">
        <f t="shared" si="14"/>
        <v>1</v>
      </c>
      <c r="M324">
        <v>32000</v>
      </c>
      <c r="N324">
        <v>0.998</v>
      </c>
      <c r="O324">
        <v>2.0000000000000018E-3</v>
      </c>
    </row>
    <row r="325" spans="1:15" x14ac:dyDescent="0.25">
      <c r="A325">
        <v>322</v>
      </c>
      <c r="B325" s="3">
        <f>NoMTC!K323</f>
        <v>108008.26664447</v>
      </c>
      <c r="C325" s="2">
        <f>NoMTC!I323</f>
        <v>7.8892464221167504</v>
      </c>
      <c r="D325" s="3">
        <f>MTC!K323</f>
        <v>114196.76522965101</v>
      </c>
      <c r="E325" s="2">
        <f>MTC!I323</f>
        <v>8.3624236529792295</v>
      </c>
      <c r="F325" s="2">
        <f t="shared" ref="F325:F388" si="15">D325-B325</f>
        <v>6188.4985851810052</v>
      </c>
      <c r="G325" s="2">
        <f t="shared" ref="G325:G388" si="16">E325-C325</f>
        <v>0.47317723086247909</v>
      </c>
      <c r="H325" s="3">
        <f>E325*Lambda-D325</f>
        <v>303924.41741931048</v>
      </c>
      <c r="I325" s="3">
        <f>C325*Lambda-B325</f>
        <v>286454.05446136754</v>
      </c>
      <c r="J325">
        <f t="shared" ref="J325:J388" si="17">IF(H325=MAX(H325:I325),1,0)</f>
        <v>1</v>
      </c>
      <c r="M325">
        <v>32100</v>
      </c>
      <c r="N325">
        <v>0.998</v>
      </c>
      <c r="O325">
        <v>2.0000000000000018E-3</v>
      </c>
    </row>
    <row r="326" spans="1:15" x14ac:dyDescent="0.25">
      <c r="A326">
        <v>323</v>
      </c>
      <c r="B326" s="3">
        <f>NoMTC!K324</f>
        <v>118959.829827614</v>
      </c>
      <c r="C326" s="2">
        <f>NoMTC!I324</f>
        <v>7.3491863154735304</v>
      </c>
      <c r="D326" s="3">
        <f>MTC!K324</f>
        <v>125268.834962512</v>
      </c>
      <c r="E326" s="2">
        <f>MTC!I324</f>
        <v>7.7268844171524798</v>
      </c>
      <c r="F326" s="2">
        <f t="shared" si="15"/>
        <v>6309.0051348980051</v>
      </c>
      <c r="G326" s="2">
        <f t="shared" si="16"/>
        <v>0.37769810167894935</v>
      </c>
      <c r="H326" s="3">
        <f>E326*Lambda-D326</f>
        <v>261075.38589511195</v>
      </c>
      <c r="I326" s="3">
        <f>C326*Lambda-B326</f>
        <v>248499.48594606249</v>
      </c>
      <c r="J326">
        <f t="shared" si="17"/>
        <v>1</v>
      </c>
      <c r="M326">
        <v>32200</v>
      </c>
      <c r="N326">
        <v>0.998</v>
      </c>
      <c r="O326">
        <v>2.0000000000000018E-3</v>
      </c>
    </row>
    <row r="327" spans="1:15" x14ac:dyDescent="0.25">
      <c r="A327">
        <v>324</v>
      </c>
      <c r="B327" s="3">
        <f>NoMTC!K325</f>
        <v>148214.77899294099</v>
      </c>
      <c r="C327" s="2">
        <f>NoMTC!I325</f>
        <v>8.0529475978339207</v>
      </c>
      <c r="D327" s="3">
        <f>MTC!K325</f>
        <v>155094.15185738099</v>
      </c>
      <c r="E327" s="2">
        <f>MTC!I325</f>
        <v>8.3906550805220395</v>
      </c>
      <c r="F327" s="2">
        <f t="shared" si="15"/>
        <v>6879.3728644399962</v>
      </c>
      <c r="G327" s="2">
        <f t="shared" si="16"/>
        <v>0.33770748268811879</v>
      </c>
      <c r="H327" s="3">
        <f>E327*Lambda-D327</f>
        <v>264438.60216872097</v>
      </c>
      <c r="I327" s="3">
        <f>C327*Lambda-B327</f>
        <v>254432.60089875504</v>
      </c>
      <c r="J327">
        <f t="shared" si="17"/>
        <v>1</v>
      </c>
      <c r="M327">
        <v>32300</v>
      </c>
      <c r="N327">
        <v>0.998</v>
      </c>
      <c r="O327">
        <v>2.0000000000000018E-3</v>
      </c>
    </row>
    <row r="328" spans="1:15" x14ac:dyDescent="0.25">
      <c r="A328">
        <v>325</v>
      </c>
      <c r="B328" s="3">
        <f>NoMTC!K326</f>
        <v>146030.41932011399</v>
      </c>
      <c r="C328" s="2">
        <f>NoMTC!I326</f>
        <v>9.0801425777247609</v>
      </c>
      <c r="D328" s="3">
        <f>MTC!K326</f>
        <v>154044.16184296701</v>
      </c>
      <c r="E328" s="2">
        <f>MTC!I326</f>
        <v>9.5922775549197503</v>
      </c>
      <c r="F328" s="2">
        <f t="shared" si="15"/>
        <v>8013.7425228530192</v>
      </c>
      <c r="G328" s="2">
        <f t="shared" si="16"/>
        <v>0.51213497719498946</v>
      </c>
      <c r="H328" s="3">
        <f>E328*Lambda-D328</f>
        <v>325569.71590302046</v>
      </c>
      <c r="I328" s="3">
        <f>C328*Lambda-B328</f>
        <v>307976.70956612402</v>
      </c>
      <c r="J328">
        <f t="shared" si="17"/>
        <v>1</v>
      </c>
      <c r="M328">
        <v>32400</v>
      </c>
      <c r="N328">
        <v>0.998</v>
      </c>
      <c r="O328">
        <v>2.0000000000000018E-3</v>
      </c>
    </row>
    <row r="329" spans="1:15" x14ac:dyDescent="0.25">
      <c r="A329">
        <v>326</v>
      </c>
      <c r="B329" s="3">
        <f>NoMTC!K327</f>
        <v>96245.696961528898</v>
      </c>
      <c r="C329" s="2">
        <f>NoMTC!I327</f>
        <v>7.35147277976455</v>
      </c>
      <c r="D329" s="3">
        <f>MTC!K327</f>
        <v>99522.836093402497</v>
      </c>
      <c r="E329" s="2">
        <f>MTC!I327</f>
        <v>7.60746457048353</v>
      </c>
      <c r="F329" s="2">
        <f t="shared" si="15"/>
        <v>3277.1391318735987</v>
      </c>
      <c r="G329" s="2">
        <f t="shared" si="16"/>
        <v>0.25599179071897993</v>
      </c>
      <c r="H329" s="3">
        <f>E329*Lambda-D329</f>
        <v>280850.39243077405</v>
      </c>
      <c r="I329" s="3">
        <f>C329*Lambda-B329</f>
        <v>271327.94202669861</v>
      </c>
      <c r="J329">
        <f t="shared" si="17"/>
        <v>1</v>
      </c>
      <c r="M329">
        <v>32500</v>
      </c>
      <c r="N329">
        <v>0.998</v>
      </c>
      <c r="O329">
        <v>2.0000000000000018E-3</v>
      </c>
    </row>
    <row r="330" spans="1:15" x14ac:dyDescent="0.25">
      <c r="A330">
        <v>327</v>
      </c>
      <c r="B330" s="3">
        <f>NoMTC!K328</f>
        <v>135676.02272642299</v>
      </c>
      <c r="C330" s="2">
        <f>NoMTC!I328</f>
        <v>6.7045650097325202</v>
      </c>
      <c r="D330" s="3">
        <f>MTC!K328</f>
        <v>142249.33021659101</v>
      </c>
      <c r="E330" s="2">
        <f>MTC!I328</f>
        <v>7.0002433843304299</v>
      </c>
      <c r="F330" s="2">
        <f t="shared" si="15"/>
        <v>6573.3074901680229</v>
      </c>
      <c r="G330" s="2">
        <f t="shared" si="16"/>
        <v>0.29567837459790969</v>
      </c>
      <c r="H330" s="3">
        <f>E330*Lambda-D330</f>
        <v>207762.83899993048</v>
      </c>
      <c r="I330" s="3">
        <f>C330*Lambda-B330</f>
        <v>199552.22776020301</v>
      </c>
      <c r="J330">
        <f t="shared" si="17"/>
        <v>1</v>
      </c>
      <c r="M330">
        <v>32600</v>
      </c>
      <c r="N330">
        <v>0.998</v>
      </c>
      <c r="O330">
        <v>2.0000000000000018E-3</v>
      </c>
    </row>
    <row r="331" spans="1:15" x14ac:dyDescent="0.25">
      <c r="A331">
        <v>328</v>
      </c>
      <c r="B331" s="3">
        <f>NoMTC!K329</f>
        <v>104929.602364315</v>
      </c>
      <c r="C331" s="2">
        <f>NoMTC!I329</f>
        <v>6.8437033262881002</v>
      </c>
      <c r="D331" s="3">
        <f>MTC!K329</f>
        <v>112694.18962644201</v>
      </c>
      <c r="E331" s="2">
        <f>MTC!I329</f>
        <v>7.3913324166109904</v>
      </c>
      <c r="F331" s="2">
        <f t="shared" si="15"/>
        <v>7764.58726212701</v>
      </c>
      <c r="G331" s="2">
        <f t="shared" si="16"/>
        <v>0.5476290903228902</v>
      </c>
      <c r="H331" s="3">
        <f>E331*Lambda-D331</f>
        <v>256872.4312041075</v>
      </c>
      <c r="I331" s="3">
        <f>C331*Lambda-B331</f>
        <v>237255.56395008997</v>
      </c>
      <c r="J331">
        <f t="shared" si="17"/>
        <v>1</v>
      </c>
      <c r="M331">
        <v>32700</v>
      </c>
      <c r="N331">
        <v>0.998</v>
      </c>
      <c r="O331">
        <v>2.0000000000000018E-3</v>
      </c>
    </row>
    <row r="332" spans="1:15" x14ac:dyDescent="0.25">
      <c r="A332">
        <v>329</v>
      </c>
      <c r="B332" s="3">
        <f>NoMTC!K330</f>
        <v>115495.542065499</v>
      </c>
      <c r="C332" s="2">
        <f>NoMTC!I330</f>
        <v>8.3884840436812098</v>
      </c>
      <c r="D332" s="3">
        <f>MTC!K330</f>
        <v>122792.89390144301</v>
      </c>
      <c r="E332" s="2">
        <f>MTC!I330</f>
        <v>8.9013042684514296</v>
      </c>
      <c r="F332" s="2">
        <f t="shared" si="15"/>
        <v>7297.3518359440059</v>
      </c>
      <c r="G332" s="2">
        <f t="shared" si="16"/>
        <v>0.51282022477021982</v>
      </c>
      <c r="H332" s="3">
        <f>E332*Lambda-D332</f>
        <v>322272.31952112849</v>
      </c>
      <c r="I332" s="3">
        <f>C332*Lambda-B332</f>
        <v>303928.66011856147</v>
      </c>
      <c r="J332">
        <f t="shared" si="17"/>
        <v>1</v>
      </c>
      <c r="M332">
        <v>32800</v>
      </c>
      <c r="N332">
        <v>0.998</v>
      </c>
      <c r="O332">
        <v>2.0000000000000018E-3</v>
      </c>
    </row>
    <row r="333" spans="1:15" x14ac:dyDescent="0.25">
      <c r="A333">
        <v>330</v>
      </c>
      <c r="B333" s="3">
        <f>NoMTC!K331</f>
        <v>92420.365829985007</v>
      </c>
      <c r="C333" s="2">
        <f>NoMTC!I331</f>
        <v>7.9194091979694603</v>
      </c>
      <c r="D333" s="3">
        <f>MTC!K331</f>
        <v>94721.826504585202</v>
      </c>
      <c r="E333" s="2">
        <f>MTC!I331</f>
        <v>8.1265404413740701</v>
      </c>
      <c r="F333" s="2">
        <f t="shared" si="15"/>
        <v>2301.4606746001955</v>
      </c>
      <c r="G333" s="2">
        <f t="shared" si="16"/>
        <v>0.20713124340460976</v>
      </c>
      <c r="H333" s="3">
        <f>E333*Lambda-D333</f>
        <v>311605.19556411827</v>
      </c>
      <c r="I333" s="3">
        <f>C333*Lambda-B333</f>
        <v>303550.09406848799</v>
      </c>
      <c r="J333">
        <f t="shared" si="17"/>
        <v>1</v>
      </c>
      <c r="M333">
        <v>32900</v>
      </c>
      <c r="N333">
        <v>0.998</v>
      </c>
      <c r="O333">
        <v>2.0000000000000018E-3</v>
      </c>
    </row>
    <row r="334" spans="1:15" x14ac:dyDescent="0.25">
      <c r="A334">
        <v>331</v>
      </c>
      <c r="B334" s="3">
        <f>NoMTC!K332</f>
        <v>102180.96608036599</v>
      </c>
      <c r="C334" s="2">
        <f>NoMTC!I332</f>
        <v>7.1644009653791896</v>
      </c>
      <c r="D334" s="3">
        <f>MTC!K332</f>
        <v>111470.035015656</v>
      </c>
      <c r="E334" s="2">
        <f>MTC!I332</f>
        <v>7.8298742822505902</v>
      </c>
      <c r="F334" s="2">
        <f t="shared" si="15"/>
        <v>9289.0689352900081</v>
      </c>
      <c r="G334" s="2">
        <f t="shared" si="16"/>
        <v>0.66547331687140066</v>
      </c>
      <c r="H334" s="3">
        <f>E334*Lambda-D334</f>
        <v>280023.6790968735</v>
      </c>
      <c r="I334" s="3">
        <f>C334*Lambda-B334</f>
        <v>256039.08218859346</v>
      </c>
      <c r="J334">
        <f t="shared" si="17"/>
        <v>1</v>
      </c>
      <c r="M334">
        <v>33000</v>
      </c>
      <c r="N334">
        <v>0.998</v>
      </c>
      <c r="O334">
        <v>2.0000000000000018E-3</v>
      </c>
    </row>
    <row r="335" spans="1:15" x14ac:dyDescent="0.25">
      <c r="A335">
        <v>332</v>
      </c>
      <c r="B335" s="3">
        <f>NoMTC!K333</f>
        <v>124265.51474986</v>
      </c>
      <c r="C335" s="2">
        <f>NoMTC!I333</f>
        <v>7.9775987546323801</v>
      </c>
      <c r="D335" s="3">
        <f>MTC!K333</f>
        <v>133694.096583751</v>
      </c>
      <c r="E335" s="2">
        <f>MTC!I333</f>
        <v>8.5802379167917007</v>
      </c>
      <c r="F335" s="2">
        <f t="shared" si="15"/>
        <v>9428.581833891003</v>
      </c>
      <c r="G335" s="2">
        <f t="shared" si="16"/>
        <v>0.60263916215932056</v>
      </c>
      <c r="H335" s="3">
        <f>E335*Lambda-D335</f>
        <v>295317.79925583408</v>
      </c>
      <c r="I335" s="3">
        <f>C335*Lambda-B335</f>
        <v>274614.42298175901</v>
      </c>
      <c r="J335">
        <f t="shared" si="17"/>
        <v>1</v>
      </c>
      <c r="M335">
        <v>33100</v>
      </c>
      <c r="N335">
        <v>0.998</v>
      </c>
      <c r="O335">
        <v>2.0000000000000018E-3</v>
      </c>
    </row>
    <row r="336" spans="1:15" x14ac:dyDescent="0.25">
      <c r="A336">
        <v>333</v>
      </c>
      <c r="B336" s="3">
        <f>NoMTC!K334</f>
        <v>97416.542370303301</v>
      </c>
      <c r="C336" s="2">
        <f>NoMTC!I334</f>
        <v>7.91448799036342</v>
      </c>
      <c r="D336" s="3">
        <f>MTC!K334</f>
        <v>99820.383203577003</v>
      </c>
      <c r="E336" s="2">
        <f>MTC!I334</f>
        <v>8.1123208777789895</v>
      </c>
      <c r="F336" s="2">
        <f t="shared" si="15"/>
        <v>2403.8408332737017</v>
      </c>
      <c r="G336" s="2">
        <f t="shared" si="16"/>
        <v>0.19783288741556948</v>
      </c>
      <c r="H336" s="3">
        <f>E336*Lambda-D336</f>
        <v>305795.66068537248</v>
      </c>
      <c r="I336" s="3">
        <f>C336*Lambda-B336</f>
        <v>298307.85714786767</v>
      </c>
      <c r="J336">
        <f t="shared" si="17"/>
        <v>1</v>
      </c>
      <c r="M336">
        <v>33200</v>
      </c>
      <c r="N336">
        <v>0.998</v>
      </c>
      <c r="O336">
        <v>2.0000000000000018E-3</v>
      </c>
    </row>
    <row r="337" spans="1:15" x14ac:dyDescent="0.25">
      <c r="A337">
        <v>334</v>
      </c>
      <c r="B337" s="3">
        <f>NoMTC!K335</f>
        <v>160020.04871681301</v>
      </c>
      <c r="C337" s="2">
        <f>NoMTC!I335</f>
        <v>8.6250227365165504</v>
      </c>
      <c r="D337" s="3">
        <f>MTC!K335</f>
        <v>168112.71322879501</v>
      </c>
      <c r="E337" s="2">
        <f>MTC!I335</f>
        <v>9.0554541361557792</v>
      </c>
      <c r="F337" s="2">
        <f t="shared" si="15"/>
        <v>8092.6645119820023</v>
      </c>
      <c r="G337" s="2">
        <f t="shared" si="16"/>
        <v>0.43043139963922883</v>
      </c>
      <c r="H337" s="3">
        <f>E337*Lambda-D337</f>
        <v>284659.99357899395</v>
      </c>
      <c r="I337" s="3">
        <f>C337*Lambda-B337</f>
        <v>271231.08810901456</v>
      </c>
      <c r="J337">
        <f t="shared" si="17"/>
        <v>1</v>
      </c>
      <c r="M337">
        <v>33300</v>
      </c>
      <c r="N337">
        <v>0.998</v>
      </c>
      <c r="O337">
        <v>2.0000000000000018E-3</v>
      </c>
    </row>
    <row r="338" spans="1:15" x14ac:dyDescent="0.25">
      <c r="A338">
        <v>335</v>
      </c>
      <c r="B338" s="3">
        <f>NoMTC!K336</f>
        <v>136807.656355404</v>
      </c>
      <c r="C338" s="2">
        <f>NoMTC!I336</f>
        <v>9.1169607324562705</v>
      </c>
      <c r="D338" s="3">
        <f>MTC!K336</f>
        <v>145419.94016938499</v>
      </c>
      <c r="E338" s="2">
        <f>MTC!I336</f>
        <v>9.6466053907265099</v>
      </c>
      <c r="F338" s="2">
        <f t="shared" si="15"/>
        <v>8612.2838139809901</v>
      </c>
      <c r="G338" s="2">
        <f t="shared" si="16"/>
        <v>0.52964465827023943</v>
      </c>
      <c r="H338" s="3">
        <f>E338*Lambda-D338</f>
        <v>336910.32936694048</v>
      </c>
      <c r="I338" s="3">
        <f>C338*Lambda-B338</f>
        <v>319040.38026740949</v>
      </c>
      <c r="J338">
        <f t="shared" si="17"/>
        <v>1</v>
      </c>
      <c r="M338">
        <v>33400</v>
      </c>
      <c r="N338">
        <v>0.998</v>
      </c>
      <c r="O338">
        <v>2.0000000000000018E-3</v>
      </c>
    </row>
    <row r="339" spans="1:15" x14ac:dyDescent="0.25">
      <c r="A339">
        <v>336</v>
      </c>
      <c r="B339" s="3">
        <f>NoMTC!K337</f>
        <v>89579.875111504007</v>
      </c>
      <c r="C339" s="2">
        <f>NoMTC!I337</f>
        <v>7.2164680364279397</v>
      </c>
      <c r="D339" s="3">
        <f>MTC!K337</f>
        <v>97365.548871334395</v>
      </c>
      <c r="E339" s="2">
        <f>MTC!I337</f>
        <v>7.85131670757906</v>
      </c>
      <c r="F339" s="2">
        <f t="shared" si="15"/>
        <v>7785.673759830388</v>
      </c>
      <c r="G339" s="2">
        <f t="shared" si="16"/>
        <v>0.63484867115112031</v>
      </c>
      <c r="H339" s="3">
        <f>E339*Lambda-D339</f>
        <v>295200.28650761861</v>
      </c>
      <c r="I339" s="3">
        <f>C339*Lambda-B339</f>
        <v>271243.52670989296</v>
      </c>
      <c r="J339">
        <f t="shared" si="17"/>
        <v>1</v>
      </c>
      <c r="M339">
        <v>33500</v>
      </c>
      <c r="N339">
        <v>0.998</v>
      </c>
      <c r="O339">
        <v>2.0000000000000018E-3</v>
      </c>
    </row>
    <row r="340" spans="1:15" x14ac:dyDescent="0.25">
      <c r="A340">
        <v>337</v>
      </c>
      <c r="B340" s="3">
        <f>NoMTC!K338</f>
        <v>112085.199196817</v>
      </c>
      <c r="C340" s="2">
        <f>NoMTC!I338</f>
        <v>7.10905980556893</v>
      </c>
      <c r="D340" s="3">
        <f>MTC!K338</f>
        <v>119560.99598273</v>
      </c>
      <c r="E340" s="2">
        <f>MTC!I338</f>
        <v>7.5764217048655702</v>
      </c>
      <c r="F340" s="2">
        <f t="shared" si="15"/>
        <v>7475.7967859130003</v>
      </c>
      <c r="G340" s="2">
        <f t="shared" si="16"/>
        <v>0.46736189929664018</v>
      </c>
      <c r="H340" s="3">
        <f>E340*Lambda-D340</f>
        <v>259260.08926054853</v>
      </c>
      <c r="I340" s="3">
        <f>C340*Lambda-B340</f>
        <v>243367.79108162952</v>
      </c>
      <c r="J340">
        <f t="shared" si="17"/>
        <v>1</v>
      </c>
      <c r="M340">
        <v>33600</v>
      </c>
      <c r="N340">
        <v>0.998</v>
      </c>
      <c r="O340">
        <v>2.0000000000000018E-3</v>
      </c>
    </row>
    <row r="341" spans="1:15" x14ac:dyDescent="0.25">
      <c r="A341">
        <v>338</v>
      </c>
      <c r="B341" s="3">
        <f>NoMTC!K339</f>
        <v>111100.46046135999</v>
      </c>
      <c r="C341" s="2">
        <f>NoMTC!I339</f>
        <v>7.9487625567221798</v>
      </c>
      <c r="D341" s="3">
        <f>MTC!K339</f>
        <v>117350.95219733501</v>
      </c>
      <c r="E341" s="2">
        <f>MTC!I339</f>
        <v>8.3801739541075104</v>
      </c>
      <c r="F341" s="2">
        <f t="shared" si="15"/>
        <v>6250.4917359750107</v>
      </c>
      <c r="G341" s="2">
        <f t="shared" si="16"/>
        <v>0.43141139738533063</v>
      </c>
      <c r="H341" s="3">
        <f>E341*Lambda-D341</f>
        <v>301657.74550804048</v>
      </c>
      <c r="I341" s="3">
        <f>C341*Lambda-B341</f>
        <v>286337.66737474897</v>
      </c>
      <c r="J341">
        <f t="shared" si="17"/>
        <v>1</v>
      </c>
      <c r="M341">
        <v>33700</v>
      </c>
      <c r="N341">
        <v>0.998</v>
      </c>
      <c r="O341">
        <v>2.0000000000000018E-3</v>
      </c>
    </row>
    <row r="342" spans="1:15" x14ac:dyDescent="0.25">
      <c r="A342">
        <v>339</v>
      </c>
      <c r="B342" s="3">
        <f>NoMTC!K340</f>
        <v>147802.573475143</v>
      </c>
      <c r="C342" s="2">
        <f>NoMTC!I340</f>
        <v>7.8442191608916403</v>
      </c>
      <c r="D342" s="3">
        <f>MTC!K340</f>
        <v>154323.188228327</v>
      </c>
      <c r="E342" s="2">
        <f>MTC!I340</f>
        <v>8.1449995847372794</v>
      </c>
      <c r="F342" s="2">
        <f t="shared" si="15"/>
        <v>6520.6147531839961</v>
      </c>
      <c r="G342" s="2">
        <f t="shared" si="16"/>
        <v>0.30078042384563908</v>
      </c>
      <c r="H342" s="3">
        <f>E342*Lambda-D342</f>
        <v>252926.79100853697</v>
      </c>
      <c r="I342" s="3">
        <f>C342*Lambda-B342</f>
        <v>244408.38456943899</v>
      </c>
      <c r="J342">
        <f t="shared" si="17"/>
        <v>1</v>
      </c>
      <c r="M342">
        <v>33800</v>
      </c>
      <c r="N342">
        <v>0.998</v>
      </c>
      <c r="O342">
        <v>2.0000000000000018E-3</v>
      </c>
    </row>
    <row r="343" spans="1:15" x14ac:dyDescent="0.25">
      <c r="A343">
        <v>340</v>
      </c>
      <c r="B343" s="3">
        <f>NoMTC!K341</f>
        <v>98442.752158530493</v>
      </c>
      <c r="C343" s="2">
        <f>NoMTC!I341</f>
        <v>8.1451396174916102</v>
      </c>
      <c r="D343" s="3">
        <f>MTC!K341</f>
        <v>102652.933690333</v>
      </c>
      <c r="E343" s="2">
        <f>MTC!I341</f>
        <v>8.5160516579368704</v>
      </c>
      <c r="F343" s="2">
        <f t="shared" si="15"/>
        <v>4210.1815318025037</v>
      </c>
      <c r="G343" s="2">
        <f t="shared" si="16"/>
        <v>0.37091204044526016</v>
      </c>
      <c r="H343" s="3">
        <f>E343*Lambda-D343</f>
        <v>323149.64920651051</v>
      </c>
      <c r="I343" s="3">
        <f>C343*Lambda-B343</f>
        <v>308814.22871605004</v>
      </c>
      <c r="J343">
        <f t="shared" si="17"/>
        <v>1</v>
      </c>
      <c r="M343">
        <v>33900</v>
      </c>
      <c r="N343">
        <v>0.998</v>
      </c>
      <c r="O343">
        <v>2.0000000000000018E-3</v>
      </c>
    </row>
    <row r="344" spans="1:15" x14ac:dyDescent="0.25">
      <c r="A344">
        <v>341</v>
      </c>
      <c r="B344" s="3">
        <f>NoMTC!K342</f>
        <v>107696.237733085</v>
      </c>
      <c r="C344" s="2">
        <f>NoMTC!I342</f>
        <v>7.4397354147885304</v>
      </c>
      <c r="D344" s="3">
        <f>MTC!K342</f>
        <v>112726.92563840401</v>
      </c>
      <c r="E344" s="2">
        <f>MTC!I342</f>
        <v>7.8055388404685502</v>
      </c>
      <c r="F344" s="2">
        <f t="shared" si="15"/>
        <v>5030.6879053190059</v>
      </c>
      <c r="G344" s="2">
        <f t="shared" si="16"/>
        <v>0.36580342568001978</v>
      </c>
      <c r="H344" s="3">
        <f>E344*Lambda-D344</f>
        <v>277550.01638502348</v>
      </c>
      <c r="I344" s="3">
        <f>C344*Lambda-B344</f>
        <v>264290.53300634155</v>
      </c>
      <c r="J344">
        <f t="shared" si="17"/>
        <v>1</v>
      </c>
      <c r="M344">
        <v>34000</v>
      </c>
      <c r="N344">
        <v>0.998</v>
      </c>
      <c r="O344">
        <v>2.0000000000000018E-3</v>
      </c>
    </row>
    <row r="345" spans="1:15" x14ac:dyDescent="0.25">
      <c r="A345">
        <v>342</v>
      </c>
      <c r="B345" s="3">
        <f>NoMTC!K343</f>
        <v>141747.727391422</v>
      </c>
      <c r="C345" s="2">
        <f>NoMTC!I343</f>
        <v>7.7563797932159497</v>
      </c>
      <c r="D345" s="3">
        <f>MTC!K343</f>
        <v>148429.80261322099</v>
      </c>
      <c r="E345" s="2">
        <f>MTC!I343</f>
        <v>8.1040177828067002</v>
      </c>
      <c r="F345" s="2">
        <f t="shared" si="15"/>
        <v>6682.0752217989939</v>
      </c>
      <c r="G345" s="2">
        <f t="shared" si="16"/>
        <v>0.34763798959075043</v>
      </c>
      <c r="H345" s="3">
        <f>E345*Lambda-D345</f>
        <v>256771.08652711404</v>
      </c>
      <c r="I345" s="3">
        <f>C345*Lambda-B345</f>
        <v>246071.26226937547</v>
      </c>
      <c r="J345">
        <f t="shared" si="17"/>
        <v>1</v>
      </c>
      <c r="M345">
        <v>34100</v>
      </c>
      <c r="N345">
        <v>0.998</v>
      </c>
      <c r="O345">
        <v>2.0000000000000018E-3</v>
      </c>
    </row>
    <row r="346" spans="1:15" x14ac:dyDescent="0.25">
      <c r="A346">
        <v>343</v>
      </c>
      <c r="B346" s="3">
        <f>NoMTC!K344</f>
        <v>117515.580140972</v>
      </c>
      <c r="C346" s="2">
        <f>NoMTC!I344</f>
        <v>6.8601610025641904</v>
      </c>
      <c r="D346" s="3">
        <f>MTC!K344</f>
        <v>121813.05647183199</v>
      </c>
      <c r="E346" s="2">
        <f>MTC!I344</f>
        <v>7.1434175578027297</v>
      </c>
      <c r="F346" s="2">
        <f t="shared" si="15"/>
        <v>4297.4763308599941</v>
      </c>
      <c r="G346" s="2">
        <f t="shared" si="16"/>
        <v>0.28325655523853932</v>
      </c>
      <c r="H346" s="3">
        <f>E346*Lambda-D346</f>
        <v>235357.82141830452</v>
      </c>
      <c r="I346" s="3">
        <f>C346*Lambda-B346</f>
        <v>225492.46998723753</v>
      </c>
      <c r="J346">
        <f t="shared" si="17"/>
        <v>1</v>
      </c>
      <c r="M346">
        <v>34200</v>
      </c>
      <c r="N346">
        <v>0.998</v>
      </c>
      <c r="O346">
        <v>2.0000000000000018E-3</v>
      </c>
    </row>
    <row r="347" spans="1:15" x14ac:dyDescent="0.25">
      <c r="A347">
        <v>344</v>
      </c>
      <c r="B347" s="3">
        <f>NoMTC!K345</f>
        <v>104138.073441649</v>
      </c>
      <c r="C347" s="2">
        <f>NoMTC!I345</f>
        <v>7.0044116644979404</v>
      </c>
      <c r="D347" s="3">
        <f>MTC!K345</f>
        <v>111405.093745698</v>
      </c>
      <c r="E347" s="2">
        <f>MTC!I345</f>
        <v>7.46948558008501</v>
      </c>
      <c r="F347" s="2">
        <f t="shared" si="15"/>
        <v>7267.0203040490014</v>
      </c>
      <c r="G347" s="2">
        <f t="shared" si="16"/>
        <v>0.46507391558706956</v>
      </c>
      <c r="H347" s="3">
        <f>E347*Lambda-D347</f>
        <v>262069.18525855249</v>
      </c>
      <c r="I347" s="3">
        <f>C347*Lambda-B347</f>
        <v>246082.50978324804</v>
      </c>
      <c r="J347">
        <f t="shared" si="17"/>
        <v>1</v>
      </c>
      <c r="M347">
        <v>34300</v>
      </c>
      <c r="N347">
        <v>0.998</v>
      </c>
      <c r="O347">
        <v>2.0000000000000018E-3</v>
      </c>
    </row>
    <row r="348" spans="1:15" x14ac:dyDescent="0.25">
      <c r="A348">
        <v>345</v>
      </c>
      <c r="B348" s="3">
        <f>NoMTC!K346</f>
        <v>118044.025346029</v>
      </c>
      <c r="C348" s="2">
        <f>NoMTC!I346</f>
        <v>6.8457597125738703</v>
      </c>
      <c r="D348" s="3">
        <f>MTC!K346</f>
        <v>123822.763189786</v>
      </c>
      <c r="E348" s="2">
        <f>MTC!I346</f>
        <v>7.1649508688547598</v>
      </c>
      <c r="F348" s="2">
        <f t="shared" si="15"/>
        <v>5778.7378437570005</v>
      </c>
      <c r="G348" s="2">
        <f t="shared" si="16"/>
        <v>0.31919115628088957</v>
      </c>
      <c r="H348" s="3">
        <f>E348*Lambda-D348</f>
        <v>234424.78025295201</v>
      </c>
      <c r="I348" s="3">
        <f>C348*Lambda-B348</f>
        <v>224243.96028266454</v>
      </c>
      <c r="J348">
        <f t="shared" si="17"/>
        <v>1</v>
      </c>
      <c r="M348">
        <v>34400</v>
      </c>
      <c r="N348">
        <v>0.998</v>
      </c>
      <c r="O348">
        <v>2.0000000000000018E-3</v>
      </c>
    </row>
    <row r="349" spans="1:15" x14ac:dyDescent="0.25">
      <c r="A349">
        <v>346</v>
      </c>
      <c r="B349" s="3">
        <f>NoMTC!K347</f>
        <v>119184.065084715</v>
      </c>
      <c r="C349" s="2">
        <f>NoMTC!I347</f>
        <v>7.8392885725624399</v>
      </c>
      <c r="D349" s="3">
        <f>MTC!K347</f>
        <v>128097.52745569</v>
      </c>
      <c r="E349" s="2">
        <f>MTC!I347</f>
        <v>8.4264909436445894</v>
      </c>
      <c r="F349" s="2">
        <f t="shared" si="15"/>
        <v>8913.4623709750012</v>
      </c>
      <c r="G349" s="2">
        <f t="shared" si="16"/>
        <v>0.58720237108214945</v>
      </c>
      <c r="H349" s="3">
        <f>E349*Lambda-D349</f>
        <v>293227.0197265395</v>
      </c>
      <c r="I349" s="3">
        <f>C349*Lambda-B349</f>
        <v>272780.36354340694</v>
      </c>
      <c r="J349">
        <f t="shared" si="17"/>
        <v>1</v>
      </c>
      <c r="M349">
        <v>34500</v>
      </c>
      <c r="N349">
        <v>0.998</v>
      </c>
      <c r="O349">
        <v>2.0000000000000018E-3</v>
      </c>
    </row>
    <row r="350" spans="1:15" x14ac:dyDescent="0.25">
      <c r="A350">
        <v>347</v>
      </c>
      <c r="B350" s="3">
        <f>NoMTC!K348</f>
        <v>110149.404221622</v>
      </c>
      <c r="C350" s="2">
        <f>NoMTC!I348</f>
        <v>8.2418724689452407</v>
      </c>
      <c r="D350" s="3">
        <f>MTC!K348</f>
        <v>115288.892535879</v>
      </c>
      <c r="E350" s="2">
        <f>MTC!I348</f>
        <v>8.6458309291814999</v>
      </c>
      <c r="F350" s="2">
        <f t="shared" si="15"/>
        <v>5139.4883142570034</v>
      </c>
      <c r="G350" s="2">
        <f t="shared" si="16"/>
        <v>0.40395846023625914</v>
      </c>
      <c r="H350" s="3">
        <f>E350*Lambda-D350</f>
        <v>317002.65392319602</v>
      </c>
      <c r="I350" s="3">
        <f>C350*Lambda-B350</f>
        <v>301944.21922564006</v>
      </c>
      <c r="J350">
        <f t="shared" si="17"/>
        <v>1</v>
      </c>
      <c r="M350">
        <v>34600</v>
      </c>
      <c r="N350">
        <v>0.998</v>
      </c>
      <c r="O350">
        <v>2.0000000000000018E-3</v>
      </c>
    </row>
    <row r="351" spans="1:15" x14ac:dyDescent="0.25">
      <c r="A351">
        <v>348</v>
      </c>
      <c r="B351" s="3">
        <f>NoMTC!K349</f>
        <v>113550.417695379</v>
      </c>
      <c r="C351" s="2">
        <f>NoMTC!I349</f>
        <v>7.0800311286741699</v>
      </c>
      <c r="D351" s="3">
        <f>MTC!K349</f>
        <v>117804.88326142399</v>
      </c>
      <c r="E351" s="2">
        <f>MTC!I349</f>
        <v>7.3644479877376998</v>
      </c>
      <c r="F351" s="2">
        <f t="shared" si="15"/>
        <v>4254.4655660449935</v>
      </c>
      <c r="G351" s="2">
        <f t="shared" si="16"/>
        <v>0.28441685906352987</v>
      </c>
      <c r="H351" s="3">
        <f>E351*Lambda-D351</f>
        <v>250417.516125461</v>
      </c>
      <c r="I351" s="3">
        <f>C351*Lambda-B351</f>
        <v>240451.13873832952</v>
      </c>
      <c r="J351">
        <f t="shared" si="17"/>
        <v>1</v>
      </c>
      <c r="M351">
        <v>34700</v>
      </c>
      <c r="N351">
        <v>0.998</v>
      </c>
      <c r="O351">
        <v>2.0000000000000018E-3</v>
      </c>
    </row>
    <row r="352" spans="1:15" x14ac:dyDescent="0.25">
      <c r="A352">
        <v>349</v>
      </c>
      <c r="B352" s="3">
        <f>NoMTC!K350</f>
        <v>128382.052085776</v>
      </c>
      <c r="C352" s="2">
        <f>NoMTC!I350</f>
        <v>7.4256696820686701</v>
      </c>
      <c r="D352" s="3">
        <f>MTC!K350</f>
        <v>133322.276738582</v>
      </c>
      <c r="E352" s="2">
        <f>MTC!I350</f>
        <v>7.7003518233110197</v>
      </c>
      <c r="F352" s="2">
        <f t="shared" si="15"/>
        <v>4940.2246528060059</v>
      </c>
      <c r="G352" s="2">
        <f t="shared" si="16"/>
        <v>0.27468214124234969</v>
      </c>
      <c r="H352" s="3">
        <f>E352*Lambda-D352</f>
        <v>251695.31442696898</v>
      </c>
      <c r="I352" s="3">
        <f>C352*Lambda-B352</f>
        <v>242901.4320176575</v>
      </c>
      <c r="J352">
        <f t="shared" si="17"/>
        <v>1</v>
      </c>
      <c r="M352">
        <v>34800</v>
      </c>
      <c r="N352">
        <v>0.998</v>
      </c>
      <c r="O352">
        <v>2.0000000000000018E-3</v>
      </c>
    </row>
    <row r="353" spans="1:15" x14ac:dyDescent="0.25">
      <c r="A353">
        <v>350</v>
      </c>
      <c r="B353" s="3">
        <f>NoMTC!K351</f>
        <v>103884.22676852399</v>
      </c>
      <c r="C353" s="2">
        <f>NoMTC!I351</f>
        <v>8.1189432541362407</v>
      </c>
      <c r="D353" s="3">
        <f>MTC!K351</f>
        <v>108336.729061923</v>
      </c>
      <c r="E353" s="2">
        <f>MTC!I351</f>
        <v>8.4382037540856594</v>
      </c>
      <c r="F353" s="2">
        <f t="shared" si="15"/>
        <v>4452.5022933990113</v>
      </c>
      <c r="G353" s="2">
        <f t="shared" si="16"/>
        <v>0.31926049994941863</v>
      </c>
      <c r="H353" s="3">
        <f>E353*Lambda-D353</f>
        <v>313573.45864236</v>
      </c>
      <c r="I353" s="3">
        <f>C353*Lambda-B353</f>
        <v>302062.93593828805</v>
      </c>
      <c r="J353">
        <f t="shared" si="17"/>
        <v>1</v>
      </c>
      <c r="M353">
        <v>34900</v>
      </c>
      <c r="N353">
        <v>0.998</v>
      </c>
      <c r="O353">
        <v>2.0000000000000018E-3</v>
      </c>
    </row>
    <row r="354" spans="1:15" x14ac:dyDescent="0.25">
      <c r="A354">
        <v>351</v>
      </c>
      <c r="B354" s="3">
        <f>NoMTC!K352</f>
        <v>97104.211909422302</v>
      </c>
      <c r="C354" s="2">
        <f>NoMTC!I352</f>
        <v>6.7499632117232196</v>
      </c>
      <c r="D354" s="3">
        <f>MTC!K352</f>
        <v>100833.804247796</v>
      </c>
      <c r="E354" s="2">
        <f>MTC!I352</f>
        <v>7.0177057845361901</v>
      </c>
      <c r="F354" s="2">
        <f t="shared" si="15"/>
        <v>3729.5923383736954</v>
      </c>
      <c r="G354" s="2">
        <f t="shared" si="16"/>
        <v>0.26774257281297054</v>
      </c>
      <c r="H354" s="3">
        <f>E354*Lambda-D354</f>
        <v>250051.4849790135</v>
      </c>
      <c r="I354" s="3">
        <f>C354*Lambda-B354</f>
        <v>240393.94867673866</v>
      </c>
      <c r="J354">
        <f t="shared" si="17"/>
        <v>1</v>
      </c>
      <c r="M354">
        <v>35000</v>
      </c>
      <c r="N354">
        <v>0.998</v>
      </c>
      <c r="O354">
        <v>2.0000000000000018E-3</v>
      </c>
    </row>
    <row r="355" spans="1:15" x14ac:dyDescent="0.25">
      <c r="A355">
        <v>352</v>
      </c>
      <c r="B355" s="3">
        <f>NoMTC!K353</f>
        <v>111866.300947166</v>
      </c>
      <c r="C355" s="2">
        <f>NoMTC!I353</f>
        <v>7.7556316056092296</v>
      </c>
      <c r="D355" s="3">
        <f>MTC!K353</f>
        <v>114875.469910985</v>
      </c>
      <c r="E355" s="2">
        <f>MTC!I353</f>
        <v>7.9663174913957997</v>
      </c>
      <c r="F355" s="2">
        <f t="shared" si="15"/>
        <v>3009.1689638190001</v>
      </c>
      <c r="G355" s="2">
        <f t="shared" si="16"/>
        <v>0.2106858857865701</v>
      </c>
      <c r="H355" s="3">
        <f>E355*Lambda-D355</f>
        <v>283440.404658805</v>
      </c>
      <c r="I355" s="3">
        <f>C355*Lambda-B355</f>
        <v>275915.27933329548</v>
      </c>
      <c r="J355">
        <f t="shared" si="17"/>
        <v>1</v>
      </c>
      <c r="M355">
        <v>35100</v>
      </c>
      <c r="N355">
        <v>0.998</v>
      </c>
      <c r="O355">
        <v>2.0000000000000018E-3</v>
      </c>
    </row>
    <row r="356" spans="1:15" x14ac:dyDescent="0.25">
      <c r="A356">
        <v>353</v>
      </c>
      <c r="B356" s="3">
        <f>NoMTC!K354</f>
        <v>135809.17640900699</v>
      </c>
      <c r="C356" s="2">
        <f>NoMTC!I354</f>
        <v>7.9600258893674702</v>
      </c>
      <c r="D356" s="3">
        <f>MTC!K354</f>
        <v>141337.55562545799</v>
      </c>
      <c r="E356" s="2">
        <f>MTC!I354</f>
        <v>8.2575594378037103</v>
      </c>
      <c r="F356" s="2">
        <f t="shared" si="15"/>
        <v>5528.3792164509941</v>
      </c>
      <c r="G356" s="2">
        <f t="shared" si="16"/>
        <v>0.29753354843624003</v>
      </c>
      <c r="H356" s="3">
        <f>E356*Lambda-D356</f>
        <v>271540.41626472748</v>
      </c>
      <c r="I356" s="3">
        <f>C356*Lambda-B356</f>
        <v>262192.11805936653</v>
      </c>
      <c r="J356">
        <f t="shared" si="17"/>
        <v>1</v>
      </c>
      <c r="M356">
        <v>35200</v>
      </c>
      <c r="N356">
        <v>0.998</v>
      </c>
      <c r="O356">
        <v>2.0000000000000018E-3</v>
      </c>
    </row>
    <row r="357" spans="1:15" x14ac:dyDescent="0.25">
      <c r="A357">
        <v>354</v>
      </c>
      <c r="B357" s="3">
        <f>NoMTC!K355</f>
        <v>97432.494266496695</v>
      </c>
      <c r="C357" s="2">
        <f>NoMTC!I355</f>
        <v>7.4439589203617498</v>
      </c>
      <c r="D357" s="3">
        <f>MTC!K355</f>
        <v>103146.20500189099</v>
      </c>
      <c r="E357" s="2">
        <f>MTC!I355</f>
        <v>7.8314134256858097</v>
      </c>
      <c r="F357" s="2">
        <f t="shared" si="15"/>
        <v>5713.7107353942993</v>
      </c>
      <c r="G357" s="2">
        <f t="shared" si="16"/>
        <v>0.38745450532405989</v>
      </c>
      <c r="H357" s="3">
        <f>E357*Lambda-D357</f>
        <v>288424.46628239949</v>
      </c>
      <c r="I357" s="3">
        <f>C357*Lambda-B357</f>
        <v>274765.45175159082</v>
      </c>
      <c r="J357">
        <f t="shared" si="17"/>
        <v>1</v>
      </c>
      <c r="M357">
        <v>35300</v>
      </c>
      <c r="N357">
        <v>0.998</v>
      </c>
      <c r="O357">
        <v>2.0000000000000018E-3</v>
      </c>
    </row>
    <row r="358" spans="1:15" x14ac:dyDescent="0.25">
      <c r="A358">
        <v>355</v>
      </c>
      <c r="B358" s="3">
        <f>NoMTC!K356</f>
        <v>95936.363749940298</v>
      </c>
      <c r="C358" s="2">
        <f>NoMTC!I356</f>
        <v>7.1213912306883396</v>
      </c>
      <c r="D358" s="3">
        <f>MTC!K356</f>
        <v>103487.26474180599</v>
      </c>
      <c r="E358" s="2">
        <f>MTC!I356</f>
        <v>7.6960754929366502</v>
      </c>
      <c r="F358" s="2">
        <f t="shared" si="15"/>
        <v>7550.9009918656957</v>
      </c>
      <c r="G358" s="2">
        <f t="shared" si="16"/>
        <v>0.5746842622483106</v>
      </c>
      <c r="H358" s="3">
        <f>E358*Lambda-D358</f>
        <v>281316.50990502653</v>
      </c>
      <c r="I358" s="3">
        <f>C358*Lambda-B358</f>
        <v>260133.19778447668</v>
      </c>
      <c r="J358">
        <f t="shared" si="17"/>
        <v>1</v>
      </c>
      <c r="M358">
        <v>35400</v>
      </c>
      <c r="N358">
        <v>0.998</v>
      </c>
      <c r="O358">
        <v>2.0000000000000018E-3</v>
      </c>
    </row>
    <row r="359" spans="1:15" x14ac:dyDescent="0.25">
      <c r="A359">
        <v>356</v>
      </c>
      <c r="B359" s="3">
        <f>NoMTC!K357</f>
        <v>125206.592492354</v>
      </c>
      <c r="C359" s="2">
        <f>NoMTC!I357</f>
        <v>8.6635758051849407</v>
      </c>
      <c r="D359" s="3">
        <f>MTC!K357</f>
        <v>133183.211091345</v>
      </c>
      <c r="E359" s="2">
        <f>MTC!I357</f>
        <v>9.1816780350679892</v>
      </c>
      <c r="F359" s="2">
        <f t="shared" si="15"/>
        <v>7976.6185989910009</v>
      </c>
      <c r="G359" s="2">
        <f t="shared" si="16"/>
        <v>0.51810222988304844</v>
      </c>
      <c r="H359" s="3">
        <f>E359*Lambda-D359</f>
        <v>325900.69066205446</v>
      </c>
      <c r="I359" s="3">
        <f>C359*Lambda-B359</f>
        <v>307972.19776689308</v>
      </c>
      <c r="J359">
        <f t="shared" si="17"/>
        <v>1</v>
      </c>
      <c r="M359">
        <v>35500</v>
      </c>
      <c r="N359">
        <v>0.998</v>
      </c>
      <c r="O359">
        <v>2.0000000000000018E-3</v>
      </c>
    </row>
    <row r="360" spans="1:15" x14ac:dyDescent="0.25">
      <c r="A360">
        <v>357</v>
      </c>
      <c r="B360" s="3">
        <f>NoMTC!K358</f>
        <v>88481.628245783199</v>
      </c>
      <c r="C360" s="2">
        <f>NoMTC!I358</f>
        <v>6.4220774043387099</v>
      </c>
      <c r="D360" s="3">
        <f>MTC!K358</f>
        <v>93091.184748198095</v>
      </c>
      <c r="E360" s="2">
        <f>MTC!I358</f>
        <v>6.7657865992602204</v>
      </c>
      <c r="F360" s="2">
        <f t="shared" si="15"/>
        <v>4609.5565024148964</v>
      </c>
      <c r="G360" s="2">
        <f t="shared" si="16"/>
        <v>0.34370919492151053</v>
      </c>
      <c r="H360" s="3">
        <f>E360*Lambda-D360</f>
        <v>245198.14521481295</v>
      </c>
      <c r="I360" s="3">
        <f>C360*Lambda-B360</f>
        <v>232622.24197115225</v>
      </c>
      <c r="J360">
        <f t="shared" si="17"/>
        <v>1</v>
      </c>
      <c r="M360">
        <v>35600</v>
      </c>
      <c r="N360">
        <v>0.998</v>
      </c>
      <c r="O360">
        <v>2.0000000000000018E-3</v>
      </c>
    </row>
    <row r="361" spans="1:15" x14ac:dyDescent="0.25">
      <c r="A361">
        <v>358</v>
      </c>
      <c r="B361" s="3">
        <f>NoMTC!K359</f>
        <v>140523.40297759499</v>
      </c>
      <c r="C361" s="2">
        <f>NoMTC!I359</f>
        <v>7.4660891309934003</v>
      </c>
      <c r="D361" s="3">
        <f>MTC!K359</f>
        <v>152335.786449281</v>
      </c>
      <c r="E361" s="2">
        <f>MTC!I359</f>
        <v>8.0356102495943293</v>
      </c>
      <c r="F361" s="2">
        <f t="shared" si="15"/>
        <v>11812.383471686015</v>
      </c>
      <c r="G361" s="2">
        <f t="shared" si="16"/>
        <v>0.56952111860092902</v>
      </c>
      <c r="H361" s="3">
        <f>E361*Lambda-D361</f>
        <v>249444.72603043544</v>
      </c>
      <c r="I361" s="3">
        <f>C361*Lambda-B361</f>
        <v>232781.05357207503</v>
      </c>
      <c r="J361">
        <f t="shared" si="17"/>
        <v>1</v>
      </c>
      <c r="M361">
        <v>35700</v>
      </c>
      <c r="N361">
        <v>0.998</v>
      </c>
      <c r="O361">
        <v>2.0000000000000018E-3</v>
      </c>
    </row>
    <row r="362" spans="1:15" x14ac:dyDescent="0.25">
      <c r="A362">
        <v>359</v>
      </c>
      <c r="B362" s="3">
        <f>NoMTC!K360</f>
        <v>142673.01466240201</v>
      </c>
      <c r="C362" s="2">
        <f>NoMTC!I360</f>
        <v>7.36745254512401</v>
      </c>
      <c r="D362" s="3">
        <f>MTC!K360</f>
        <v>145004.44121169701</v>
      </c>
      <c r="E362" s="2">
        <f>MTC!I360</f>
        <v>7.4869738877215104</v>
      </c>
      <c r="F362" s="2">
        <f t="shared" si="15"/>
        <v>2331.4265492949926</v>
      </c>
      <c r="G362" s="2">
        <f t="shared" si="16"/>
        <v>0.11952134259750036</v>
      </c>
      <c r="H362" s="3">
        <f>E362*Lambda-D362</f>
        <v>229344.25317437854</v>
      </c>
      <c r="I362" s="3">
        <f>C362*Lambda-B362</f>
        <v>225699.61259379846</v>
      </c>
      <c r="J362">
        <f t="shared" si="17"/>
        <v>1</v>
      </c>
      <c r="M362">
        <v>35800</v>
      </c>
      <c r="N362">
        <v>0.998</v>
      </c>
      <c r="O362">
        <v>2.0000000000000018E-3</v>
      </c>
    </row>
    <row r="363" spans="1:15" x14ac:dyDescent="0.25">
      <c r="A363">
        <v>360</v>
      </c>
      <c r="B363" s="3">
        <f>NoMTC!K361</f>
        <v>110645.342588511</v>
      </c>
      <c r="C363" s="2">
        <f>NoMTC!I361</f>
        <v>7.4460816793136102</v>
      </c>
      <c r="D363" s="3">
        <f>MTC!K361</f>
        <v>116157.008594516</v>
      </c>
      <c r="E363" s="2">
        <f>MTC!I361</f>
        <v>7.8074969966325298</v>
      </c>
      <c r="F363" s="2">
        <f t="shared" si="15"/>
        <v>5511.6660060049908</v>
      </c>
      <c r="G363" s="2">
        <f t="shared" si="16"/>
        <v>0.36141531731891963</v>
      </c>
      <c r="H363" s="3">
        <f>E363*Lambda-D363</f>
        <v>274217.84123711055</v>
      </c>
      <c r="I363" s="3">
        <f>C363*Lambda-B363</f>
        <v>261658.7413771695</v>
      </c>
      <c r="J363">
        <f t="shared" si="17"/>
        <v>1</v>
      </c>
      <c r="M363">
        <v>35900</v>
      </c>
      <c r="N363">
        <v>0.998</v>
      </c>
      <c r="O363">
        <v>2.0000000000000018E-3</v>
      </c>
    </row>
    <row r="364" spans="1:15" x14ac:dyDescent="0.25">
      <c r="A364">
        <v>361</v>
      </c>
      <c r="B364" s="3">
        <f>NoMTC!K362</f>
        <v>139019.42858372</v>
      </c>
      <c r="C364" s="2">
        <f>NoMTC!I362</f>
        <v>7.7629794329616599</v>
      </c>
      <c r="D364" s="3">
        <f>MTC!K362</f>
        <v>146797.01374243101</v>
      </c>
      <c r="E364" s="2">
        <f>MTC!I362</f>
        <v>8.1723909959496197</v>
      </c>
      <c r="F364" s="2">
        <f t="shared" si="15"/>
        <v>7777.5851587110083</v>
      </c>
      <c r="G364" s="2">
        <f t="shared" si="16"/>
        <v>0.40941156298795978</v>
      </c>
      <c r="H364" s="3">
        <f>E364*Lambda-D364</f>
        <v>261822.53605504998</v>
      </c>
      <c r="I364" s="3">
        <f>C364*Lambda-B364</f>
        <v>249129.54306436301</v>
      </c>
      <c r="J364">
        <f t="shared" si="17"/>
        <v>1</v>
      </c>
      <c r="M364">
        <v>36000</v>
      </c>
      <c r="N364">
        <v>0.998</v>
      </c>
      <c r="O364">
        <v>2.0000000000000018E-3</v>
      </c>
    </row>
    <row r="365" spans="1:15" x14ac:dyDescent="0.25">
      <c r="A365">
        <v>362</v>
      </c>
      <c r="B365" s="3">
        <f>NoMTC!K363</f>
        <v>119461.861119108</v>
      </c>
      <c r="C365" s="2">
        <f>NoMTC!I363</f>
        <v>8.3214109988757397</v>
      </c>
      <c r="D365" s="3">
        <f>MTC!K363</f>
        <v>123302.154513181</v>
      </c>
      <c r="E365" s="2">
        <f>MTC!I363</f>
        <v>8.5730623403611101</v>
      </c>
      <c r="F365" s="2">
        <f t="shared" si="15"/>
        <v>3840.2933940729999</v>
      </c>
      <c r="G365" s="2">
        <f t="shared" si="16"/>
        <v>0.25165134148537049</v>
      </c>
      <c r="H365" s="3">
        <f>E365*Lambda-D365</f>
        <v>305350.96250487451</v>
      </c>
      <c r="I365" s="3">
        <f>C365*Lambda-B365</f>
        <v>296608.688824679</v>
      </c>
      <c r="J365">
        <f t="shared" si="17"/>
        <v>1</v>
      </c>
      <c r="M365">
        <v>36100</v>
      </c>
      <c r="N365">
        <v>0.998</v>
      </c>
      <c r="O365">
        <v>2.0000000000000018E-3</v>
      </c>
    </row>
    <row r="366" spans="1:15" x14ac:dyDescent="0.25">
      <c r="A366">
        <v>363</v>
      </c>
      <c r="B366" s="3">
        <f>NoMTC!K364</f>
        <v>133907.567520501</v>
      </c>
      <c r="C366" s="2">
        <f>NoMTC!I364</f>
        <v>7.4121055146725201</v>
      </c>
      <c r="D366" s="3">
        <f>MTC!K364</f>
        <v>136904.504681794</v>
      </c>
      <c r="E366" s="2">
        <f>MTC!I364</f>
        <v>7.5668751155156304</v>
      </c>
      <c r="F366" s="2">
        <f t="shared" si="15"/>
        <v>2996.9371612929972</v>
      </c>
      <c r="G366" s="2">
        <f t="shared" si="16"/>
        <v>0.15476960084311031</v>
      </c>
      <c r="H366" s="3">
        <f>E366*Lambda-D366</f>
        <v>241439.25109398752</v>
      </c>
      <c r="I366" s="3">
        <f>C366*Lambda-B366</f>
        <v>236697.70821312498</v>
      </c>
      <c r="J366">
        <f t="shared" si="17"/>
        <v>1</v>
      </c>
      <c r="M366">
        <v>36200</v>
      </c>
      <c r="N366">
        <v>0.998</v>
      </c>
      <c r="O366">
        <v>2.0000000000000018E-3</v>
      </c>
    </row>
    <row r="367" spans="1:15" x14ac:dyDescent="0.25">
      <c r="A367">
        <v>364</v>
      </c>
      <c r="B367" s="3">
        <f>NoMTC!K365</f>
        <v>116050.458460054</v>
      </c>
      <c r="C367" s="2">
        <f>NoMTC!I365</f>
        <v>7.5738032297466704</v>
      </c>
      <c r="D367" s="3">
        <f>MTC!K365</f>
        <v>120455.00851741301</v>
      </c>
      <c r="E367" s="2">
        <f>MTC!I365</f>
        <v>7.8355214511370503</v>
      </c>
      <c r="F367" s="2">
        <f t="shared" si="15"/>
        <v>4404.5500573590107</v>
      </c>
      <c r="G367" s="2">
        <f t="shared" si="16"/>
        <v>0.26171822139037992</v>
      </c>
      <c r="H367" s="3">
        <f>E367*Lambda-D367</f>
        <v>271321.06403943955</v>
      </c>
      <c r="I367" s="3">
        <f>C367*Lambda-B367</f>
        <v>262639.70302727952</v>
      </c>
      <c r="J367">
        <f t="shared" si="17"/>
        <v>1</v>
      </c>
      <c r="M367">
        <v>36300</v>
      </c>
      <c r="N367">
        <v>0.998</v>
      </c>
      <c r="O367">
        <v>2.0000000000000018E-3</v>
      </c>
    </row>
    <row r="368" spans="1:15" x14ac:dyDescent="0.25">
      <c r="A368">
        <v>365</v>
      </c>
      <c r="B368" s="3">
        <f>NoMTC!K366</f>
        <v>108835.89176431599</v>
      </c>
      <c r="C368" s="2">
        <f>NoMTC!I366</f>
        <v>7.7147840265761101</v>
      </c>
      <c r="D368" s="3">
        <f>MTC!K366</f>
        <v>113637.37246567001</v>
      </c>
      <c r="E368" s="2">
        <f>MTC!I366</f>
        <v>8.0658232552932496</v>
      </c>
      <c r="F368" s="2">
        <f t="shared" si="15"/>
        <v>4801.4807013540121</v>
      </c>
      <c r="G368" s="2">
        <f t="shared" si="16"/>
        <v>0.35103922871713955</v>
      </c>
      <c r="H368" s="3">
        <f>E368*Lambda-D368</f>
        <v>289653.79029899248</v>
      </c>
      <c r="I368" s="3">
        <f>C368*Lambda-B368</f>
        <v>276903.30956448952</v>
      </c>
      <c r="J368">
        <f t="shared" si="17"/>
        <v>1</v>
      </c>
      <c r="M368">
        <v>36400</v>
      </c>
      <c r="N368">
        <v>0.998</v>
      </c>
      <c r="O368">
        <v>2.0000000000000018E-3</v>
      </c>
    </row>
    <row r="369" spans="1:15" x14ac:dyDescent="0.25">
      <c r="A369">
        <v>366</v>
      </c>
      <c r="B369" s="3">
        <f>NoMTC!K367</f>
        <v>109154.13263270901</v>
      </c>
      <c r="C369" s="2">
        <f>NoMTC!I367</f>
        <v>6.3398757078875603</v>
      </c>
      <c r="D369" s="3">
        <f>MTC!K367</f>
        <v>112479.317012942</v>
      </c>
      <c r="E369" s="2">
        <f>MTC!I367</f>
        <v>6.5523138699997698</v>
      </c>
      <c r="F369" s="2">
        <f t="shared" si="15"/>
        <v>3325.1843802329968</v>
      </c>
      <c r="G369" s="2">
        <f t="shared" si="16"/>
        <v>0.21243816211220956</v>
      </c>
      <c r="H369" s="3">
        <f>E369*Lambda-D369</f>
        <v>215136.37648704648</v>
      </c>
      <c r="I369" s="3">
        <f>C369*Lambda-B369</f>
        <v>207839.65276166901</v>
      </c>
      <c r="J369">
        <f t="shared" si="17"/>
        <v>1</v>
      </c>
      <c r="M369">
        <v>36500</v>
      </c>
      <c r="N369">
        <v>0.998</v>
      </c>
      <c r="O369">
        <v>2.0000000000000018E-3</v>
      </c>
    </row>
    <row r="370" spans="1:15" x14ac:dyDescent="0.25">
      <c r="A370">
        <v>367</v>
      </c>
      <c r="B370" s="3">
        <f>NoMTC!K368</f>
        <v>108484.33420763499</v>
      </c>
      <c r="C370" s="2">
        <f>NoMTC!I368</f>
        <v>6.9615990556676497</v>
      </c>
      <c r="D370" s="3">
        <f>MTC!K368</f>
        <v>114562.633230516</v>
      </c>
      <c r="E370" s="2">
        <f>MTC!I368</f>
        <v>7.34731138592646</v>
      </c>
      <c r="F370" s="2">
        <f t="shared" si="15"/>
        <v>6078.2990228810086</v>
      </c>
      <c r="G370" s="2">
        <f t="shared" si="16"/>
        <v>0.38571233025881035</v>
      </c>
      <c r="H370" s="3">
        <f>E370*Lambda-D370</f>
        <v>252802.93606580701</v>
      </c>
      <c r="I370" s="3">
        <f>C370*Lambda-B370</f>
        <v>239595.6185757475</v>
      </c>
      <c r="J370">
        <f t="shared" si="17"/>
        <v>1</v>
      </c>
      <c r="M370">
        <v>36600</v>
      </c>
      <c r="N370">
        <v>0.998</v>
      </c>
      <c r="O370">
        <v>2.0000000000000018E-3</v>
      </c>
    </row>
    <row r="371" spans="1:15" x14ac:dyDescent="0.25">
      <c r="A371">
        <v>368</v>
      </c>
      <c r="B371" s="3">
        <f>NoMTC!K369</f>
        <v>129486.80218302501</v>
      </c>
      <c r="C371" s="2">
        <f>NoMTC!I369</f>
        <v>8.0172634610689499</v>
      </c>
      <c r="D371" s="3">
        <f>MTC!K369</f>
        <v>135108.04747885501</v>
      </c>
      <c r="E371" s="2">
        <f>MTC!I369</f>
        <v>8.3519979896057492</v>
      </c>
      <c r="F371" s="2">
        <f t="shared" si="15"/>
        <v>5621.2452958299982</v>
      </c>
      <c r="G371" s="2">
        <f t="shared" si="16"/>
        <v>0.3347345285367993</v>
      </c>
      <c r="H371" s="3">
        <f>E371*Lambda-D371</f>
        <v>282491.85200143245</v>
      </c>
      <c r="I371" s="3">
        <f>C371*Lambda-B371</f>
        <v>271376.37087042251</v>
      </c>
      <c r="J371">
        <f t="shared" si="17"/>
        <v>1</v>
      </c>
      <c r="M371">
        <v>36700</v>
      </c>
      <c r="N371">
        <v>0.998</v>
      </c>
      <c r="O371">
        <v>2.0000000000000018E-3</v>
      </c>
    </row>
    <row r="372" spans="1:15" x14ac:dyDescent="0.25">
      <c r="A372">
        <v>369</v>
      </c>
      <c r="B372" s="3">
        <f>NoMTC!K370</f>
        <v>141245.828931731</v>
      </c>
      <c r="C372" s="2">
        <f>NoMTC!I370</f>
        <v>8.5716896445525208</v>
      </c>
      <c r="D372" s="3">
        <f>MTC!K370</f>
        <v>146906.72880845901</v>
      </c>
      <c r="E372" s="2">
        <f>MTC!I370</f>
        <v>8.8949273093142107</v>
      </c>
      <c r="F372" s="2">
        <f t="shared" si="15"/>
        <v>5660.8998767280136</v>
      </c>
      <c r="G372" s="2">
        <f t="shared" si="16"/>
        <v>0.32323766476168991</v>
      </c>
      <c r="H372" s="3">
        <f>E372*Lambda-D372</f>
        <v>297839.63665725151</v>
      </c>
      <c r="I372" s="3">
        <f>C372*Lambda-B372</f>
        <v>287338.65329589503</v>
      </c>
      <c r="J372">
        <f t="shared" si="17"/>
        <v>1</v>
      </c>
      <c r="M372">
        <v>36800</v>
      </c>
      <c r="N372">
        <v>0.998</v>
      </c>
      <c r="O372">
        <v>2.0000000000000018E-3</v>
      </c>
    </row>
    <row r="373" spans="1:15" x14ac:dyDescent="0.25">
      <c r="A373">
        <v>370</v>
      </c>
      <c r="B373" s="3">
        <f>NoMTC!K371</f>
        <v>119777.348227977</v>
      </c>
      <c r="C373" s="2">
        <f>NoMTC!I371</f>
        <v>8.5612711628254896</v>
      </c>
      <c r="D373" s="3">
        <f>MTC!K371</f>
        <v>129247.971426333</v>
      </c>
      <c r="E373" s="2">
        <f>MTC!I371</f>
        <v>9.22542417976174</v>
      </c>
      <c r="F373" s="2">
        <f t="shared" si="15"/>
        <v>9470.6231983559992</v>
      </c>
      <c r="G373" s="2">
        <f t="shared" si="16"/>
        <v>0.6641530169362504</v>
      </c>
      <c r="H373" s="3">
        <f>E373*Lambda-D373</f>
        <v>332023.23756175401</v>
      </c>
      <c r="I373" s="3">
        <f>C373*Lambda-B373</f>
        <v>308286.2099132975</v>
      </c>
      <c r="J373">
        <f t="shared" si="17"/>
        <v>1</v>
      </c>
      <c r="M373">
        <v>36900</v>
      </c>
      <c r="N373">
        <v>0.998</v>
      </c>
      <c r="O373">
        <v>2.0000000000000018E-3</v>
      </c>
    </row>
    <row r="374" spans="1:15" x14ac:dyDescent="0.25">
      <c r="A374">
        <v>371</v>
      </c>
      <c r="B374" s="3">
        <f>NoMTC!K372</f>
        <v>104993.780212784</v>
      </c>
      <c r="C374" s="2">
        <f>NoMTC!I372</f>
        <v>7.9103912488245003</v>
      </c>
      <c r="D374" s="3">
        <f>MTC!K372</f>
        <v>110038.421908276</v>
      </c>
      <c r="E374" s="2">
        <f>MTC!I372</f>
        <v>8.28571593765232</v>
      </c>
      <c r="F374" s="2">
        <f t="shared" si="15"/>
        <v>5044.6416954919987</v>
      </c>
      <c r="G374" s="2">
        <f t="shared" si="16"/>
        <v>0.37532468882781966</v>
      </c>
      <c r="H374" s="3">
        <f>E374*Lambda-D374</f>
        <v>304247.37497434003</v>
      </c>
      <c r="I374" s="3">
        <f>C374*Lambda-B374</f>
        <v>290525.78222844098</v>
      </c>
      <c r="J374">
        <f t="shared" si="17"/>
        <v>1</v>
      </c>
      <c r="M374">
        <v>37000</v>
      </c>
      <c r="N374">
        <v>0.998</v>
      </c>
      <c r="O374">
        <v>2.0000000000000018E-3</v>
      </c>
    </row>
    <row r="375" spans="1:15" x14ac:dyDescent="0.25">
      <c r="A375">
        <v>372</v>
      </c>
      <c r="B375" s="3">
        <f>NoMTC!K373</f>
        <v>126236.752624898</v>
      </c>
      <c r="C375" s="2">
        <f>NoMTC!I373</f>
        <v>7.61116621004766</v>
      </c>
      <c r="D375" s="3">
        <f>MTC!K373</f>
        <v>132532.53498847299</v>
      </c>
      <c r="E375" s="2">
        <f>MTC!I373</f>
        <v>7.9755077989883398</v>
      </c>
      <c r="F375" s="2">
        <f t="shared" si="15"/>
        <v>6295.7823635749955</v>
      </c>
      <c r="G375" s="2">
        <f t="shared" si="16"/>
        <v>0.36434158894067981</v>
      </c>
      <c r="H375" s="3">
        <f>E375*Lambda-D375</f>
        <v>266242.85496094398</v>
      </c>
      <c r="I375" s="3">
        <f>C375*Lambda-B375</f>
        <v>254321.557877485</v>
      </c>
      <c r="J375">
        <f t="shared" si="17"/>
        <v>1</v>
      </c>
      <c r="M375">
        <v>37100</v>
      </c>
      <c r="N375">
        <v>0.998</v>
      </c>
      <c r="O375">
        <v>2.0000000000000018E-3</v>
      </c>
    </row>
    <row r="376" spans="1:15" x14ac:dyDescent="0.25">
      <c r="A376">
        <v>373</v>
      </c>
      <c r="B376" s="3">
        <f>NoMTC!K374</f>
        <v>115600.503214818</v>
      </c>
      <c r="C376" s="2">
        <f>NoMTC!I374</f>
        <v>7.8194224481338397</v>
      </c>
      <c r="D376" s="3">
        <f>MTC!K374</f>
        <v>123428.95335616601</v>
      </c>
      <c r="E376" s="2">
        <f>MTC!I374</f>
        <v>8.3112015450056393</v>
      </c>
      <c r="F376" s="2">
        <f t="shared" si="15"/>
        <v>7828.4501413480029</v>
      </c>
      <c r="G376" s="2">
        <f t="shared" si="16"/>
        <v>0.49177909687179966</v>
      </c>
      <c r="H376" s="3">
        <f>E376*Lambda-D376</f>
        <v>292131.12389411597</v>
      </c>
      <c r="I376" s="3">
        <f>C376*Lambda-B376</f>
        <v>275370.61919187399</v>
      </c>
      <c r="J376">
        <f t="shared" si="17"/>
        <v>1</v>
      </c>
      <c r="M376">
        <v>37200</v>
      </c>
      <c r="N376">
        <v>0.998</v>
      </c>
      <c r="O376">
        <v>2.0000000000000018E-3</v>
      </c>
    </row>
    <row r="377" spans="1:15" x14ac:dyDescent="0.25">
      <c r="A377">
        <v>374</v>
      </c>
      <c r="B377" s="3">
        <f>NoMTC!K375</f>
        <v>124171.855774846</v>
      </c>
      <c r="C377" s="2">
        <f>NoMTC!I375</f>
        <v>7.1800916768155503</v>
      </c>
      <c r="D377" s="3">
        <f>MTC!K375</f>
        <v>130034.533903754</v>
      </c>
      <c r="E377" s="2">
        <f>MTC!I375</f>
        <v>7.5177706974414296</v>
      </c>
      <c r="F377" s="2">
        <f t="shared" si="15"/>
        <v>5862.6781289079954</v>
      </c>
      <c r="G377" s="2">
        <f t="shared" si="16"/>
        <v>0.33767902062587929</v>
      </c>
      <c r="H377" s="3">
        <f>E377*Lambda-D377</f>
        <v>245854.00096831747</v>
      </c>
      <c r="I377" s="3">
        <f>C377*Lambda-B377</f>
        <v>234832.72806593153</v>
      </c>
      <c r="J377">
        <f t="shared" si="17"/>
        <v>1</v>
      </c>
      <c r="M377">
        <v>37300</v>
      </c>
      <c r="N377">
        <v>0.998</v>
      </c>
      <c r="O377">
        <v>2.0000000000000018E-3</v>
      </c>
    </row>
    <row r="378" spans="1:15" x14ac:dyDescent="0.25">
      <c r="A378">
        <v>375</v>
      </c>
      <c r="B378" s="3">
        <f>NoMTC!K376</f>
        <v>95659.591374125404</v>
      </c>
      <c r="C378" s="2">
        <f>NoMTC!I376</f>
        <v>5.6885271145811904</v>
      </c>
      <c r="D378" s="3">
        <f>MTC!K376</f>
        <v>103007.413110108</v>
      </c>
      <c r="E378" s="2">
        <f>MTC!I376</f>
        <v>6.1172174172431797</v>
      </c>
      <c r="F378" s="2">
        <f t="shared" si="15"/>
        <v>7347.821735982594</v>
      </c>
      <c r="G378" s="2">
        <f t="shared" si="16"/>
        <v>0.42869030266198926</v>
      </c>
      <c r="H378" s="3">
        <f>E378*Lambda-D378</f>
        <v>202853.45775205101</v>
      </c>
      <c r="I378" s="3">
        <f>C378*Lambda-B378</f>
        <v>188766.76435493416</v>
      </c>
      <c r="J378">
        <f t="shared" si="17"/>
        <v>1</v>
      </c>
      <c r="M378">
        <v>37400</v>
      </c>
      <c r="N378">
        <v>0.998</v>
      </c>
      <c r="O378">
        <v>2.0000000000000018E-3</v>
      </c>
    </row>
    <row r="379" spans="1:15" x14ac:dyDescent="0.25">
      <c r="A379">
        <v>376</v>
      </c>
      <c r="B379" s="3">
        <f>NoMTC!K377</f>
        <v>131429.29060830499</v>
      </c>
      <c r="C379" s="2">
        <f>NoMTC!I377</f>
        <v>7.6541253021948403</v>
      </c>
      <c r="D379" s="3">
        <f>MTC!K377</f>
        <v>138583.46383923199</v>
      </c>
      <c r="E379" s="2">
        <f>MTC!I377</f>
        <v>8.0543663617313008</v>
      </c>
      <c r="F379" s="2">
        <f t="shared" si="15"/>
        <v>7154.173230927001</v>
      </c>
      <c r="G379" s="2">
        <f t="shared" si="16"/>
        <v>0.4002410595364605</v>
      </c>
      <c r="H379" s="3">
        <f>E379*Lambda-D379</f>
        <v>264134.85424733307</v>
      </c>
      <c r="I379" s="3">
        <f>C379*Lambda-B379</f>
        <v>251276.97450143701</v>
      </c>
      <c r="J379">
        <f t="shared" si="17"/>
        <v>1</v>
      </c>
      <c r="M379">
        <v>37500</v>
      </c>
      <c r="N379">
        <v>0.998</v>
      </c>
      <c r="O379">
        <v>2.0000000000000018E-3</v>
      </c>
    </row>
    <row r="380" spans="1:15" x14ac:dyDescent="0.25">
      <c r="A380">
        <v>377</v>
      </c>
      <c r="B380" s="3">
        <f>NoMTC!K378</f>
        <v>118052.31603919899</v>
      </c>
      <c r="C380" s="2">
        <f>NoMTC!I378</f>
        <v>7.3870323422726702</v>
      </c>
      <c r="D380" s="3">
        <f>MTC!K378</f>
        <v>126149.495830905</v>
      </c>
      <c r="E380" s="2">
        <f>MTC!I378</f>
        <v>7.8678271518235396</v>
      </c>
      <c r="F380" s="2">
        <f t="shared" si="15"/>
        <v>8097.179791706003</v>
      </c>
      <c r="G380" s="2">
        <f t="shared" si="16"/>
        <v>0.4807948095508694</v>
      </c>
      <c r="H380" s="3">
        <f>E380*Lambda-D380</f>
        <v>267241.861760272</v>
      </c>
      <c r="I380" s="3">
        <f>C380*Lambda-B380</f>
        <v>251299.30107443448</v>
      </c>
      <c r="J380">
        <f t="shared" si="17"/>
        <v>1</v>
      </c>
      <c r="M380">
        <v>37600</v>
      </c>
      <c r="N380">
        <v>0.998</v>
      </c>
      <c r="O380">
        <v>2.0000000000000018E-3</v>
      </c>
    </row>
    <row r="381" spans="1:15" x14ac:dyDescent="0.25">
      <c r="A381">
        <v>378</v>
      </c>
      <c r="B381" s="3">
        <f>NoMTC!K379</f>
        <v>137909.64065515701</v>
      </c>
      <c r="C381" s="2">
        <f>NoMTC!I379</f>
        <v>8.17210958437194</v>
      </c>
      <c r="D381" s="3">
        <f>MTC!K379</f>
        <v>142781.4097627</v>
      </c>
      <c r="E381" s="2">
        <f>MTC!I379</f>
        <v>8.4317875048436495</v>
      </c>
      <c r="F381" s="2">
        <f t="shared" si="15"/>
        <v>4871.7691075429902</v>
      </c>
      <c r="G381" s="2">
        <f t="shared" si="16"/>
        <v>0.25967792047170946</v>
      </c>
      <c r="H381" s="3">
        <f>E381*Lambda-D381</f>
        <v>278807.96547948243</v>
      </c>
      <c r="I381" s="3">
        <f>C381*Lambda-B381</f>
        <v>270695.83856344002</v>
      </c>
      <c r="J381">
        <f t="shared" si="17"/>
        <v>1</v>
      </c>
      <c r="M381">
        <v>37700</v>
      </c>
      <c r="N381">
        <v>0.998</v>
      </c>
      <c r="O381">
        <v>2.0000000000000018E-3</v>
      </c>
    </row>
    <row r="382" spans="1:15" x14ac:dyDescent="0.25">
      <c r="A382">
        <v>379</v>
      </c>
      <c r="B382" s="3">
        <f>NoMTC!K380</f>
        <v>136132.913805255</v>
      </c>
      <c r="C382" s="2">
        <f>NoMTC!I380</f>
        <v>7.8612063990737697</v>
      </c>
      <c r="D382" s="3">
        <f>MTC!K380</f>
        <v>144308.50118893501</v>
      </c>
      <c r="E382" s="2">
        <f>MTC!I380</f>
        <v>8.3179500924156393</v>
      </c>
      <c r="F382" s="2">
        <f t="shared" si="15"/>
        <v>8175.5873836800165</v>
      </c>
      <c r="G382" s="2">
        <f t="shared" si="16"/>
        <v>0.45674369334186959</v>
      </c>
      <c r="H382" s="3">
        <f>E382*Lambda-D382</f>
        <v>271589.00343184697</v>
      </c>
      <c r="I382" s="3">
        <f>C382*Lambda-B382</f>
        <v>256927.40614843348</v>
      </c>
      <c r="J382">
        <f t="shared" si="17"/>
        <v>1</v>
      </c>
      <c r="M382">
        <v>37800</v>
      </c>
      <c r="N382">
        <v>0.998</v>
      </c>
      <c r="O382">
        <v>2.0000000000000018E-3</v>
      </c>
    </row>
    <row r="383" spans="1:15" x14ac:dyDescent="0.25">
      <c r="A383">
        <v>380</v>
      </c>
      <c r="B383" s="3">
        <f>NoMTC!K381</f>
        <v>97716.761493004393</v>
      </c>
      <c r="C383" s="2">
        <f>NoMTC!I381</f>
        <v>7.4762335117161101</v>
      </c>
      <c r="D383" s="3">
        <f>MTC!K381</f>
        <v>104220.178435098</v>
      </c>
      <c r="E383" s="2">
        <f>MTC!I381</f>
        <v>7.9862043887369598</v>
      </c>
      <c r="F383" s="2">
        <f t="shared" si="15"/>
        <v>6503.4169420936087</v>
      </c>
      <c r="G383" s="2">
        <f t="shared" si="16"/>
        <v>0.50997087702084976</v>
      </c>
      <c r="H383" s="3">
        <f>E383*Lambda-D383</f>
        <v>295090.04100175004</v>
      </c>
      <c r="I383" s="3">
        <f>C383*Lambda-B383</f>
        <v>276094.9140928011</v>
      </c>
      <c r="J383">
        <f t="shared" si="17"/>
        <v>1</v>
      </c>
      <c r="M383">
        <v>37900</v>
      </c>
      <c r="N383">
        <v>0.998</v>
      </c>
      <c r="O383">
        <v>2.0000000000000018E-3</v>
      </c>
    </row>
    <row r="384" spans="1:15" x14ac:dyDescent="0.25">
      <c r="A384">
        <v>381</v>
      </c>
      <c r="B384" s="3">
        <f>NoMTC!K382</f>
        <v>106045.762047881</v>
      </c>
      <c r="C384" s="2">
        <f>NoMTC!I382</f>
        <v>7.5688363685368998</v>
      </c>
      <c r="D384" s="3">
        <f>MTC!K382</f>
        <v>116115.87292347501</v>
      </c>
      <c r="E384" s="2">
        <f>MTC!I382</f>
        <v>8.2523137232886601</v>
      </c>
      <c r="F384" s="2">
        <f t="shared" si="15"/>
        <v>10070.110875594008</v>
      </c>
      <c r="G384" s="2">
        <f t="shared" si="16"/>
        <v>0.6834773547517603</v>
      </c>
      <c r="H384" s="3">
        <f>E384*Lambda-D384</f>
        <v>296499.81324095803</v>
      </c>
      <c r="I384" s="3">
        <f>C384*Lambda-B384</f>
        <v>272396.05637896399</v>
      </c>
      <c r="J384">
        <f t="shared" si="17"/>
        <v>1</v>
      </c>
      <c r="M384">
        <v>38000</v>
      </c>
      <c r="N384">
        <v>0.998</v>
      </c>
      <c r="O384">
        <v>2.0000000000000018E-3</v>
      </c>
    </row>
    <row r="385" spans="1:15" x14ac:dyDescent="0.25">
      <c r="A385">
        <v>382</v>
      </c>
      <c r="B385" s="3">
        <f>NoMTC!K383</f>
        <v>118444.785375454</v>
      </c>
      <c r="C385" s="2">
        <f>NoMTC!I383</f>
        <v>7.2766455390007598</v>
      </c>
      <c r="D385" s="3">
        <f>MTC!K383</f>
        <v>125266.290167643</v>
      </c>
      <c r="E385" s="2">
        <f>MTC!I383</f>
        <v>7.7085357595195996</v>
      </c>
      <c r="F385" s="2">
        <f t="shared" si="15"/>
        <v>6821.5047921890073</v>
      </c>
      <c r="G385" s="2">
        <f t="shared" si="16"/>
        <v>0.43189022051883974</v>
      </c>
      <c r="H385" s="3">
        <f>E385*Lambda-D385</f>
        <v>260160.49780833698</v>
      </c>
      <c r="I385" s="3">
        <f>C385*Lambda-B385</f>
        <v>245387.49157458398</v>
      </c>
      <c r="J385">
        <f t="shared" si="17"/>
        <v>1</v>
      </c>
      <c r="M385">
        <v>38100</v>
      </c>
      <c r="N385">
        <v>0.998</v>
      </c>
      <c r="O385">
        <v>2.0000000000000018E-3</v>
      </c>
    </row>
    <row r="386" spans="1:15" x14ac:dyDescent="0.25">
      <c r="A386">
        <v>383</v>
      </c>
      <c r="B386" s="3">
        <f>NoMTC!K384</f>
        <v>124073.28792569099</v>
      </c>
      <c r="C386" s="2">
        <f>NoMTC!I384</f>
        <v>7.96751679960063</v>
      </c>
      <c r="D386" s="3">
        <f>MTC!K384</f>
        <v>130949.849217069</v>
      </c>
      <c r="E386" s="2">
        <f>MTC!I384</f>
        <v>8.4251378736260296</v>
      </c>
      <c r="F386" s="2">
        <f t="shared" si="15"/>
        <v>6876.561291378006</v>
      </c>
      <c r="G386" s="2">
        <f t="shared" si="16"/>
        <v>0.45762107402539964</v>
      </c>
      <c r="H386" s="3">
        <f>E386*Lambda-D386</f>
        <v>290307.04446423252</v>
      </c>
      <c r="I386" s="3">
        <f>C386*Lambda-B386</f>
        <v>274302.55205434049</v>
      </c>
      <c r="J386">
        <f t="shared" si="17"/>
        <v>1</v>
      </c>
      <c r="M386">
        <v>38200</v>
      </c>
      <c r="N386">
        <v>0.998</v>
      </c>
      <c r="O386">
        <v>2.0000000000000018E-3</v>
      </c>
    </row>
    <row r="387" spans="1:15" x14ac:dyDescent="0.25">
      <c r="A387">
        <v>384</v>
      </c>
      <c r="B387" s="3">
        <f>NoMTC!K385</f>
        <v>111898.278579829</v>
      </c>
      <c r="C387" s="2">
        <f>NoMTC!I385</f>
        <v>8.8098222800400094</v>
      </c>
      <c r="D387" s="3">
        <f>MTC!K385</f>
        <v>119090.61485459701</v>
      </c>
      <c r="E387" s="2">
        <f>MTC!I385</f>
        <v>9.4071751015274199</v>
      </c>
      <c r="F387" s="2">
        <f t="shared" si="15"/>
        <v>7192.3362747680076</v>
      </c>
      <c r="G387" s="2">
        <f t="shared" si="16"/>
        <v>0.59735282148741042</v>
      </c>
      <c r="H387" s="3">
        <f>E387*Lambda-D387</f>
        <v>351268.140221774</v>
      </c>
      <c r="I387" s="3">
        <f>C387*Lambda-B387</f>
        <v>328592.83542217151</v>
      </c>
      <c r="J387">
        <f t="shared" si="17"/>
        <v>1</v>
      </c>
      <c r="M387">
        <v>38300</v>
      </c>
      <c r="N387">
        <v>0.998</v>
      </c>
      <c r="O387">
        <v>2.0000000000000018E-3</v>
      </c>
    </row>
    <row r="388" spans="1:15" x14ac:dyDescent="0.25">
      <c r="A388">
        <v>385</v>
      </c>
      <c r="B388" s="3">
        <f>NoMTC!K386</f>
        <v>91650.082596246895</v>
      </c>
      <c r="C388" s="2">
        <f>NoMTC!I386</f>
        <v>8.7950306485011893</v>
      </c>
      <c r="D388" s="3">
        <f>MTC!K386</f>
        <v>95687.101061309499</v>
      </c>
      <c r="E388" s="2">
        <f>MTC!I386</f>
        <v>9.2022565449808802</v>
      </c>
      <c r="F388" s="2">
        <f t="shared" si="15"/>
        <v>4037.0184650626034</v>
      </c>
      <c r="G388" s="2">
        <f t="shared" si="16"/>
        <v>0.40722589647969087</v>
      </c>
      <c r="H388" s="3">
        <f>E388*Lambda-D388</f>
        <v>364425.72618773452</v>
      </c>
      <c r="I388" s="3">
        <f>C388*Lambda-B388</f>
        <v>348101.44982881256</v>
      </c>
      <c r="J388">
        <f t="shared" si="17"/>
        <v>1</v>
      </c>
      <c r="M388">
        <v>38400</v>
      </c>
      <c r="N388">
        <v>0.998</v>
      </c>
      <c r="O388">
        <v>2.0000000000000018E-3</v>
      </c>
    </row>
    <row r="389" spans="1:15" x14ac:dyDescent="0.25">
      <c r="A389">
        <v>386</v>
      </c>
      <c r="B389" s="3">
        <f>NoMTC!K387</f>
        <v>117643.71567356501</v>
      </c>
      <c r="C389" s="2">
        <f>NoMTC!I387</f>
        <v>6.9222296281658</v>
      </c>
      <c r="D389" s="3">
        <f>MTC!K387</f>
        <v>122967.79410729</v>
      </c>
      <c r="E389" s="2">
        <f>MTC!I387</f>
        <v>7.2274833718116396</v>
      </c>
      <c r="F389" s="2">
        <f t="shared" ref="F389:F452" si="18">D389-B389</f>
        <v>5324.0784337249934</v>
      </c>
      <c r="G389" s="2">
        <f t="shared" ref="G389:G452" si="19">E389-C389</f>
        <v>0.30525374364583957</v>
      </c>
      <c r="H389" s="3">
        <f>E389*Lambda-D389</f>
        <v>238406.37448329199</v>
      </c>
      <c r="I389" s="3">
        <f>C389*Lambda-B389</f>
        <v>228467.76573472499</v>
      </c>
      <c r="J389">
        <f t="shared" ref="J389:J452" si="20">IF(H389=MAX(H389:I389),1,0)</f>
        <v>1</v>
      </c>
      <c r="M389">
        <v>38500</v>
      </c>
      <c r="N389">
        <v>0.998</v>
      </c>
      <c r="O389">
        <v>2.0000000000000018E-3</v>
      </c>
    </row>
    <row r="390" spans="1:15" x14ac:dyDescent="0.25">
      <c r="A390">
        <v>387</v>
      </c>
      <c r="B390" s="3">
        <f>NoMTC!K388</f>
        <v>120514.11860092</v>
      </c>
      <c r="C390" s="2">
        <f>NoMTC!I388</f>
        <v>8.0278027984762605</v>
      </c>
      <c r="D390" s="3">
        <f>MTC!K388</f>
        <v>130382.643253086</v>
      </c>
      <c r="E390" s="2">
        <f>MTC!I388</f>
        <v>8.6834267385141999</v>
      </c>
      <c r="F390" s="2">
        <f t="shared" si="18"/>
        <v>9868.524652166001</v>
      </c>
      <c r="G390" s="2">
        <f t="shared" si="19"/>
        <v>0.65562394003793933</v>
      </c>
      <c r="H390" s="3">
        <f>E390*Lambda-D390</f>
        <v>303788.69367262395</v>
      </c>
      <c r="I390" s="3">
        <f>C390*Lambda-B390</f>
        <v>280876.02132289304</v>
      </c>
      <c r="J390">
        <f t="shared" si="20"/>
        <v>1</v>
      </c>
      <c r="M390">
        <v>38600</v>
      </c>
      <c r="N390">
        <v>0.998</v>
      </c>
      <c r="O390">
        <v>2.0000000000000018E-3</v>
      </c>
    </row>
    <row r="391" spans="1:15" x14ac:dyDescent="0.25">
      <c r="A391">
        <v>388</v>
      </c>
      <c r="B391" s="3">
        <f>NoMTC!K389</f>
        <v>107786.69475068399</v>
      </c>
      <c r="C391" s="2">
        <f>NoMTC!I389</f>
        <v>7.2040530114619701</v>
      </c>
      <c r="D391" s="3">
        <f>MTC!K389</f>
        <v>117572.61297719</v>
      </c>
      <c r="E391" s="2">
        <f>MTC!I389</f>
        <v>7.8306016631789896</v>
      </c>
      <c r="F391" s="2">
        <f t="shared" si="18"/>
        <v>9785.9182265060081</v>
      </c>
      <c r="G391" s="2">
        <f t="shared" si="19"/>
        <v>0.62654865171701957</v>
      </c>
      <c r="H391" s="3">
        <f>E391*Lambda-D391</f>
        <v>273957.47018175951</v>
      </c>
      <c r="I391" s="3">
        <f>C391*Lambda-B391</f>
        <v>252415.95582241451</v>
      </c>
      <c r="J391">
        <f t="shared" si="20"/>
        <v>1</v>
      </c>
      <c r="M391">
        <v>38700</v>
      </c>
      <c r="N391">
        <v>0.998</v>
      </c>
      <c r="O391">
        <v>2.0000000000000018E-3</v>
      </c>
    </row>
    <row r="392" spans="1:15" x14ac:dyDescent="0.25">
      <c r="A392">
        <v>389</v>
      </c>
      <c r="B392" s="3">
        <f>NoMTC!K390</f>
        <v>120085.56836357601</v>
      </c>
      <c r="C392" s="2">
        <f>NoMTC!I390</f>
        <v>8.2421153012272299</v>
      </c>
      <c r="D392" s="3">
        <f>MTC!K390</f>
        <v>123513.806653008</v>
      </c>
      <c r="E392" s="2">
        <f>MTC!I390</f>
        <v>8.4820323475883708</v>
      </c>
      <c r="F392" s="2">
        <f t="shared" si="18"/>
        <v>3428.238289431989</v>
      </c>
      <c r="G392" s="2">
        <f t="shared" si="19"/>
        <v>0.23991704636114086</v>
      </c>
      <c r="H392" s="3">
        <f>E392*Lambda-D392</f>
        <v>300587.81072641053</v>
      </c>
      <c r="I392" s="3">
        <f>C392*Lambda-B392</f>
        <v>292020.19669778546</v>
      </c>
      <c r="J392">
        <f t="shared" si="20"/>
        <v>1</v>
      </c>
      <c r="M392">
        <v>38800</v>
      </c>
      <c r="N392">
        <v>0.998</v>
      </c>
      <c r="O392">
        <v>2.0000000000000018E-3</v>
      </c>
    </row>
    <row r="393" spans="1:15" x14ac:dyDescent="0.25">
      <c r="A393">
        <v>390</v>
      </c>
      <c r="B393" s="3">
        <f>NoMTC!K391</f>
        <v>113467.647374108</v>
      </c>
      <c r="C393" s="2">
        <f>NoMTC!I391</f>
        <v>7.8004517981005597</v>
      </c>
      <c r="D393" s="3">
        <f>MTC!K391</f>
        <v>119992.802291966</v>
      </c>
      <c r="E393" s="2">
        <f>MTC!I391</f>
        <v>8.2454384314485196</v>
      </c>
      <c r="F393" s="2">
        <f t="shared" si="18"/>
        <v>6525.1549178580026</v>
      </c>
      <c r="G393" s="2">
        <f t="shared" si="19"/>
        <v>0.44498663334795996</v>
      </c>
      <c r="H393" s="3">
        <f>E393*Lambda-D393</f>
        <v>292279.11928046</v>
      </c>
      <c r="I393" s="3">
        <f>C393*Lambda-B393</f>
        <v>276554.94253092003</v>
      </c>
      <c r="J393">
        <f t="shared" si="20"/>
        <v>1</v>
      </c>
      <c r="M393">
        <v>38900</v>
      </c>
      <c r="N393">
        <v>0.998</v>
      </c>
      <c r="O393">
        <v>2.0000000000000018E-3</v>
      </c>
    </row>
    <row r="394" spans="1:15" x14ac:dyDescent="0.25">
      <c r="A394">
        <v>391</v>
      </c>
      <c r="B394" s="3">
        <f>NoMTC!K392</f>
        <v>131880.600298568</v>
      </c>
      <c r="C394" s="2">
        <f>NoMTC!I392</f>
        <v>7.0721729362425299</v>
      </c>
      <c r="D394" s="3">
        <f>MTC!K392</f>
        <v>139725.708958473</v>
      </c>
      <c r="E394" s="2">
        <f>MTC!I392</f>
        <v>7.4645469869962797</v>
      </c>
      <c r="F394" s="2">
        <f t="shared" si="18"/>
        <v>7845.1086599050032</v>
      </c>
      <c r="G394" s="2">
        <f t="shared" si="19"/>
        <v>0.39237405075374987</v>
      </c>
      <c r="H394" s="3">
        <f>E394*Lambda-D394</f>
        <v>233501.640391341</v>
      </c>
      <c r="I394" s="3">
        <f>C394*Lambda-B394</f>
        <v>221728.04651355851</v>
      </c>
      <c r="J394">
        <f t="shared" si="20"/>
        <v>1</v>
      </c>
      <c r="M394">
        <v>39000</v>
      </c>
      <c r="N394">
        <v>0.998</v>
      </c>
      <c r="O394">
        <v>2.0000000000000018E-3</v>
      </c>
    </row>
    <row r="395" spans="1:15" x14ac:dyDescent="0.25">
      <c r="A395">
        <v>392</v>
      </c>
      <c r="B395" s="3">
        <f>NoMTC!K393</f>
        <v>112653.913547694</v>
      </c>
      <c r="C395" s="2">
        <f>NoMTC!I393</f>
        <v>7.5601146734808902</v>
      </c>
      <c r="D395" s="3">
        <f>MTC!K393</f>
        <v>122824.892288594</v>
      </c>
      <c r="E395" s="2">
        <f>MTC!I393</f>
        <v>8.2312356118154497</v>
      </c>
      <c r="F395" s="2">
        <f t="shared" si="18"/>
        <v>10170.978740899998</v>
      </c>
      <c r="G395" s="2">
        <f t="shared" si="19"/>
        <v>0.67112093833455955</v>
      </c>
      <c r="H395" s="3">
        <f>E395*Lambda-D395</f>
        <v>288736.88830217853</v>
      </c>
      <c r="I395" s="3">
        <f>C395*Lambda-B395</f>
        <v>265351.8201263505</v>
      </c>
      <c r="J395">
        <f t="shared" si="20"/>
        <v>1</v>
      </c>
      <c r="M395">
        <v>39100</v>
      </c>
      <c r="N395">
        <v>0.998</v>
      </c>
      <c r="O395">
        <v>2.0000000000000018E-3</v>
      </c>
    </row>
    <row r="396" spans="1:15" x14ac:dyDescent="0.25">
      <c r="A396">
        <v>393</v>
      </c>
      <c r="B396" s="3">
        <f>NoMTC!K394</f>
        <v>105696.92311677401</v>
      </c>
      <c r="C396" s="2">
        <f>NoMTC!I394</f>
        <v>7.4104245123848997</v>
      </c>
      <c r="D396" s="3">
        <f>MTC!K394</f>
        <v>108940.713432727</v>
      </c>
      <c r="E396" s="2">
        <f>MTC!I394</f>
        <v>7.6262027725158399</v>
      </c>
      <c r="F396" s="2">
        <f t="shared" si="18"/>
        <v>3243.790315952996</v>
      </c>
      <c r="G396" s="2">
        <f t="shared" si="19"/>
        <v>0.21577826013094015</v>
      </c>
      <c r="H396" s="3">
        <f>E396*Lambda-D396</f>
        <v>272369.42519306496</v>
      </c>
      <c r="I396" s="3">
        <f>C396*Lambda-B396</f>
        <v>264824.30250247096</v>
      </c>
      <c r="J396">
        <f t="shared" si="20"/>
        <v>1</v>
      </c>
      <c r="M396">
        <v>39200</v>
      </c>
      <c r="N396">
        <v>0.998</v>
      </c>
      <c r="O396">
        <v>2.0000000000000018E-3</v>
      </c>
    </row>
    <row r="397" spans="1:15" x14ac:dyDescent="0.25">
      <c r="A397">
        <v>394</v>
      </c>
      <c r="B397" s="3">
        <f>NoMTC!K395</f>
        <v>147242.50766203899</v>
      </c>
      <c r="C397" s="2">
        <f>NoMTC!I395</f>
        <v>6.9042703979748499</v>
      </c>
      <c r="D397" s="3">
        <f>MTC!K395</f>
        <v>152771.096391178</v>
      </c>
      <c r="E397" s="2">
        <f>MTC!I395</f>
        <v>7.1222273328691497</v>
      </c>
      <c r="F397" s="2">
        <f t="shared" si="18"/>
        <v>5528.58872913901</v>
      </c>
      <c r="G397" s="2">
        <f t="shared" si="19"/>
        <v>0.21795693489429979</v>
      </c>
      <c r="H397" s="3">
        <f>E397*Lambda-D397</f>
        <v>203340.2702522795</v>
      </c>
      <c r="I397" s="3">
        <f>C397*Lambda-B397</f>
        <v>197971.01223670351</v>
      </c>
      <c r="J397">
        <f t="shared" si="20"/>
        <v>1</v>
      </c>
      <c r="M397">
        <v>39300</v>
      </c>
      <c r="N397">
        <v>0.998</v>
      </c>
      <c r="O397">
        <v>2.0000000000000018E-3</v>
      </c>
    </row>
    <row r="398" spans="1:15" x14ac:dyDescent="0.25">
      <c r="A398">
        <v>395</v>
      </c>
      <c r="B398" s="3">
        <f>NoMTC!K396</f>
        <v>99141.805926838293</v>
      </c>
      <c r="C398" s="2">
        <f>NoMTC!I396</f>
        <v>7.6535306288433604</v>
      </c>
      <c r="D398" s="3">
        <f>MTC!K396</f>
        <v>105997.771841851</v>
      </c>
      <c r="E398" s="2">
        <f>MTC!I396</f>
        <v>8.2063616226170097</v>
      </c>
      <c r="F398" s="2">
        <f t="shared" si="18"/>
        <v>6855.9659150127118</v>
      </c>
      <c r="G398" s="2">
        <f t="shared" si="19"/>
        <v>0.5528309937736493</v>
      </c>
      <c r="H398" s="3">
        <f>E398*Lambda-D398</f>
        <v>304320.30928899947</v>
      </c>
      <c r="I398" s="3">
        <f>C398*Lambda-B398</f>
        <v>283534.72551532969</v>
      </c>
      <c r="J398">
        <f t="shared" si="20"/>
        <v>1</v>
      </c>
      <c r="M398">
        <v>39400</v>
      </c>
      <c r="N398">
        <v>0.998</v>
      </c>
      <c r="O398">
        <v>2.0000000000000018E-3</v>
      </c>
    </row>
    <row r="399" spans="1:15" x14ac:dyDescent="0.25">
      <c r="A399">
        <v>396</v>
      </c>
      <c r="B399" s="3">
        <f>NoMTC!K397</f>
        <v>113176.513597832</v>
      </c>
      <c r="C399" s="2">
        <f>NoMTC!I397</f>
        <v>7.6098829971639503</v>
      </c>
      <c r="D399" s="3">
        <f>MTC!K397</f>
        <v>113047.62111610601</v>
      </c>
      <c r="E399" s="2">
        <f>MTC!I397</f>
        <v>7.6530205886618896</v>
      </c>
      <c r="F399" s="2">
        <f t="shared" si="18"/>
        <v>-128.89248172599764</v>
      </c>
      <c r="G399" s="2">
        <f t="shared" si="19"/>
        <v>4.3137591497939276E-2</v>
      </c>
      <c r="H399" s="3">
        <f>E399*Lambda-D399</f>
        <v>269603.4083169885</v>
      </c>
      <c r="I399" s="3">
        <f>C399*Lambda-B399</f>
        <v>267317.63626036549</v>
      </c>
      <c r="J399">
        <f t="shared" si="20"/>
        <v>1</v>
      </c>
      <c r="M399">
        <v>39500</v>
      </c>
      <c r="N399">
        <v>0.998</v>
      </c>
      <c r="O399">
        <v>2.0000000000000018E-3</v>
      </c>
    </row>
    <row r="400" spans="1:15" x14ac:dyDescent="0.25">
      <c r="A400">
        <v>397</v>
      </c>
      <c r="B400" s="3">
        <f>NoMTC!K398</f>
        <v>118498.957959134</v>
      </c>
      <c r="C400" s="2">
        <f>NoMTC!I398</f>
        <v>7.9606103872021503</v>
      </c>
      <c r="D400" s="3">
        <f>MTC!K398</f>
        <v>124561.920927118</v>
      </c>
      <c r="E400" s="2">
        <f>MTC!I398</f>
        <v>8.3346477706762592</v>
      </c>
      <c r="F400" s="2">
        <f t="shared" si="18"/>
        <v>6062.962967984</v>
      </c>
      <c r="G400" s="2">
        <f t="shared" si="19"/>
        <v>0.37403738347410886</v>
      </c>
      <c r="H400" s="3">
        <f>E400*Lambda-D400</f>
        <v>292170.46760669496</v>
      </c>
      <c r="I400" s="3">
        <f>C400*Lambda-B400</f>
        <v>279531.56140097353</v>
      </c>
      <c r="J400">
        <f t="shared" si="20"/>
        <v>1</v>
      </c>
      <c r="M400">
        <v>39600</v>
      </c>
      <c r="N400">
        <v>0.998</v>
      </c>
      <c r="O400">
        <v>2.0000000000000018E-3</v>
      </c>
    </row>
    <row r="401" spans="1:15" x14ac:dyDescent="0.25">
      <c r="A401">
        <v>398</v>
      </c>
      <c r="B401" s="3">
        <f>NoMTC!K399</f>
        <v>105641.312026292</v>
      </c>
      <c r="C401" s="2">
        <f>NoMTC!I399</f>
        <v>8.2137448392159502</v>
      </c>
      <c r="D401" s="3">
        <f>MTC!K399</f>
        <v>107161.696054787</v>
      </c>
      <c r="E401" s="2">
        <f>MTC!I399</f>
        <v>8.3307057629055503</v>
      </c>
      <c r="F401" s="2">
        <f t="shared" si="18"/>
        <v>1520.3840284949983</v>
      </c>
      <c r="G401" s="2">
        <f t="shared" si="19"/>
        <v>0.11696092368960009</v>
      </c>
      <c r="H401" s="3">
        <f>E401*Lambda-D401</f>
        <v>309373.59209049051</v>
      </c>
      <c r="I401" s="3">
        <f>C401*Lambda-B401</f>
        <v>305045.92993450549</v>
      </c>
      <c r="J401">
        <f t="shared" si="20"/>
        <v>1</v>
      </c>
      <c r="M401">
        <v>39700</v>
      </c>
      <c r="N401">
        <v>0.998</v>
      </c>
      <c r="O401">
        <v>2.0000000000000018E-3</v>
      </c>
    </row>
    <row r="402" spans="1:15" x14ac:dyDescent="0.25">
      <c r="A402">
        <v>399</v>
      </c>
      <c r="B402" s="3">
        <f>NoMTC!K400</f>
        <v>120646.90780371</v>
      </c>
      <c r="C402" s="2">
        <f>NoMTC!I400</f>
        <v>8.0687309567833907</v>
      </c>
      <c r="D402" s="3">
        <f>MTC!K400</f>
        <v>127700.096766544</v>
      </c>
      <c r="E402" s="2">
        <f>MTC!I400</f>
        <v>8.5003264144922994</v>
      </c>
      <c r="F402" s="2">
        <f t="shared" si="18"/>
        <v>7053.1889628339995</v>
      </c>
      <c r="G402" s="2">
        <f t="shared" si="19"/>
        <v>0.43159545770890873</v>
      </c>
      <c r="H402" s="3">
        <f>E402*Lambda-D402</f>
        <v>297316.22395807097</v>
      </c>
      <c r="I402" s="3">
        <f>C402*Lambda-B402</f>
        <v>282789.64003545954</v>
      </c>
      <c r="J402">
        <f t="shared" si="20"/>
        <v>1</v>
      </c>
      <c r="M402">
        <v>39800</v>
      </c>
      <c r="N402">
        <v>0.998</v>
      </c>
      <c r="O402">
        <v>2.0000000000000018E-3</v>
      </c>
    </row>
    <row r="403" spans="1:15" x14ac:dyDescent="0.25">
      <c r="A403">
        <v>400</v>
      </c>
      <c r="B403" s="3">
        <f>NoMTC!K401</f>
        <v>92159.086992170996</v>
      </c>
      <c r="C403" s="2">
        <f>NoMTC!I401</f>
        <v>6.9949224197987201</v>
      </c>
      <c r="D403" s="3">
        <f>MTC!K401</f>
        <v>97440.252200657094</v>
      </c>
      <c r="E403" s="2">
        <f>MTC!I401</f>
        <v>7.3966073163912798</v>
      </c>
      <c r="F403" s="2">
        <f t="shared" si="18"/>
        <v>5281.165208486098</v>
      </c>
      <c r="G403" s="2">
        <f t="shared" si="19"/>
        <v>0.40168489659255968</v>
      </c>
      <c r="H403" s="3">
        <f>E403*Lambda-D403</f>
        <v>272390.11361890688</v>
      </c>
      <c r="I403" s="3">
        <f>C403*Lambda-B403</f>
        <v>257587.03399776499</v>
      </c>
      <c r="J403">
        <f t="shared" si="20"/>
        <v>1</v>
      </c>
      <c r="M403">
        <v>39900</v>
      </c>
      <c r="N403">
        <v>0.998</v>
      </c>
      <c r="O403">
        <v>2.0000000000000018E-3</v>
      </c>
    </row>
    <row r="404" spans="1:15" x14ac:dyDescent="0.25">
      <c r="A404">
        <v>401</v>
      </c>
      <c r="B404" s="3">
        <f>NoMTC!K402</f>
        <v>126446.929968925</v>
      </c>
      <c r="C404" s="2">
        <f>NoMTC!I402</f>
        <v>8.6857957624036093</v>
      </c>
      <c r="D404" s="3">
        <f>MTC!K402</f>
        <v>132737.734473408</v>
      </c>
      <c r="E404" s="2">
        <f>MTC!I402</f>
        <v>9.1122620840283304</v>
      </c>
      <c r="F404" s="2">
        <f t="shared" si="18"/>
        <v>6290.8045044829923</v>
      </c>
      <c r="G404" s="2">
        <f t="shared" si="19"/>
        <v>0.42646632162472109</v>
      </c>
      <c r="H404" s="3">
        <f>E404*Lambda-D404</f>
        <v>322875.36972800852</v>
      </c>
      <c r="I404" s="3">
        <f>C404*Lambda-B404</f>
        <v>307842.85815125547</v>
      </c>
      <c r="J404">
        <f t="shared" si="20"/>
        <v>1</v>
      </c>
      <c r="M404">
        <v>40000</v>
      </c>
      <c r="N404">
        <v>0.998</v>
      </c>
      <c r="O404">
        <v>2.0000000000000018E-3</v>
      </c>
    </row>
    <row r="405" spans="1:15" x14ac:dyDescent="0.25">
      <c r="A405">
        <v>402</v>
      </c>
      <c r="B405" s="3">
        <f>NoMTC!K403</f>
        <v>112638.937263819</v>
      </c>
      <c r="C405" s="2">
        <f>NoMTC!I403</f>
        <v>7.8383084953223996</v>
      </c>
      <c r="D405" s="3">
        <f>MTC!K403</f>
        <v>115141.12928848001</v>
      </c>
      <c r="E405" s="2">
        <f>MTC!I403</f>
        <v>8.0188021610301607</v>
      </c>
      <c r="F405" s="2">
        <f t="shared" si="18"/>
        <v>2502.1920246610098</v>
      </c>
      <c r="G405" s="2">
        <f t="shared" si="19"/>
        <v>0.18049366570776115</v>
      </c>
      <c r="H405" s="3">
        <f>E405*Lambda-D405</f>
        <v>285798.97876302805</v>
      </c>
      <c r="I405" s="3">
        <f>C405*Lambda-B405</f>
        <v>279276.487502301</v>
      </c>
      <c r="J405">
        <f t="shared" si="20"/>
        <v>1</v>
      </c>
      <c r="M405">
        <v>40100</v>
      </c>
      <c r="N405">
        <v>0.998</v>
      </c>
      <c r="O405">
        <v>2.0000000000000018E-3</v>
      </c>
    </row>
    <row r="406" spans="1:15" x14ac:dyDescent="0.25">
      <c r="A406">
        <v>403</v>
      </c>
      <c r="B406" s="3">
        <f>NoMTC!K404</f>
        <v>149081.50552218501</v>
      </c>
      <c r="C406" s="2">
        <f>NoMTC!I404</f>
        <v>6.9885676050681598</v>
      </c>
      <c r="D406" s="3">
        <f>MTC!K404</f>
        <v>159444.175011671</v>
      </c>
      <c r="E406" s="2">
        <f>MTC!I404</f>
        <v>7.4376404422601503</v>
      </c>
      <c r="F406" s="2">
        <f t="shared" si="18"/>
        <v>10362.669489485997</v>
      </c>
      <c r="G406" s="2">
        <f t="shared" si="19"/>
        <v>0.44907283719199054</v>
      </c>
      <c r="H406" s="3">
        <f>E406*Lambda-D406</f>
        <v>212437.84710133649</v>
      </c>
      <c r="I406" s="3">
        <f>C406*Lambda-B406</f>
        <v>200346.87473122298</v>
      </c>
      <c r="J406">
        <f t="shared" si="20"/>
        <v>1</v>
      </c>
      <c r="M406">
        <v>40200</v>
      </c>
      <c r="N406">
        <v>0.998</v>
      </c>
      <c r="O406">
        <v>2.0000000000000018E-3</v>
      </c>
    </row>
    <row r="407" spans="1:15" x14ac:dyDescent="0.25">
      <c r="A407">
        <v>404</v>
      </c>
      <c r="B407" s="3">
        <f>NoMTC!K405</f>
        <v>123563.85894184699</v>
      </c>
      <c r="C407" s="2">
        <f>NoMTC!I405</f>
        <v>8.1129139663861594</v>
      </c>
      <c r="D407" s="3">
        <f>MTC!K405</f>
        <v>132613.219705986</v>
      </c>
      <c r="E407" s="2">
        <f>MTC!I405</f>
        <v>8.7168642380262504</v>
      </c>
      <c r="F407" s="2">
        <f t="shared" si="18"/>
        <v>9049.3607641390117</v>
      </c>
      <c r="G407" s="2">
        <f t="shared" si="19"/>
        <v>0.60395027164009107</v>
      </c>
      <c r="H407" s="3">
        <f>E407*Lambda-D407</f>
        <v>303229.99219532649</v>
      </c>
      <c r="I407" s="3">
        <f>C407*Lambda-B407</f>
        <v>282081.839377461</v>
      </c>
      <c r="J407">
        <f t="shared" si="20"/>
        <v>1</v>
      </c>
      <c r="M407">
        <v>40300</v>
      </c>
      <c r="N407">
        <v>0.998</v>
      </c>
      <c r="O407">
        <v>2.0000000000000018E-3</v>
      </c>
    </row>
    <row r="408" spans="1:15" x14ac:dyDescent="0.25">
      <c r="A408">
        <v>405</v>
      </c>
      <c r="B408" s="3">
        <f>NoMTC!K406</f>
        <v>88371.705514452304</v>
      </c>
      <c r="C408" s="2">
        <f>NoMTC!I406</f>
        <v>7.79913315364767</v>
      </c>
      <c r="D408" s="3">
        <f>MTC!K406</f>
        <v>92629.348527717797</v>
      </c>
      <c r="E408" s="2">
        <f>MTC!I406</f>
        <v>8.1977073242660996</v>
      </c>
      <c r="F408" s="2">
        <f t="shared" si="18"/>
        <v>4257.6430132654932</v>
      </c>
      <c r="G408" s="2">
        <f t="shared" si="19"/>
        <v>0.39857417061842959</v>
      </c>
      <c r="H408" s="3">
        <f>E408*Lambda-D408</f>
        <v>317256.01768558717</v>
      </c>
      <c r="I408" s="3">
        <f>C408*Lambda-B408</f>
        <v>301584.95216793119</v>
      </c>
      <c r="J408">
        <f t="shared" si="20"/>
        <v>1</v>
      </c>
      <c r="M408">
        <v>40400</v>
      </c>
      <c r="N408">
        <v>0.998</v>
      </c>
      <c r="O408">
        <v>2.0000000000000018E-3</v>
      </c>
    </row>
    <row r="409" spans="1:15" x14ac:dyDescent="0.25">
      <c r="A409">
        <v>406</v>
      </c>
      <c r="B409" s="3">
        <f>NoMTC!K407</f>
        <v>116521.00811086</v>
      </c>
      <c r="C409" s="2">
        <f>NoMTC!I407</f>
        <v>7.0124665386124398</v>
      </c>
      <c r="D409" s="3">
        <f>MTC!K407</f>
        <v>124611.0355532</v>
      </c>
      <c r="E409" s="2">
        <f>MTC!I407</f>
        <v>7.5059687121087997</v>
      </c>
      <c r="F409" s="2">
        <f t="shared" si="18"/>
        <v>8090.0274423399969</v>
      </c>
      <c r="G409" s="2">
        <f t="shared" si="19"/>
        <v>0.49350217349635983</v>
      </c>
      <c r="H409" s="3">
        <f>E409*Lambda-D409</f>
        <v>250687.40005224</v>
      </c>
      <c r="I409" s="3">
        <f>C409*Lambda-B409</f>
        <v>234102.31881976197</v>
      </c>
      <c r="J409">
        <f t="shared" si="20"/>
        <v>1</v>
      </c>
      <c r="M409">
        <v>40500</v>
      </c>
      <c r="N409">
        <v>0.998</v>
      </c>
      <c r="O409">
        <v>2.0000000000000018E-3</v>
      </c>
    </row>
    <row r="410" spans="1:15" x14ac:dyDescent="0.25">
      <c r="A410">
        <v>407</v>
      </c>
      <c r="B410" s="3">
        <f>NoMTC!K408</f>
        <v>123466.675610454</v>
      </c>
      <c r="C410" s="2">
        <f>NoMTC!I408</f>
        <v>8.8223093717610404</v>
      </c>
      <c r="D410" s="3">
        <f>MTC!K408</f>
        <v>130267.890862022</v>
      </c>
      <c r="E410" s="2">
        <f>MTC!I408</f>
        <v>9.2727809867821502</v>
      </c>
      <c r="F410" s="2">
        <f t="shared" si="18"/>
        <v>6801.2152515680064</v>
      </c>
      <c r="G410" s="2">
        <f t="shared" si="19"/>
        <v>0.45047161502110988</v>
      </c>
      <c r="H410" s="3">
        <f>E410*Lambda-D410</f>
        <v>333371.15847708553</v>
      </c>
      <c r="I410" s="3">
        <f>C410*Lambda-B410</f>
        <v>317648.79297759803</v>
      </c>
      <c r="J410">
        <f t="shared" si="20"/>
        <v>1</v>
      </c>
      <c r="M410">
        <v>40600</v>
      </c>
      <c r="N410">
        <v>0.998</v>
      </c>
      <c r="O410">
        <v>2.0000000000000018E-3</v>
      </c>
    </row>
    <row r="411" spans="1:15" x14ac:dyDescent="0.25">
      <c r="A411">
        <v>408</v>
      </c>
      <c r="B411" s="3">
        <f>NoMTC!K409</f>
        <v>104440.820323893</v>
      </c>
      <c r="C411" s="2">
        <f>NoMTC!I409</f>
        <v>8.7997463130930598</v>
      </c>
      <c r="D411" s="3">
        <f>MTC!K409</f>
        <v>106271.05624468</v>
      </c>
      <c r="E411" s="2">
        <f>MTC!I409</f>
        <v>8.9349045918408105</v>
      </c>
      <c r="F411" s="2">
        <f t="shared" si="18"/>
        <v>1830.2359207870031</v>
      </c>
      <c r="G411" s="2">
        <f t="shared" si="19"/>
        <v>0.13515827874775077</v>
      </c>
      <c r="H411" s="3">
        <f>E411*Lambda-D411</f>
        <v>340474.17334736051</v>
      </c>
      <c r="I411" s="3">
        <f>C411*Lambda-B411</f>
        <v>335546.49533076002</v>
      </c>
      <c r="J411">
        <f t="shared" si="20"/>
        <v>1</v>
      </c>
      <c r="M411">
        <v>40700</v>
      </c>
      <c r="N411">
        <v>0.998</v>
      </c>
      <c r="O411">
        <v>2.0000000000000018E-3</v>
      </c>
    </row>
    <row r="412" spans="1:15" x14ac:dyDescent="0.25">
      <c r="A412">
        <v>409</v>
      </c>
      <c r="B412" s="3">
        <f>NoMTC!K410</f>
        <v>96519.332833548906</v>
      </c>
      <c r="C412" s="2">
        <f>NoMTC!I410</f>
        <v>7.3322664222050404</v>
      </c>
      <c r="D412" s="3">
        <f>MTC!K410</f>
        <v>103503.16608938899</v>
      </c>
      <c r="E412" s="2">
        <f>MTC!I410</f>
        <v>7.9022370987613204</v>
      </c>
      <c r="F412" s="2">
        <f t="shared" si="18"/>
        <v>6983.8332558400871</v>
      </c>
      <c r="G412" s="2">
        <f t="shared" si="19"/>
        <v>0.56997067655627998</v>
      </c>
      <c r="H412" s="3">
        <f>E412*Lambda-D412</f>
        <v>291608.68884867703</v>
      </c>
      <c r="I412" s="3">
        <f>C412*Lambda-B412</f>
        <v>270093.98827670311</v>
      </c>
      <c r="J412">
        <f t="shared" si="20"/>
        <v>1</v>
      </c>
      <c r="M412">
        <v>40800</v>
      </c>
      <c r="N412">
        <v>0.998</v>
      </c>
      <c r="O412">
        <v>2.0000000000000018E-3</v>
      </c>
    </row>
    <row r="413" spans="1:15" x14ac:dyDescent="0.25">
      <c r="A413">
        <v>410</v>
      </c>
      <c r="B413" s="3">
        <f>NoMTC!K411</f>
        <v>111980.24533501299</v>
      </c>
      <c r="C413" s="2">
        <f>NoMTC!I411</f>
        <v>7.31742849298828</v>
      </c>
      <c r="D413" s="3">
        <f>MTC!K411</f>
        <v>117727.176329829</v>
      </c>
      <c r="E413" s="2">
        <f>MTC!I411</f>
        <v>7.6741060129262904</v>
      </c>
      <c r="F413" s="2">
        <f t="shared" si="18"/>
        <v>5746.930994816008</v>
      </c>
      <c r="G413" s="2">
        <f t="shared" si="19"/>
        <v>0.35667751993801033</v>
      </c>
      <c r="H413" s="3">
        <f>E413*Lambda-D413</f>
        <v>265978.12431648548</v>
      </c>
      <c r="I413" s="3">
        <f>C413*Lambda-B413</f>
        <v>253891.17931440103</v>
      </c>
      <c r="J413">
        <f t="shared" si="20"/>
        <v>1</v>
      </c>
      <c r="M413">
        <v>40900</v>
      </c>
      <c r="N413">
        <v>0.998</v>
      </c>
      <c r="O413">
        <v>2.0000000000000018E-3</v>
      </c>
    </row>
    <row r="414" spans="1:15" x14ac:dyDescent="0.25">
      <c r="A414">
        <v>411</v>
      </c>
      <c r="B414" s="3">
        <f>NoMTC!K412</f>
        <v>138738.15727560499</v>
      </c>
      <c r="C414" s="2">
        <f>NoMTC!I412</f>
        <v>7.5883683777458399</v>
      </c>
      <c r="D414" s="3">
        <f>MTC!K412</f>
        <v>147719.626312993</v>
      </c>
      <c r="E414" s="2">
        <f>MTC!I412</f>
        <v>8.0437861016195509</v>
      </c>
      <c r="F414" s="2">
        <f t="shared" si="18"/>
        <v>8981.4690373880148</v>
      </c>
      <c r="G414" s="2">
        <f t="shared" si="19"/>
        <v>0.45541772387371093</v>
      </c>
      <c r="H414" s="3">
        <f>E414*Lambda-D414</f>
        <v>254469.67876798456</v>
      </c>
      <c r="I414" s="3">
        <f>C414*Lambda-B414</f>
        <v>240680.26161168699</v>
      </c>
      <c r="J414">
        <f t="shared" si="20"/>
        <v>1</v>
      </c>
      <c r="M414">
        <v>41000</v>
      </c>
      <c r="N414">
        <v>0.998</v>
      </c>
      <c r="O414">
        <v>2.0000000000000018E-3</v>
      </c>
    </row>
    <row r="415" spans="1:15" x14ac:dyDescent="0.25">
      <c r="A415">
        <v>412</v>
      </c>
      <c r="B415" s="3">
        <f>NoMTC!K413</f>
        <v>100964.61136762099</v>
      </c>
      <c r="C415" s="2">
        <f>NoMTC!I413</f>
        <v>6.8526671821688598</v>
      </c>
      <c r="D415" s="3">
        <f>MTC!K413</f>
        <v>106736.004466392</v>
      </c>
      <c r="E415" s="2">
        <f>MTC!I413</f>
        <v>7.2208262123412501</v>
      </c>
      <c r="F415" s="2">
        <f t="shared" si="18"/>
        <v>5771.3930987710046</v>
      </c>
      <c r="G415" s="2">
        <f t="shared" si="19"/>
        <v>0.36815903017239027</v>
      </c>
      <c r="H415" s="3">
        <f>E415*Lambda-D415</f>
        <v>254305.30615067051</v>
      </c>
      <c r="I415" s="3">
        <f>C415*Lambda-B415</f>
        <v>241668.74774082197</v>
      </c>
      <c r="J415">
        <f t="shared" si="20"/>
        <v>1</v>
      </c>
      <c r="M415">
        <v>41100</v>
      </c>
      <c r="N415">
        <v>0.998</v>
      </c>
      <c r="O415">
        <v>2.0000000000000018E-3</v>
      </c>
    </row>
    <row r="416" spans="1:15" x14ac:dyDescent="0.25">
      <c r="A416">
        <v>413</v>
      </c>
      <c r="B416" s="3">
        <f>NoMTC!K414</f>
        <v>118020.834146776</v>
      </c>
      <c r="C416" s="2">
        <f>NoMTC!I414</f>
        <v>7.5424235148064902</v>
      </c>
      <c r="D416" s="3">
        <f>MTC!K414</f>
        <v>120500.779093939</v>
      </c>
      <c r="E416" s="2">
        <f>MTC!I414</f>
        <v>7.6937006954410503</v>
      </c>
      <c r="F416" s="2">
        <f t="shared" si="18"/>
        <v>2479.9449471629923</v>
      </c>
      <c r="G416" s="2">
        <f t="shared" si="19"/>
        <v>0.15127718063456008</v>
      </c>
      <c r="H416" s="3">
        <f>E416*Lambda-D416</f>
        <v>264184.25567811349</v>
      </c>
      <c r="I416" s="3">
        <f>C416*Lambda-B416</f>
        <v>259100.34159354848</v>
      </c>
      <c r="J416">
        <f t="shared" si="20"/>
        <v>1</v>
      </c>
      <c r="M416">
        <v>41200</v>
      </c>
      <c r="N416">
        <v>0.998</v>
      </c>
      <c r="O416">
        <v>2.0000000000000018E-3</v>
      </c>
    </row>
    <row r="417" spans="1:15" x14ac:dyDescent="0.25">
      <c r="A417">
        <v>414</v>
      </c>
      <c r="B417" s="3">
        <f>NoMTC!K415</f>
        <v>83382.928520421498</v>
      </c>
      <c r="C417" s="2">
        <f>NoMTC!I415</f>
        <v>8.3006112027634202</v>
      </c>
      <c r="D417" s="3">
        <f>MTC!K415</f>
        <v>86119.413783745404</v>
      </c>
      <c r="E417" s="2">
        <f>MTC!I415</f>
        <v>8.5816578122308904</v>
      </c>
      <c r="F417" s="2">
        <f t="shared" si="18"/>
        <v>2736.4852633239061</v>
      </c>
      <c r="G417" s="2">
        <f t="shared" si="19"/>
        <v>0.28104660946747018</v>
      </c>
      <c r="H417" s="3">
        <f>E417*Lambda-D417</f>
        <v>342963.47682779911</v>
      </c>
      <c r="I417" s="3">
        <f>C417*Lambda-B417</f>
        <v>331647.63161774952</v>
      </c>
      <c r="J417">
        <f t="shared" si="20"/>
        <v>1</v>
      </c>
      <c r="M417">
        <v>41300</v>
      </c>
      <c r="N417">
        <v>0.998</v>
      </c>
      <c r="O417">
        <v>2.0000000000000018E-3</v>
      </c>
    </row>
    <row r="418" spans="1:15" x14ac:dyDescent="0.25">
      <c r="A418">
        <v>415</v>
      </c>
      <c r="B418" s="3">
        <f>NoMTC!K416</f>
        <v>96430.951820335104</v>
      </c>
      <c r="C418" s="2">
        <f>NoMTC!I416</f>
        <v>6.8615662783635596</v>
      </c>
      <c r="D418" s="3">
        <f>MTC!K416</f>
        <v>105725.96916550001</v>
      </c>
      <c r="E418" s="2">
        <f>MTC!I416</f>
        <v>7.5333700953945897</v>
      </c>
      <c r="F418" s="2">
        <f t="shared" si="18"/>
        <v>9295.0173451649025</v>
      </c>
      <c r="G418" s="2">
        <f t="shared" si="19"/>
        <v>0.67180381703103009</v>
      </c>
      <c r="H418" s="3">
        <f>E418*Lambda-D418</f>
        <v>270942.53560422949</v>
      </c>
      <c r="I418" s="3">
        <f>C418*Lambda-B418</f>
        <v>246647.36209784285</v>
      </c>
      <c r="J418">
        <f t="shared" si="20"/>
        <v>1</v>
      </c>
      <c r="M418">
        <v>41400</v>
      </c>
      <c r="N418">
        <v>0.998</v>
      </c>
      <c r="O418">
        <v>2.0000000000000018E-3</v>
      </c>
    </row>
    <row r="419" spans="1:15" x14ac:dyDescent="0.25">
      <c r="A419">
        <v>416</v>
      </c>
      <c r="B419" s="3">
        <f>NoMTC!K417</f>
        <v>119100.101208491</v>
      </c>
      <c r="C419" s="2">
        <f>NoMTC!I417</f>
        <v>8.0768549530972091</v>
      </c>
      <c r="D419" s="3">
        <f>MTC!K417</f>
        <v>121733.95914989999</v>
      </c>
      <c r="E419" s="2">
        <f>MTC!I417</f>
        <v>8.26057469890136</v>
      </c>
      <c r="F419" s="2">
        <f t="shared" si="18"/>
        <v>2633.8579414089909</v>
      </c>
      <c r="G419" s="2">
        <f t="shared" si="19"/>
        <v>0.18371974580415085</v>
      </c>
      <c r="H419" s="3">
        <f>E419*Lambda-D419</f>
        <v>291294.77579516801</v>
      </c>
      <c r="I419" s="3">
        <f>C419*Lambda-B419</f>
        <v>284742.64644636941</v>
      </c>
      <c r="J419">
        <f t="shared" si="20"/>
        <v>1</v>
      </c>
      <c r="M419">
        <v>41500</v>
      </c>
      <c r="N419">
        <v>0.998</v>
      </c>
      <c r="O419">
        <v>2.0000000000000018E-3</v>
      </c>
    </row>
    <row r="420" spans="1:15" x14ac:dyDescent="0.25">
      <c r="A420">
        <v>417</v>
      </c>
      <c r="B420" s="3">
        <f>NoMTC!K418</f>
        <v>130010.879389034</v>
      </c>
      <c r="C420" s="2">
        <f>NoMTC!I418</f>
        <v>7.99647665639446</v>
      </c>
      <c r="D420" s="3">
        <f>MTC!K418</f>
        <v>135193.675359371</v>
      </c>
      <c r="E420" s="2">
        <f>MTC!I418</f>
        <v>8.3055281651400996</v>
      </c>
      <c r="F420" s="2">
        <f t="shared" si="18"/>
        <v>5182.7959703369997</v>
      </c>
      <c r="G420" s="2">
        <f t="shared" si="19"/>
        <v>0.30905150874563958</v>
      </c>
      <c r="H420" s="3">
        <f>E420*Lambda-D420</f>
        <v>280082.73289763398</v>
      </c>
      <c r="I420" s="3">
        <f>C420*Lambda-B420</f>
        <v>269812.953430689</v>
      </c>
      <c r="J420">
        <f t="shared" si="20"/>
        <v>1</v>
      </c>
      <c r="M420">
        <v>41600</v>
      </c>
      <c r="N420">
        <v>0.998</v>
      </c>
      <c r="O420">
        <v>2.0000000000000018E-3</v>
      </c>
    </row>
    <row r="421" spans="1:15" x14ac:dyDescent="0.25">
      <c r="A421">
        <v>418</v>
      </c>
      <c r="B421" s="3">
        <f>NoMTC!K419</f>
        <v>93786.864391110896</v>
      </c>
      <c r="C421" s="2">
        <f>NoMTC!I419</f>
        <v>8.3119987667081503</v>
      </c>
      <c r="D421" s="3">
        <f>MTC!K419</f>
        <v>95312.849458046301</v>
      </c>
      <c r="E421" s="2">
        <f>MTC!I419</f>
        <v>8.4841590822606108</v>
      </c>
      <c r="F421" s="2">
        <f t="shared" si="18"/>
        <v>1525.9850669354055</v>
      </c>
      <c r="G421" s="2">
        <f t="shared" si="19"/>
        <v>0.17216031555246047</v>
      </c>
      <c r="H421" s="3">
        <f>E421*Lambda-D421</f>
        <v>328895.1046549842</v>
      </c>
      <c r="I421" s="3">
        <f>C421*Lambda-B421</f>
        <v>321813.07394429663</v>
      </c>
      <c r="J421">
        <f t="shared" si="20"/>
        <v>1</v>
      </c>
      <c r="M421">
        <v>41700</v>
      </c>
      <c r="N421">
        <v>0.998</v>
      </c>
      <c r="O421">
        <v>2.0000000000000018E-3</v>
      </c>
    </row>
    <row r="422" spans="1:15" x14ac:dyDescent="0.25">
      <c r="A422">
        <v>419</v>
      </c>
      <c r="B422" s="3">
        <f>NoMTC!K420</f>
        <v>142115.67354096301</v>
      </c>
      <c r="C422" s="2">
        <f>NoMTC!I420</f>
        <v>8.3228927074332102</v>
      </c>
      <c r="D422" s="3">
        <f>MTC!K420</f>
        <v>154083.195522984</v>
      </c>
      <c r="E422" s="2">
        <f>MTC!I420</f>
        <v>9.0015130186505594</v>
      </c>
      <c r="F422" s="2">
        <f t="shared" si="18"/>
        <v>11967.52198202099</v>
      </c>
      <c r="G422" s="2">
        <f t="shared" si="19"/>
        <v>0.67862031121734923</v>
      </c>
      <c r="H422" s="3">
        <f>E422*Lambda-D422</f>
        <v>295992.45540954394</v>
      </c>
      <c r="I422" s="3">
        <f>C422*Lambda-B422</f>
        <v>274028.96183069749</v>
      </c>
      <c r="J422">
        <f t="shared" si="20"/>
        <v>1</v>
      </c>
      <c r="M422">
        <v>41800</v>
      </c>
      <c r="N422">
        <v>0.998</v>
      </c>
      <c r="O422">
        <v>2.0000000000000018E-3</v>
      </c>
    </row>
    <row r="423" spans="1:15" x14ac:dyDescent="0.25">
      <c r="A423">
        <v>420</v>
      </c>
      <c r="B423" s="3">
        <f>NoMTC!K421</f>
        <v>91703.813567475503</v>
      </c>
      <c r="C423" s="2">
        <f>NoMTC!I421</f>
        <v>7.8168582993802298</v>
      </c>
      <c r="D423" s="3">
        <f>MTC!K421</f>
        <v>94266.9623386975</v>
      </c>
      <c r="E423" s="2">
        <f>MTC!I421</f>
        <v>8.0607480587745499</v>
      </c>
      <c r="F423" s="2">
        <f t="shared" si="18"/>
        <v>2563.1487712219969</v>
      </c>
      <c r="G423" s="2">
        <f t="shared" si="19"/>
        <v>0.24388975939432012</v>
      </c>
      <c r="H423" s="3">
        <f>E423*Lambda-D423</f>
        <v>308770.44060003001</v>
      </c>
      <c r="I423" s="3">
        <f>C423*Lambda-B423</f>
        <v>299139.10140153603</v>
      </c>
      <c r="J423">
        <f t="shared" si="20"/>
        <v>1</v>
      </c>
      <c r="M423">
        <v>41900</v>
      </c>
      <c r="N423">
        <v>0.998</v>
      </c>
      <c r="O423">
        <v>2.0000000000000018E-3</v>
      </c>
    </row>
    <row r="424" spans="1:15" x14ac:dyDescent="0.25">
      <c r="A424">
        <v>421</v>
      </c>
      <c r="B424" s="3">
        <f>NoMTC!K422</f>
        <v>103451.04304985001</v>
      </c>
      <c r="C424" s="2">
        <f>NoMTC!I422</f>
        <v>7.3536208559020402</v>
      </c>
      <c r="D424" s="3">
        <f>MTC!K422</f>
        <v>108463.809452273</v>
      </c>
      <c r="E424" s="2">
        <f>MTC!I422</f>
        <v>7.7128336162303599</v>
      </c>
      <c r="F424" s="2">
        <f t="shared" si="18"/>
        <v>5012.7664024229889</v>
      </c>
      <c r="G424" s="2">
        <f t="shared" si="19"/>
        <v>0.35921276032831972</v>
      </c>
      <c r="H424" s="3">
        <f>E424*Lambda-D424</f>
        <v>277177.87135924498</v>
      </c>
      <c r="I424" s="3">
        <f>C424*Lambda-B424</f>
        <v>264229.99974525196</v>
      </c>
      <c r="J424">
        <f t="shared" si="20"/>
        <v>1</v>
      </c>
      <c r="M424">
        <v>42000</v>
      </c>
      <c r="N424">
        <v>0.998</v>
      </c>
      <c r="O424">
        <v>2.0000000000000018E-3</v>
      </c>
    </row>
    <row r="425" spans="1:15" x14ac:dyDescent="0.25">
      <c r="A425">
        <v>422</v>
      </c>
      <c r="B425" s="3">
        <f>NoMTC!K423</f>
        <v>142150.46984190599</v>
      </c>
      <c r="C425" s="2">
        <f>NoMTC!I423</f>
        <v>8.9446557996895599</v>
      </c>
      <c r="D425" s="3">
        <f>MTC!K423</f>
        <v>146343.10991232301</v>
      </c>
      <c r="E425" s="2">
        <f>MTC!I423</f>
        <v>9.2125542365807593</v>
      </c>
      <c r="F425" s="2">
        <f t="shared" si="18"/>
        <v>4192.6400704170228</v>
      </c>
      <c r="G425" s="2">
        <f t="shared" si="19"/>
        <v>0.26789843689119941</v>
      </c>
      <c r="H425" s="3">
        <f>E425*Lambda-D425</f>
        <v>314284.60191671498</v>
      </c>
      <c r="I425" s="3">
        <f>C425*Lambda-B425</f>
        <v>305082.32014257199</v>
      </c>
      <c r="J425">
        <f t="shared" si="20"/>
        <v>1</v>
      </c>
      <c r="M425">
        <v>42100</v>
      </c>
      <c r="N425">
        <v>0.998</v>
      </c>
      <c r="O425">
        <v>2.0000000000000018E-3</v>
      </c>
    </row>
    <row r="426" spans="1:15" x14ac:dyDescent="0.25">
      <c r="A426">
        <v>423</v>
      </c>
      <c r="B426" s="3">
        <f>NoMTC!K424</f>
        <v>159439.96607509701</v>
      </c>
      <c r="C426" s="2">
        <f>NoMTC!I424</f>
        <v>8.4109652100562293</v>
      </c>
      <c r="D426" s="3">
        <f>MTC!K424</f>
        <v>165108.87395642101</v>
      </c>
      <c r="E426" s="2">
        <f>MTC!I424</f>
        <v>8.6781230449582001</v>
      </c>
      <c r="F426" s="2">
        <f t="shared" si="18"/>
        <v>5668.9078813240048</v>
      </c>
      <c r="G426" s="2">
        <f t="shared" si="19"/>
        <v>0.26715783490197076</v>
      </c>
      <c r="H426" s="3">
        <f>E426*Lambda-D426</f>
        <v>268797.278291489</v>
      </c>
      <c r="I426" s="3">
        <f>C426*Lambda-B426</f>
        <v>261108.29442771446</v>
      </c>
      <c r="J426">
        <f t="shared" si="20"/>
        <v>1</v>
      </c>
      <c r="M426">
        <v>42200</v>
      </c>
      <c r="N426">
        <v>0.998</v>
      </c>
      <c r="O426">
        <v>2.0000000000000018E-3</v>
      </c>
    </row>
    <row r="427" spans="1:15" x14ac:dyDescent="0.25">
      <c r="A427">
        <v>424</v>
      </c>
      <c r="B427" s="3">
        <f>NoMTC!K425</f>
        <v>110318.60740079801</v>
      </c>
      <c r="C427" s="2">
        <f>NoMTC!I425</f>
        <v>7.2377928012832804</v>
      </c>
      <c r="D427" s="3">
        <f>MTC!K425</f>
        <v>118436.526234805</v>
      </c>
      <c r="E427" s="2">
        <f>MTC!I425</f>
        <v>7.7518693800192704</v>
      </c>
      <c r="F427" s="2">
        <f t="shared" si="18"/>
        <v>8117.9188340069959</v>
      </c>
      <c r="G427" s="2">
        <f t="shared" si="19"/>
        <v>0.51407657873599</v>
      </c>
      <c r="H427" s="3">
        <f>E427*Lambda-D427</f>
        <v>269156.94276615849</v>
      </c>
      <c r="I427" s="3">
        <f>C427*Lambda-B427</f>
        <v>251571.032663366</v>
      </c>
      <c r="J427">
        <f t="shared" si="20"/>
        <v>1</v>
      </c>
      <c r="M427">
        <v>42300</v>
      </c>
      <c r="N427">
        <v>0.998</v>
      </c>
      <c r="O427">
        <v>2.0000000000000018E-3</v>
      </c>
    </row>
    <row r="428" spans="1:15" x14ac:dyDescent="0.25">
      <c r="A428">
        <v>425</v>
      </c>
      <c r="B428" s="3">
        <f>NoMTC!K426</f>
        <v>147400.12542047401</v>
      </c>
      <c r="C428" s="2">
        <f>NoMTC!I426</f>
        <v>7.4608480840193803</v>
      </c>
      <c r="D428" s="3">
        <f>MTC!K426</f>
        <v>157052.63831775601</v>
      </c>
      <c r="E428" s="2">
        <f>MTC!I426</f>
        <v>7.9551696397537297</v>
      </c>
      <c r="F428" s="2">
        <f t="shared" si="18"/>
        <v>9652.5128972819948</v>
      </c>
      <c r="G428" s="2">
        <f t="shared" si="19"/>
        <v>0.49432155573434944</v>
      </c>
      <c r="H428" s="3">
        <f>E428*Lambda-D428</f>
        <v>240705.84366993047</v>
      </c>
      <c r="I428" s="3">
        <f>C428*Lambda-B428</f>
        <v>225642.27878049502</v>
      </c>
      <c r="J428">
        <f t="shared" si="20"/>
        <v>1</v>
      </c>
      <c r="M428">
        <v>42400</v>
      </c>
      <c r="N428">
        <v>0.998</v>
      </c>
      <c r="O428">
        <v>2.0000000000000018E-3</v>
      </c>
    </row>
    <row r="429" spans="1:15" x14ac:dyDescent="0.25">
      <c r="A429">
        <v>426</v>
      </c>
      <c r="B429" s="3">
        <f>NoMTC!K427</f>
        <v>99476.713062757903</v>
      </c>
      <c r="C429" s="2">
        <f>NoMTC!I427</f>
        <v>7.3479591214046698</v>
      </c>
      <c r="D429" s="3">
        <f>MTC!K427</f>
        <v>103439.54971009601</v>
      </c>
      <c r="E429" s="2">
        <f>MTC!I427</f>
        <v>7.6552263095127504</v>
      </c>
      <c r="F429" s="2">
        <f t="shared" si="18"/>
        <v>3962.8366473381029</v>
      </c>
      <c r="G429" s="2">
        <f t="shared" si="19"/>
        <v>0.30726718810808062</v>
      </c>
      <c r="H429" s="3">
        <f>E429*Lambda-D429</f>
        <v>279321.76576554147</v>
      </c>
      <c r="I429" s="3">
        <f>C429*Lambda-B429</f>
        <v>267921.24300747557</v>
      </c>
      <c r="J429">
        <f t="shared" si="20"/>
        <v>1</v>
      </c>
      <c r="M429">
        <v>42500</v>
      </c>
      <c r="N429">
        <v>0.998</v>
      </c>
      <c r="O429">
        <v>2.0000000000000018E-3</v>
      </c>
    </row>
    <row r="430" spans="1:15" x14ac:dyDescent="0.25">
      <c r="A430">
        <v>427</v>
      </c>
      <c r="B430" s="3">
        <f>NoMTC!K428</f>
        <v>160886.653966176</v>
      </c>
      <c r="C430" s="2">
        <f>NoMTC!I428</f>
        <v>7.7365856510466999</v>
      </c>
      <c r="D430" s="3">
        <f>MTC!K428</f>
        <v>167450.115223901</v>
      </c>
      <c r="E430" s="2">
        <f>MTC!I428</f>
        <v>8.0779924212696095</v>
      </c>
      <c r="F430" s="2">
        <f t="shared" si="18"/>
        <v>6563.4612577249936</v>
      </c>
      <c r="G430" s="2">
        <f t="shared" si="19"/>
        <v>0.34140677022290955</v>
      </c>
      <c r="H430" s="3">
        <f>E430*Lambda-D430</f>
        <v>236449.50583957951</v>
      </c>
      <c r="I430" s="3">
        <f>C430*Lambda-B430</f>
        <v>225942.628586159</v>
      </c>
      <c r="J430">
        <f t="shared" si="20"/>
        <v>1</v>
      </c>
      <c r="M430">
        <v>42600</v>
      </c>
      <c r="N430">
        <v>0.998</v>
      </c>
      <c r="O430">
        <v>2.0000000000000018E-3</v>
      </c>
    </row>
    <row r="431" spans="1:15" x14ac:dyDescent="0.25">
      <c r="A431">
        <v>428</v>
      </c>
      <c r="B431" s="3">
        <f>NoMTC!K429</f>
        <v>117122.53457805001</v>
      </c>
      <c r="C431" s="2">
        <f>NoMTC!I429</f>
        <v>8.0189275713593808</v>
      </c>
      <c r="D431" s="3">
        <f>MTC!K429</f>
        <v>123254.434277983</v>
      </c>
      <c r="E431" s="2">
        <f>MTC!I429</f>
        <v>8.4079473810384808</v>
      </c>
      <c r="F431" s="2">
        <f t="shared" si="18"/>
        <v>6131.8996999329975</v>
      </c>
      <c r="G431" s="2">
        <f t="shared" si="19"/>
        <v>0.38901980967909999</v>
      </c>
      <c r="H431" s="3">
        <f>E431*Lambda-D431</f>
        <v>297142.93477394106</v>
      </c>
      <c r="I431" s="3">
        <f>C431*Lambda-B431</f>
        <v>283823.843989919</v>
      </c>
      <c r="J431">
        <f t="shared" si="20"/>
        <v>1</v>
      </c>
      <c r="M431">
        <v>42700</v>
      </c>
      <c r="N431">
        <v>0.998</v>
      </c>
      <c r="O431">
        <v>2.0000000000000018E-3</v>
      </c>
    </row>
    <row r="432" spans="1:15" x14ac:dyDescent="0.25">
      <c r="A432">
        <v>429</v>
      </c>
      <c r="B432" s="3">
        <f>NoMTC!K430</f>
        <v>145365.662438056</v>
      </c>
      <c r="C432" s="2">
        <f>NoMTC!I430</f>
        <v>7.4010633373109904</v>
      </c>
      <c r="D432" s="3">
        <f>MTC!K430</f>
        <v>154247.73918874</v>
      </c>
      <c r="E432" s="2">
        <f>MTC!I430</f>
        <v>7.8372570206600196</v>
      </c>
      <c r="F432" s="2">
        <f t="shared" si="18"/>
        <v>8882.0767506840057</v>
      </c>
      <c r="G432" s="2">
        <f t="shared" si="19"/>
        <v>0.43619368334902919</v>
      </c>
      <c r="H432" s="3">
        <f>E432*Lambda-D432</f>
        <v>237615.11184426097</v>
      </c>
      <c r="I432" s="3">
        <f>C432*Lambda-B432</f>
        <v>224687.50442749352</v>
      </c>
      <c r="J432">
        <f t="shared" si="20"/>
        <v>1</v>
      </c>
      <c r="M432">
        <v>42800</v>
      </c>
      <c r="N432">
        <v>0.998</v>
      </c>
      <c r="O432">
        <v>2.0000000000000018E-3</v>
      </c>
    </row>
    <row r="433" spans="1:15" x14ac:dyDescent="0.25">
      <c r="A433">
        <v>430</v>
      </c>
      <c r="B433" s="3">
        <f>NoMTC!K431</f>
        <v>104957.67454182</v>
      </c>
      <c r="C433" s="2">
        <f>NoMTC!I431</f>
        <v>8.0114953390456396</v>
      </c>
      <c r="D433" s="3">
        <f>MTC!K431</f>
        <v>106126.998294214</v>
      </c>
      <c r="E433" s="2">
        <f>MTC!I431</f>
        <v>8.0919573352189502</v>
      </c>
      <c r="F433" s="2">
        <f t="shared" si="18"/>
        <v>1169.3237523940043</v>
      </c>
      <c r="G433" s="2">
        <f t="shared" si="19"/>
        <v>8.0461996173310624E-2</v>
      </c>
      <c r="H433" s="3">
        <f>E433*Lambda-D433</f>
        <v>298470.86846673349</v>
      </c>
      <c r="I433" s="3">
        <f>C433*Lambda-B433</f>
        <v>295617.09241046198</v>
      </c>
      <c r="J433">
        <f t="shared" si="20"/>
        <v>1</v>
      </c>
      <c r="M433">
        <v>42900</v>
      </c>
      <c r="N433">
        <v>0.998</v>
      </c>
      <c r="O433">
        <v>2.0000000000000018E-3</v>
      </c>
    </row>
    <row r="434" spans="1:15" x14ac:dyDescent="0.25">
      <c r="A434">
        <v>431</v>
      </c>
      <c r="B434" s="3">
        <f>NoMTC!K432</f>
        <v>147307.84932470301</v>
      </c>
      <c r="C434" s="2">
        <f>NoMTC!I432</f>
        <v>8.3852548171624193</v>
      </c>
      <c r="D434" s="3">
        <f>MTC!K432</f>
        <v>157662.49920402799</v>
      </c>
      <c r="E434" s="2">
        <f>MTC!I432</f>
        <v>8.9513159307288799</v>
      </c>
      <c r="F434" s="2">
        <f t="shared" si="18"/>
        <v>10354.649879324978</v>
      </c>
      <c r="G434" s="2">
        <f t="shared" si="19"/>
        <v>0.56606111356646061</v>
      </c>
      <c r="H434" s="3">
        <f>E434*Lambda-D434</f>
        <v>289903.297332416</v>
      </c>
      <c r="I434" s="3">
        <f>C434*Lambda-B434</f>
        <v>271954.89153341798</v>
      </c>
      <c r="J434">
        <f t="shared" si="20"/>
        <v>1</v>
      </c>
      <c r="M434">
        <v>43000</v>
      </c>
      <c r="N434">
        <v>0.998</v>
      </c>
      <c r="O434">
        <v>2.0000000000000018E-3</v>
      </c>
    </row>
    <row r="435" spans="1:15" x14ac:dyDescent="0.25">
      <c r="A435">
        <v>432</v>
      </c>
      <c r="B435" s="3">
        <f>NoMTC!K433</f>
        <v>103064.788879696</v>
      </c>
      <c r="C435" s="2">
        <f>NoMTC!I433</f>
        <v>7.5864592524194503</v>
      </c>
      <c r="D435" s="3">
        <f>MTC!K433</f>
        <v>104020.79594166399</v>
      </c>
      <c r="E435" s="2">
        <f>MTC!I433</f>
        <v>7.66438186227938</v>
      </c>
      <c r="F435" s="2">
        <f t="shared" si="18"/>
        <v>956.00706196799001</v>
      </c>
      <c r="G435" s="2">
        <f t="shared" si="19"/>
        <v>7.7922609859929715E-2</v>
      </c>
      <c r="H435" s="3">
        <f>E435*Lambda-D435</f>
        <v>279198.29717230506</v>
      </c>
      <c r="I435" s="3">
        <f>C435*Lambda-B435</f>
        <v>276258.17374127655</v>
      </c>
      <c r="J435">
        <f t="shared" si="20"/>
        <v>1</v>
      </c>
      <c r="M435">
        <v>43100</v>
      </c>
      <c r="N435">
        <v>0.998</v>
      </c>
      <c r="O435">
        <v>2.0000000000000018E-3</v>
      </c>
    </row>
    <row r="436" spans="1:15" x14ac:dyDescent="0.25">
      <c r="A436">
        <v>433</v>
      </c>
      <c r="B436" s="3">
        <f>NoMTC!K434</f>
        <v>101477.97976827501</v>
      </c>
      <c r="C436" s="2">
        <f>NoMTC!I434</f>
        <v>8.2484118732530192</v>
      </c>
      <c r="D436" s="3">
        <f>MTC!K434</f>
        <v>105939.592150002</v>
      </c>
      <c r="E436" s="2">
        <f>MTC!I434</f>
        <v>8.6322055184831594</v>
      </c>
      <c r="F436" s="2">
        <f t="shared" si="18"/>
        <v>4461.6123817269981</v>
      </c>
      <c r="G436" s="2">
        <f t="shared" si="19"/>
        <v>0.38379364523014026</v>
      </c>
      <c r="H436" s="3">
        <f>E436*Lambda-D436</f>
        <v>325670.68377415597</v>
      </c>
      <c r="I436" s="3">
        <f>C436*Lambda-B436</f>
        <v>310942.61389437597</v>
      </c>
      <c r="J436">
        <f t="shared" si="20"/>
        <v>1</v>
      </c>
      <c r="M436">
        <v>43200</v>
      </c>
      <c r="N436">
        <v>0.998</v>
      </c>
      <c r="O436">
        <v>2.0000000000000018E-3</v>
      </c>
    </row>
    <row r="437" spans="1:15" x14ac:dyDescent="0.25">
      <c r="A437">
        <v>434</v>
      </c>
      <c r="B437" s="3">
        <f>NoMTC!K435</f>
        <v>98913.836240461693</v>
      </c>
      <c r="C437" s="2">
        <f>NoMTC!I435</f>
        <v>6.5492659620254496</v>
      </c>
      <c r="D437" s="3">
        <f>MTC!K435</f>
        <v>110348.62100607601</v>
      </c>
      <c r="E437" s="2">
        <f>MTC!I435</f>
        <v>7.2879822394654603</v>
      </c>
      <c r="F437" s="2">
        <f t="shared" si="18"/>
        <v>11434.784765614313</v>
      </c>
      <c r="G437" s="2">
        <f t="shared" si="19"/>
        <v>0.73871627744001067</v>
      </c>
      <c r="H437" s="3">
        <f>E437*Lambda-D437</f>
        <v>254050.49096719705</v>
      </c>
      <c r="I437" s="3">
        <f>C437*Lambda-B437</f>
        <v>228549.46186081081</v>
      </c>
      <c r="J437">
        <f t="shared" si="20"/>
        <v>1</v>
      </c>
      <c r="M437">
        <v>43300</v>
      </c>
      <c r="N437">
        <v>0.998</v>
      </c>
      <c r="O437">
        <v>2.0000000000000018E-3</v>
      </c>
    </row>
    <row r="438" spans="1:15" x14ac:dyDescent="0.25">
      <c r="A438">
        <v>435</v>
      </c>
      <c r="B438" s="3">
        <f>NoMTC!K436</f>
        <v>99811.063857124696</v>
      </c>
      <c r="C438" s="2">
        <f>NoMTC!I436</f>
        <v>7.5097744691352304</v>
      </c>
      <c r="D438" s="3">
        <f>MTC!K436</f>
        <v>109389.03426266101</v>
      </c>
      <c r="E438" s="2">
        <f>MTC!I436</f>
        <v>8.3194700733316207</v>
      </c>
      <c r="F438" s="2">
        <f t="shared" si="18"/>
        <v>9577.9704055363109</v>
      </c>
      <c r="G438" s="2">
        <f t="shared" si="19"/>
        <v>0.80969560419639031</v>
      </c>
      <c r="H438" s="3">
        <f>E438*Lambda-D438</f>
        <v>306584.46940392005</v>
      </c>
      <c r="I438" s="3">
        <f>C438*Lambda-B438</f>
        <v>275677.6595996368</v>
      </c>
      <c r="J438">
        <f t="shared" si="20"/>
        <v>1</v>
      </c>
      <c r="M438">
        <v>43400</v>
      </c>
      <c r="N438">
        <v>0.998</v>
      </c>
      <c r="O438">
        <v>2.0000000000000018E-3</v>
      </c>
    </row>
    <row r="439" spans="1:15" x14ac:dyDescent="0.25">
      <c r="A439">
        <v>436</v>
      </c>
      <c r="B439" s="3">
        <f>NoMTC!K437</f>
        <v>109802.469944645</v>
      </c>
      <c r="C439" s="2">
        <f>NoMTC!I437</f>
        <v>8.4651022037698294</v>
      </c>
      <c r="D439" s="3">
        <f>MTC!K437</f>
        <v>114359.86737130499</v>
      </c>
      <c r="E439" s="2">
        <f>MTC!I437</f>
        <v>8.8341878200773696</v>
      </c>
      <c r="F439" s="2">
        <f t="shared" si="18"/>
        <v>4557.397426659998</v>
      </c>
      <c r="G439" s="2">
        <f t="shared" si="19"/>
        <v>0.36908561630754022</v>
      </c>
      <c r="H439" s="3">
        <f>E439*Lambda-D439</f>
        <v>327349.52363256348</v>
      </c>
      <c r="I439" s="3">
        <f>C439*Lambda-B439</f>
        <v>313452.64024384646</v>
      </c>
      <c r="J439">
        <f t="shared" si="20"/>
        <v>1</v>
      </c>
      <c r="M439">
        <v>43500</v>
      </c>
      <c r="N439">
        <v>0.998</v>
      </c>
      <c r="O439">
        <v>2.0000000000000018E-3</v>
      </c>
    </row>
    <row r="440" spans="1:15" x14ac:dyDescent="0.25">
      <c r="A440">
        <v>437</v>
      </c>
      <c r="B440" s="3">
        <f>NoMTC!K438</f>
        <v>132650.68911317701</v>
      </c>
      <c r="C440" s="2">
        <f>NoMTC!I438</f>
        <v>6.8112615242242098</v>
      </c>
      <c r="D440" s="3">
        <f>MTC!K438</f>
        <v>142065.17503019201</v>
      </c>
      <c r="E440" s="2">
        <f>MTC!I438</f>
        <v>7.2679571013011603</v>
      </c>
      <c r="F440" s="2">
        <f t="shared" si="18"/>
        <v>9414.4859170150012</v>
      </c>
      <c r="G440" s="2">
        <f t="shared" si="19"/>
        <v>0.45669557707695052</v>
      </c>
      <c r="H440" s="3">
        <f>E440*Lambda-D440</f>
        <v>221332.68003486603</v>
      </c>
      <c r="I440" s="3">
        <f>C440*Lambda-B440</f>
        <v>207912.38709803351</v>
      </c>
      <c r="J440">
        <f t="shared" si="20"/>
        <v>1</v>
      </c>
      <c r="M440">
        <v>43600</v>
      </c>
      <c r="N440">
        <v>0.998</v>
      </c>
      <c r="O440">
        <v>2.0000000000000018E-3</v>
      </c>
    </row>
    <row r="441" spans="1:15" x14ac:dyDescent="0.25">
      <c r="A441">
        <v>438</v>
      </c>
      <c r="B441" s="3">
        <f>NoMTC!K439</f>
        <v>126676.792775472</v>
      </c>
      <c r="C441" s="2">
        <f>NoMTC!I439</f>
        <v>7.9379218269416301</v>
      </c>
      <c r="D441" s="3">
        <f>MTC!K439</f>
        <v>128473.004646924</v>
      </c>
      <c r="E441" s="2">
        <f>MTC!I439</f>
        <v>8.0369153753436802</v>
      </c>
      <c r="F441" s="2">
        <f t="shared" si="18"/>
        <v>1796.2118714520038</v>
      </c>
      <c r="G441" s="2">
        <f t="shared" si="19"/>
        <v>9.8993548402050102E-2</v>
      </c>
      <c r="H441" s="3">
        <f>E441*Lambda-D441</f>
        <v>273372.76412026002</v>
      </c>
      <c r="I441" s="3">
        <f>C441*Lambda-B441</f>
        <v>270219.29857160954</v>
      </c>
      <c r="J441">
        <f t="shared" si="20"/>
        <v>1</v>
      </c>
      <c r="M441">
        <v>43700</v>
      </c>
      <c r="N441">
        <v>0.998</v>
      </c>
      <c r="O441">
        <v>2.0000000000000018E-3</v>
      </c>
    </row>
    <row r="442" spans="1:15" x14ac:dyDescent="0.25">
      <c r="A442">
        <v>439</v>
      </c>
      <c r="B442" s="3">
        <f>NoMTC!K440</f>
        <v>125978.083087204</v>
      </c>
      <c r="C442" s="2">
        <f>NoMTC!I440</f>
        <v>8.3093763857290206</v>
      </c>
      <c r="D442" s="3">
        <f>MTC!K440</f>
        <v>131498.91774693201</v>
      </c>
      <c r="E442" s="2">
        <f>MTC!I440</f>
        <v>8.6519547727925907</v>
      </c>
      <c r="F442" s="2">
        <f t="shared" si="18"/>
        <v>5520.8346597280179</v>
      </c>
      <c r="G442" s="2">
        <f t="shared" si="19"/>
        <v>0.34257838706357013</v>
      </c>
      <c r="H442" s="3">
        <f>E442*Lambda-D442</f>
        <v>301098.82089269755</v>
      </c>
      <c r="I442" s="3">
        <f>C442*Lambda-B442</f>
        <v>289490.73619924707</v>
      </c>
      <c r="J442">
        <f t="shared" si="20"/>
        <v>1</v>
      </c>
      <c r="M442">
        <v>43800</v>
      </c>
      <c r="N442">
        <v>0.998</v>
      </c>
      <c r="O442">
        <v>2.0000000000000018E-3</v>
      </c>
    </row>
    <row r="443" spans="1:15" x14ac:dyDescent="0.25">
      <c r="A443">
        <v>440</v>
      </c>
      <c r="B443" s="3">
        <f>NoMTC!K441</f>
        <v>135141.26873935701</v>
      </c>
      <c r="C443" s="2">
        <f>NoMTC!I441</f>
        <v>7.5468161837265004</v>
      </c>
      <c r="D443" s="3">
        <f>MTC!K441</f>
        <v>143241.515862731</v>
      </c>
      <c r="E443" s="2">
        <f>MTC!I441</f>
        <v>7.9695672800638899</v>
      </c>
      <c r="F443" s="2">
        <f t="shared" si="18"/>
        <v>8100.2471233739925</v>
      </c>
      <c r="G443" s="2">
        <f t="shared" si="19"/>
        <v>0.4227510963373895</v>
      </c>
      <c r="H443" s="3">
        <f>E443*Lambda-D443</f>
        <v>255236.84814046349</v>
      </c>
      <c r="I443" s="3">
        <f>C443*Lambda-B443</f>
        <v>242199.54044696799</v>
      </c>
      <c r="J443">
        <f t="shared" si="20"/>
        <v>1</v>
      </c>
      <c r="M443">
        <v>43900</v>
      </c>
      <c r="N443">
        <v>0.998</v>
      </c>
      <c r="O443">
        <v>2.0000000000000018E-3</v>
      </c>
    </row>
    <row r="444" spans="1:15" x14ac:dyDescent="0.25">
      <c r="A444">
        <v>441</v>
      </c>
      <c r="B444" s="3">
        <f>NoMTC!K442</f>
        <v>125555.033192908</v>
      </c>
      <c r="C444" s="2">
        <f>NoMTC!I442</f>
        <v>7.0066629518912302</v>
      </c>
      <c r="D444" s="3">
        <f>MTC!K442</f>
        <v>136879.51218092101</v>
      </c>
      <c r="E444" s="2">
        <f>MTC!I442</f>
        <v>7.6332997517757697</v>
      </c>
      <c r="F444" s="2">
        <f t="shared" si="18"/>
        <v>11324.478988013012</v>
      </c>
      <c r="G444" s="2">
        <f t="shared" si="19"/>
        <v>0.62663679988453946</v>
      </c>
      <c r="H444" s="3">
        <f>E444*Lambda-D444</f>
        <v>244785.47540786749</v>
      </c>
      <c r="I444" s="3">
        <f>C444*Lambda-B444</f>
        <v>224778.11440165353</v>
      </c>
      <c r="J444">
        <f t="shared" si="20"/>
        <v>1</v>
      </c>
      <c r="M444">
        <v>44000</v>
      </c>
      <c r="N444">
        <v>0.998</v>
      </c>
      <c r="O444">
        <v>2.0000000000000018E-3</v>
      </c>
    </row>
    <row r="445" spans="1:15" x14ac:dyDescent="0.25">
      <c r="A445">
        <v>442</v>
      </c>
      <c r="B445" s="3">
        <f>NoMTC!K443</f>
        <v>139694.35957216501</v>
      </c>
      <c r="C445" s="2">
        <f>NoMTC!I443</f>
        <v>7.9757670696416003</v>
      </c>
      <c r="D445" s="3">
        <f>MTC!K443</f>
        <v>143094.51840669999</v>
      </c>
      <c r="E445" s="2">
        <f>MTC!I443</f>
        <v>8.1552811473937599</v>
      </c>
      <c r="F445" s="2">
        <f t="shared" si="18"/>
        <v>3400.1588345349883</v>
      </c>
      <c r="G445" s="2">
        <f t="shared" si="19"/>
        <v>0.17951407775215955</v>
      </c>
      <c r="H445" s="3">
        <f>E445*Lambda-D445</f>
        <v>264669.53896298801</v>
      </c>
      <c r="I445" s="3">
        <f>C445*Lambda-B445</f>
        <v>259093.99390991504</v>
      </c>
      <c r="J445">
        <f t="shared" si="20"/>
        <v>1</v>
      </c>
      <c r="M445">
        <v>44100</v>
      </c>
      <c r="N445">
        <v>0.998</v>
      </c>
      <c r="O445">
        <v>2.0000000000000018E-3</v>
      </c>
    </row>
    <row r="446" spans="1:15" x14ac:dyDescent="0.25">
      <c r="A446">
        <v>443</v>
      </c>
      <c r="B446" s="3">
        <f>NoMTC!K444</f>
        <v>123933.45971931799</v>
      </c>
      <c r="C446" s="2">
        <f>NoMTC!I444</f>
        <v>7.7139706478118999</v>
      </c>
      <c r="D446" s="3">
        <f>MTC!K444</f>
        <v>126648.06493563599</v>
      </c>
      <c r="E446" s="2">
        <f>MTC!I444</f>
        <v>7.8709825605030499</v>
      </c>
      <c r="F446" s="2">
        <f t="shared" si="18"/>
        <v>2714.6052163179993</v>
      </c>
      <c r="G446" s="2">
        <f t="shared" si="19"/>
        <v>0.15701191269115</v>
      </c>
      <c r="H446" s="3">
        <f>E446*Lambda-D446</f>
        <v>266901.06308951648</v>
      </c>
      <c r="I446" s="3">
        <f>C446*Lambda-B446</f>
        <v>261765.07267127701</v>
      </c>
      <c r="J446">
        <f t="shared" si="20"/>
        <v>1</v>
      </c>
      <c r="M446">
        <v>44200</v>
      </c>
      <c r="N446">
        <v>0.998</v>
      </c>
      <c r="O446">
        <v>2.0000000000000018E-3</v>
      </c>
    </row>
    <row r="447" spans="1:15" x14ac:dyDescent="0.25">
      <c r="A447">
        <v>444</v>
      </c>
      <c r="B447" s="3">
        <f>NoMTC!K445</f>
        <v>123526.669875194</v>
      </c>
      <c r="C447" s="2">
        <f>NoMTC!I445</f>
        <v>8.98051010258777</v>
      </c>
      <c r="D447" s="3">
        <f>MTC!K445</f>
        <v>127166.09613237801</v>
      </c>
      <c r="E447" s="2">
        <f>MTC!I445</f>
        <v>9.2478039006722295</v>
      </c>
      <c r="F447" s="2">
        <f t="shared" si="18"/>
        <v>3639.4262571840081</v>
      </c>
      <c r="G447" s="2">
        <f t="shared" si="19"/>
        <v>0.26729379808445941</v>
      </c>
      <c r="H447" s="3">
        <f>E447*Lambda-D447</f>
        <v>335224.09890123352</v>
      </c>
      <c r="I447" s="3">
        <f>C447*Lambda-B447</f>
        <v>325498.83525419445</v>
      </c>
      <c r="J447">
        <f t="shared" si="20"/>
        <v>1</v>
      </c>
      <c r="M447">
        <v>44300</v>
      </c>
      <c r="N447">
        <v>0.998</v>
      </c>
      <c r="O447">
        <v>2.0000000000000018E-3</v>
      </c>
    </row>
    <row r="448" spans="1:15" x14ac:dyDescent="0.25">
      <c r="A448">
        <v>445</v>
      </c>
      <c r="B448" s="3">
        <f>NoMTC!K446</f>
        <v>110469.45287404901</v>
      </c>
      <c r="C448" s="2">
        <f>NoMTC!I446</f>
        <v>6.9250315512634497</v>
      </c>
      <c r="D448" s="3">
        <f>MTC!K446</f>
        <v>117273.333042325</v>
      </c>
      <c r="E448" s="2">
        <f>MTC!I446</f>
        <v>7.3819819059606102</v>
      </c>
      <c r="F448" s="2">
        <f t="shared" si="18"/>
        <v>6803.8801682759949</v>
      </c>
      <c r="G448" s="2">
        <f t="shared" si="19"/>
        <v>0.4569503546971605</v>
      </c>
      <c r="H448" s="3">
        <f>E448*Lambda-D448</f>
        <v>251825.76225570554</v>
      </c>
      <c r="I448" s="3">
        <f>C448*Lambda-B448</f>
        <v>235782.12468912348</v>
      </c>
      <c r="J448">
        <f t="shared" si="20"/>
        <v>1</v>
      </c>
      <c r="M448">
        <v>44400</v>
      </c>
      <c r="N448">
        <v>0.998</v>
      </c>
      <c r="O448">
        <v>2.0000000000000018E-3</v>
      </c>
    </row>
    <row r="449" spans="1:15" x14ac:dyDescent="0.25">
      <c r="A449">
        <v>446</v>
      </c>
      <c r="B449" s="3">
        <f>NoMTC!K447</f>
        <v>115693.192184493</v>
      </c>
      <c r="C449" s="2">
        <f>NoMTC!I447</f>
        <v>7.0656845454661301</v>
      </c>
      <c r="D449" s="3">
        <f>MTC!K447</f>
        <v>123473.437780269</v>
      </c>
      <c r="E449" s="2">
        <f>MTC!I447</f>
        <v>7.5147381948194401</v>
      </c>
      <c r="F449" s="2">
        <f t="shared" si="18"/>
        <v>7780.2455957759958</v>
      </c>
      <c r="G449" s="2">
        <f t="shared" si="19"/>
        <v>0.44905364935330994</v>
      </c>
      <c r="H449" s="3">
        <f>E449*Lambda-D449</f>
        <v>252263.47196070297</v>
      </c>
      <c r="I449" s="3">
        <f>C449*Lambda-B449</f>
        <v>237591.03508881351</v>
      </c>
      <c r="J449">
        <f t="shared" si="20"/>
        <v>1</v>
      </c>
      <c r="M449">
        <v>44500</v>
      </c>
      <c r="N449">
        <v>0.998</v>
      </c>
      <c r="O449">
        <v>2.0000000000000018E-3</v>
      </c>
    </row>
    <row r="450" spans="1:15" x14ac:dyDescent="0.25">
      <c r="A450">
        <v>447</v>
      </c>
      <c r="B450" s="3">
        <f>NoMTC!K448</f>
        <v>92449.4777676542</v>
      </c>
      <c r="C450" s="2">
        <f>NoMTC!I448</f>
        <v>7.8513751937962004</v>
      </c>
      <c r="D450" s="3">
        <f>MTC!K448</f>
        <v>95898.732674171697</v>
      </c>
      <c r="E450" s="2">
        <f>MTC!I448</f>
        <v>8.1591617079462608</v>
      </c>
      <c r="F450" s="2">
        <f t="shared" si="18"/>
        <v>3449.2549065174971</v>
      </c>
      <c r="G450" s="2">
        <f t="shared" si="19"/>
        <v>0.30778651415006042</v>
      </c>
      <c r="H450" s="3">
        <f>E450*Lambda-D450</f>
        <v>312059.35272314138</v>
      </c>
      <c r="I450" s="3">
        <f>C450*Lambda-B450</f>
        <v>300119.28192215587</v>
      </c>
      <c r="J450">
        <f t="shared" si="20"/>
        <v>1</v>
      </c>
      <c r="M450">
        <v>44600</v>
      </c>
      <c r="N450">
        <v>0.998</v>
      </c>
      <c r="O450">
        <v>2.0000000000000018E-3</v>
      </c>
    </row>
    <row r="451" spans="1:15" x14ac:dyDescent="0.25">
      <c r="A451">
        <v>448</v>
      </c>
      <c r="B451" s="3">
        <f>NoMTC!K449</f>
        <v>87520.064315525102</v>
      </c>
      <c r="C451" s="2">
        <f>NoMTC!I449</f>
        <v>7.60181851366307</v>
      </c>
      <c r="D451" s="3">
        <f>MTC!K449</f>
        <v>92105.915742962199</v>
      </c>
      <c r="E451" s="2">
        <f>MTC!I449</f>
        <v>8.0227518663671908</v>
      </c>
      <c r="F451" s="2">
        <f t="shared" si="18"/>
        <v>4585.8514274370973</v>
      </c>
      <c r="G451" s="2">
        <f t="shared" si="19"/>
        <v>0.4209333527041208</v>
      </c>
      <c r="H451" s="3">
        <f>E451*Lambda-D451</f>
        <v>309031.67757539731</v>
      </c>
      <c r="I451" s="3">
        <f>C451*Lambda-B451</f>
        <v>292570.86136762839</v>
      </c>
      <c r="J451">
        <f t="shared" si="20"/>
        <v>1</v>
      </c>
      <c r="M451">
        <v>44700</v>
      </c>
      <c r="N451">
        <v>0.998</v>
      </c>
      <c r="O451">
        <v>2.0000000000000018E-3</v>
      </c>
    </row>
    <row r="452" spans="1:15" x14ac:dyDescent="0.25">
      <c r="A452">
        <v>449</v>
      </c>
      <c r="B452" s="3">
        <f>NoMTC!K450</f>
        <v>144084.77589804301</v>
      </c>
      <c r="C452" s="2">
        <f>NoMTC!I450</f>
        <v>8.5301928331267796</v>
      </c>
      <c r="D452" s="3">
        <f>MTC!K450</f>
        <v>148954.09615143799</v>
      </c>
      <c r="E452" s="2">
        <f>MTC!I450</f>
        <v>8.7889572254343804</v>
      </c>
      <c r="F452" s="2">
        <f t="shared" si="18"/>
        <v>4869.3202533949807</v>
      </c>
      <c r="G452" s="2">
        <f t="shared" si="19"/>
        <v>0.25876439230760084</v>
      </c>
      <c r="H452" s="3">
        <f>E452*Lambda-D452</f>
        <v>290493.76512028102</v>
      </c>
      <c r="I452" s="3">
        <f>C452*Lambda-B452</f>
        <v>282424.86575829599</v>
      </c>
      <c r="J452">
        <f t="shared" si="20"/>
        <v>1</v>
      </c>
      <c r="M452">
        <v>44800</v>
      </c>
      <c r="N452">
        <v>0.998</v>
      </c>
      <c r="O452">
        <v>2.0000000000000018E-3</v>
      </c>
    </row>
    <row r="453" spans="1:15" x14ac:dyDescent="0.25">
      <c r="A453">
        <v>450</v>
      </c>
      <c r="B453" s="3">
        <f>NoMTC!K451</f>
        <v>133441.93352543999</v>
      </c>
      <c r="C453" s="2">
        <f>NoMTC!I451</f>
        <v>8.09302949705482</v>
      </c>
      <c r="D453" s="3">
        <f>MTC!K451</f>
        <v>141200.404109144</v>
      </c>
      <c r="E453" s="2">
        <f>MTC!I451</f>
        <v>8.5749326102161803</v>
      </c>
      <c r="F453" s="2">
        <f t="shared" ref="F453:F503" si="21">D453-B453</f>
        <v>7758.4705837040092</v>
      </c>
      <c r="G453" s="2">
        <f t="shared" ref="G453:G503" si="22">E453-C453</f>
        <v>0.48190311316136025</v>
      </c>
      <c r="H453" s="3">
        <f>E453*Lambda-D453</f>
        <v>287546.22640166502</v>
      </c>
      <c r="I453" s="3">
        <f>C453*Lambda-B453</f>
        <v>271209.54132730101</v>
      </c>
      <c r="J453">
        <f t="shared" ref="J453:J503" si="23">IF(H453=MAX(H453:I453),1,0)</f>
        <v>1</v>
      </c>
      <c r="M453">
        <v>44900</v>
      </c>
      <c r="N453">
        <v>0.998</v>
      </c>
      <c r="O453">
        <v>2.0000000000000018E-3</v>
      </c>
    </row>
    <row r="454" spans="1:15" x14ac:dyDescent="0.25">
      <c r="A454">
        <v>451</v>
      </c>
      <c r="B454" s="3">
        <f>NoMTC!K452</f>
        <v>138059.58455592999</v>
      </c>
      <c r="C454" s="2">
        <f>NoMTC!I452</f>
        <v>8.5530494101920507</v>
      </c>
      <c r="D454" s="3">
        <f>MTC!K452</f>
        <v>144317.31145789599</v>
      </c>
      <c r="E454" s="2">
        <f>MTC!I452</f>
        <v>8.9090990751567407</v>
      </c>
      <c r="F454" s="2">
        <f t="shared" si="21"/>
        <v>6257.7269019660016</v>
      </c>
      <c r="G454" s="2">
        <f t="shared" si="22"/>
        <v>0.35604966496469004</v>
      </c>
      <c r="H454" s="3">
        <f>E454*Lambda-D454</f>
        <v>301137.64229994104</v>
      </c>
      <c r="I454" s="3">
        <f>C454*Lambda-B454</f>
        <v>289592.88595367252</v>
      </c>
      <c r="J454">
        <f t="shared" si="23"/>
        <v>1</v>
      </c>
      <c r="M454">
        <v>45000</v>
      </c>
      <c r="N454">
        <v>0.998</v>
      </c>
      <c r="O454">
        <v>2.0000000000000018E-3</v>
      </c>
    </row>
    <row r="455" spans="1:15" x14ac:dyDescent="0.25">
      <c r="A455">
        <v>452</v>
      </c>
      <c r="B455" s="3">
        <f>NoMTC!K453</f>
        <v>152749.26896736599</v>
      </c>
      <c r="C455" s="2">
        <f>NoMTC!I453</f>
        <v>8.2510493608931998</v>
      </c>
      <c r="D455" s="3">
        <f>MTC!K453</f>
        <v>168500.57605084201</v>
      </c>
      <c r="E455" s="2">
        <f>MTC!I453</f>
        <v>8.9999957642640194</v>
      </c>
      <c r="F455" s="2">
        <f t="shared" si="21"/>
        <v>15751.307083476015</v>
      </c>
      <c r="G455" s="2">
        <f t="shared" si="22"/>
        <v>0.74894640337081952</v>
      </c>
      <c r="H455" s="3">
        <f>E455*Lambda-D455</f>
        <v>281499.21216235898</v>
      </c>
      <c r="I455" s="3">
        <f>C455*Lambda-B455</f>
        <v>259803.199077294</v>
      </c>
      <c r="J455">
        <f t="shared" si="23"/>
        <v>1</v>
      </c>
      <c r="M455">
        <v>45100</v>
      </c>
      <c r="N455">
        <v>0.998</v>
      </c>
      <c r="O455">
        <v>2.0000000000000018E-3</v>
      </c>
    </row>
    <row r="456" spans="1:15" x14ac:dyDescent="0.25">
      <c r="A456">
        <v>453</v>
      </c>
      <c r="B456" s="3">
        <f>NoMTC!K454</f>
        <v>129829.413556574</v>
      </c>
      <c r="C456" s="2">
        <f>NoMTC!I454</f>
        <v>7.5414161814510896</v>
      </c>
      <c r="D456" s="3">
        <f>MTC!K454</f>
        <v>141595.061666853</v>
      </c>
      <c r="E456" s="2">
        <f>MTC!I454</f>
        <v>8.1964941513629697</v>
      </c>
      <c r="F456" s="2">
        <f t="shared" si="21"/>
        <v>11765.648110278999</v>
      </c>
      <c r="G456" s="2">
        <f t="shared" si="22"/>
        <v>0.65507796991188005</v>
      </c>
      <c r="H456" s="3">
        <f>E456*Lambda-D456</f>
        <v>268229.64590129547</v>
      </c>
      <c r="I456" s="3">
        <f>C456*Lambda-B456</f>
        <v>247241.39551598046</v>
      </c>
      <c r="J456">
        <f t="shared" si="23"/>
        <v>1</v>
      </c>
      <c r="M456">
        <v>45200</v>
      </c>
      <c r="N456">
        <v>0.998</v>
      </c>
      <c r="O456">
        <v>2.0000000000000018E-3</v>
      </c>
    </row>
    <row r="457" spans="1:15" x14ac:dyDescent="0.25">
      <c r="A457">
        <v>454</v>
      </c>
      <c r="B457" s="3">
        <f>NoMTC!K455</f>
        <v>106072.607742338</v>
      </c>
      <c r="C457" s="2">
        <f>NoMTC!I455</f>
        <v>8.2353519907413606</v>
      </c>
      <c r="D457" s="3">
        <f>MTC!K455</f>
        <v>110298.866461197</v>
      </c>
      <c r="E457" s="2">
        <f>MTC!I455</f>
        <v>8.5350414698911496</v>
      </c>
      <c r="F457" s="2">
        <f t="shared" si="21"/>
        <v>4226.2587188589969</v>
      </c>
      <c r="G457" s="2">
        <f t="shared" si="22"/>
        <v>0.29968947914978905</v>
      </c>
      <c r="H457" s="3">
        <f>E457*Lambda-D457</f>
        <v>316453.20703336049</v>
      </c>
      <c r="I457" s="3">
        <f>C457*Lambda-B457</f>
        <v>305694.99179473007</v>
      </c>
      <c r="J457">
        <f t="shared" si="23"/>
        <v>1</v>
      </c>
      <c r="M457">
        <v>45300</v>
      </c>
      <c r="N457">
        <v>0.998</v>
      </c>
      <c r="O457">
        <v>2.0000000000000018E-3</v>
      </c>
    </row>
    <row r="458" spans="1:15" x14ac:dyDescent="0.25">
      <c r="A458">
        <v>455</v>
      </c>
      <c r="B458" s="3">
        <f>NoMTC!K456</f>
        <v>131716.03096965299</v>
      </c>
      <c r="C458" s="2">
        <f>NoMTC!I456</f>
        <v>8.6733096092255497</v>
      </c>
      <c r="D458" s="3">
        <f>MTC!K456</f>
        <v>136745.21630744799</v>
      </c>
      <c r="E458" s="2">
        <f>MTC!I456</f>
        <v>9.0140044365301293</v>
      </c>
      <c r="F458" s="2">
        <f t="shared" si="21"/>
        <v>5029.1853377950029</v>
      </c>
      <c r="G458" s="2">
        <f t="shared" si="22"/>
        <v>0.34069482730457956</v>
      </c>
      <c r="H458" s="3">
        <f>E458*Lambda-D458</f>
        <v>313955.0055190585</v>
      </c>
      <c r="I458" s="3">
        <f>C458*Lambda-B458</f>
        <v>301949.44949162449</v>
      </c>
      <c r="J458">
        <f t="shared" si="23"/>
        <v>1</v>
      </c>
      <c r="M458">
        <v>45400</v>
      </c>
      <c r="N458">
        <v>0.998</v>
      </c>
      <c r="O458">
        <v>2.0000000000000018E-3</v>
      </c>
    </row>
    <row r="459" spans="1:15" x14ac:dyDescent="0.25">
      <c r="A459">
        <v>456</v>
      </c>
      <c r="B459" s="3">
        <f>NoMTC!K457</f>
        <v>100077.776714666</v>
      </c>
      <c r="C459" s="2">
        <f>NoMTC!I457</f>
        <v>7.9768231125713598</v>
      </c>
      <c r="D459" s="3">
        <f>MTC!K457</f>
        <v>105364.20522991099</v>
      </c>
      <c r="E459" s="2">
        <f>MTC!I457</f>
        <v>8.4501864176008308</v>
      </c>
      <c r="F459" s="2">
        <f t="shared" si="21"/>
        <v>5286.4285152449884</v>
      </c>
      <c r="G459" s="2">
        <f t="shared" si="22"/>
        <v>0.47336330502947099</v>
      </c>
      <c r="H459" s="3">
        <f>E459*Lambda-D459</f>
        <v>317145.11565013055</v>
      </c>
      <c r="I459" s="3">
        <f>C459*Lambda-B459</f>
        <v>298763.37891390198</v>
      </c>
      <c r="J459">
        <f t="shared" si="23"/>
        <v>1</v>
      </c>
      <c r="M459">
        <v>45500</v>
      </c>
      <c r="N459">
        <v>0.998</v>
      </c>
      <c r="O459">
        <v>2.0000000000000018E-3</v>
      </c>
    </row>
    <row r="460" spans="1:15" x14ac:dyDescent="0.25">
      <c r="A460">
        <v>457</v>
      </c>
      <c r="B460" s="3">
        <f>NoMTC!K458</f>
        <v>148747.734313191</v>
      </c>
      <c r="C460" s="2">
        <f>NoMTC!I458</f>
        <v>8.6528570943900807</v>
      </c>
      <c r="D460" s="3">
        <f>MTC!K458</f>
        <v>152834.347875448</v>
      </c>
      <c r="E460" s="2">
        <f>MTC!I458</f>
        <v>8.8973354951622792</v>
      </c>
      <c r="F460" s="2">
        <f t="shared" si="21"/>
        <v>4086.613562257</v>
      </c>
      <c r="G460" s="2">
        <f t="shared" si="22"/>
        <v>0.24447840077219851</v>
      </c>
      <c r="H460" s="3">
        <f>E460*Lambda-D460</f>
        <v>292032.42688266595</v>
      </c>
      <c r="I460" s="3">
        <f>C460*Lambda-B460</f>
        <v>283895.12040631298</v>
      </c>
      <c r="J460">
        <f t="shared" si="23"/>
        <v>1</v>
      </c>
      <c r="M460">
        <v>45600</v>
      </c>
      <c r="N460">
        <v>0.998</v>
      </c>
      <c r="O460">
        <v>2.0000000000000018E-3</v>
      </c>
    </row>
    <row r="461" spans="1:15" x14ac:dyDescent="0.25">
      <c r="A461">
        <v>458</v>
      </c>
      <c r="B461" s="3">
        <f>NoMTC!K459</f>
        <v>146599.73482260399</v>
      </c>
      <c r="C461" s="2">
        <f>NoMTC!I459</f>
        <v>7.8685764080683303</v>
      </c>
      <c r="D461" s="3">
        <f>MTC!K459</f>
        <v>150095.56943609999</v>
      </c>
      <c r="E461" s="2">
        <f>MTC!I459</f>
        <v>8.0566550158223809</v>
      </c>
      <c r="F461" s="2">
        <f t="shared" si="21"/>
        <v>3495.8346134960011</v>
      </c>
      <c r="G461" s="2">
        <f t="shared" si="22"/>
        <v>0.18807860775405061</v>
      </c>
      <c r="H461" s="3">
        <f>E461*Lambda-D461</f>
        <v>252737.18135501907</v>
      </c>
      <c r="I461" s="3">
        <f>C461*Lambda-B461</f>
        <v>246829.08558081253</v>
      </c>
      <c r="J461">
        <f t="shared" si="23"/>
        <v>1</v>
      </c>
      <c r="M461">
        <v>45700</v>
      </c>
      <c r="N461">
        <v>0.998</v>
      </c>
      <c r="O461">
        <v>2.0000000000000018E-3</v>
      </c>
    </row>
    <row r="462" spans="1:15" x14ac:dyDescent="0.25">
      <c r="A462">
        <v>459</v>
      </c>
      <c r="B462" s="3">
        <f>NoMTC!K460</f>
        <v>163849.55745855</v>
      </c>
      <c r="C462" s="2">
        <f>NoMTC!I460</f>
        <v>8.359090709358</v>
      </c>
      <c r="D462" s="3">
        <f>MTC!K460</f>
        <v>169639.01818830901</v>
      </c>
      <c r="E462" s="2">
        <f>MTC!I460</f>
        <v>8.6200293847420308</v>
      </c>
      <c r="F462" s="2">
        <f t="shared" si="21"/>
        <v>5789.4607297590119</v>
      </c>
      <c r="G462" s="2">
        <f t="shared" si="22"/>
        <v>0.26093867538403082</v>
      </c>
      <c r="H462" s="3">
        <f>E462*Lambda-D462</f>
        <v>261362.45104879254</v>
      </c>
      <c r="I462" s="3">
        <f>C462*Lambda-B462</f>
        <v>254104.97800934999</v>
      </c>
      <c r="J462">
        <f t="shared" si="23"/>
        <v>1</v>
      </c>
      <c r="M462">
        <v>45800</v>
      </c>
      <c r="N462">
        <v>0.998</v>
      </c>
      <c r="O462">
        <v>2.0000000000000018E-3</v>
      </c>
    </row>
    <row r="463" spans="1:15" x14ac:dyDescent="0.25">
      <c r="A463">
        <v>460</v>
      </c>
      <c r="B463" s="3">
        <f>NoMTC!K461</f>
        <v>110114.287295573</v>
      </c>
      <c r="C463" s="2">
        <f>NoMTC!I461</f>
        <v>8.1486309991697308</v>
      </c>
      <c r="D463" s="3">
        <f>MTC!K461</f>
        <v>115251.397910599</v>
      </c>
      <c r="E463" s="2">
        <f>MTC!I461</f>
        <v>8.5590360513579409</v>
      </c>
      <c r="F463" s="2">
        <f t="shared" si="21"/>
        <v>5137.1106150260021</v>
      </c>
      <c r="G463" s="2">
        <f t="shared" si="22"/>
        <v>0.41040505218821011</v>
      </c>
      <c r="H463" s="3">
        <f>E463*Lambda-D463</f>
        <v>312700.404657298</v>
      </c>
      <c r="I463" s="3">
        <f>C463*Lambda-B463</f>
        <v>297317.26266291353</v>
      </c>
      <c r="J463">
        <f t="shared" si="23"/>
        <v>1</v>
      </c>
      <c r="M463">
        <v>45900</v>
      </c>
      <c r="N463">
        <v>0.998</v>
      </c>
      <c r="O463">
        <v>2.0000000000000018E-3</v>
      </c>
    </row>
    <row r="464" spans="1:15" x14ac:dyDescent="0.25">
      <c r="A464">
        <v>461</v>
      </c>
      <c r="B464" s="3">
        <f>NoMTC!K462</f>
        <v>108228.971024178</v>
      </c>
      <c r="C464" s="2">
        <f>NoMTC!I462</f>
        <v>6.6266603197630696</v>
      </c>
      <c r="D464" s="3">
        <f>MTC!K462</f>
        <v>115564.74166612601</v>
      </c>
      <c r="E464" s="2">
        <f>MTC!I462</f>
        <v>7.0753391567426496</v>
      </c>
      <c r="F464" s="2">
        <f t="shared" si="21"/>
        <v>7335.7706419480091</v>
      </c>
      <c r="G464" s="2">
        <f t="shared" si="22"/>
        <v>0.44867883697958</v>
      </c>
      <c r="H464" s="3">
        <f>E464*Lambda-D464</f>
        <v>238202.2161710065</v>
      </c>
      <c r="I464" s="3">
        <f>C464*Lambda-B464</f>
        <v>223104.04496397547</v>
      </c>
      <c r="J464">
        <f t="shared" si="23"/>
        <v>1</v>
      </c>
      <c r="M464">
        <v>46000</v>
      </c>
      <c r="N464">
        <v>0.998</v>
      </c>
      <c r="O464">
        <v>2.0000000000000018E-3</v>
      </c>
    </row>
    <row r="465" spans="1:15" x14ac:dyDescent="0.25">
      <c r="A465">
        <v>462</v>
      </c>
      <c r="B465" s="3">
        <f>NoMTC!K463</f>
        <v>90115.784260385495</v>
      </c>
      <c r="C465" s="2">
        <f>NoMTC!I463</f>
        <v>7.5854271302928904</v>
      </c>
      <c r="D465" s="3">
        <f>MTC!K463</f>
        <v>96471.515069613801</v>
      </c>
      <c r="E465" s="2">
        <f>MTC!I463</f>
        <v>8.1121326749224192</v>
      </c>
      <c r="F465" s="2">
        <f t="shared" si="21"/>
        <v>6355.7308092283056</v>
      </c>
      <c r="G465" s="2">
        <f t="shared" si="22"/>
        <v>0.52670554462952879</v>
      </c>
      <c r="H465" s="3">
        <f>E465*Lambda-D465</f>
        <v>309135.11867650715</v>
      </c>
      <c r="I465" s="3">
        <f>C465*Lambda-B465</f>
        <v>289155.57225425902</v>
      </c>
      <c r="J465">
        <f t="shared" si="23"/>
        <v>1</v>
      </c>
      <c r="M465">
        <v>46100</v>
      </c>
      <c r="N465">
        <v>0.998</v>
      </c>
      <c r="O465">
        <v>2.0000000000000018E-3</v>
      </c>
    </row>
    <row r="466" spans="1:15" x14ac:dyDescent="0.25">
      <c r="A466">
        <v>463</v>
      </c>
      <c r="B466" s="3">
        <f>NoMTC!K464</f>
        <v>131599.145830828</v>
      </c>
      <c r="C466" s="2">
        <f>NoMTC!I464</f>
        <v>9.7373589536683003</v>
      </c>
      <c r="D466" s="3">
        <f>MTC!K464</f>
        <v>134206.34404366399</v>
      </c>
      <c r="E466" s="2">
        <f>MTC!I464</f>
        <v>9.9256937099106004</v>
      </c>
      <c r="F466" s="2">
        <f t="shared" si="21"/>
        <v>2607.1982128359959</v>
      </c>
      <c r="G466" s="2">
        <f t="shared" si="22"/>
        <v>0.18833475624230012</v>
      </c>
      <c r="H466" s="3">
        <f>E466*Lambda-D466</f>
        <v>362078.34145186603</v>
      </c>
      <c r="I466" s="3">
        <f>C466*Lambda-B466</f>
        <v>355268.80185258703</v>
      </c>
      <c r="J466">
        <f t="shared" si="23"/>
        <v>1</v>
      </c>
      <c r="M466">
        <v>46200</v>
      </c>
      <c r="N466">
        <v>0.998</v>
      </c>
      <c r="O466">
        <v>2.0000000000000018E-3</v>
      </c>
    </row>
    <row r="467" spans="1:15" x14ac:dyDescent="0.25">
      <c r="A467">
        <v>464</v>
      </c>
      <c r="B467" s="3">
        <f>NoMTC!K465</f>
        <v>142073.29230602499</v>
      </c>
      <c r="C467" s="2">
        <f>NoMTC!I465</f>
        <v>8.1652565424847907</v>
      </c>
      <c r="D467" s="3">
        <f>MTC!K465</f>
        <v>151239.87126571799</v>
      </c>
      <c r="E467" s="2">
        <f>MTC!I465</f>
        <v>8.6687643852021008</v>
      </c>
      <c r="F467" s="2">
        <f t="shared" si="21"/>
        <v>9166.5789596929972</v>
      </c>
      <c r="G467" s="2">
        <f t="shared" si="22"/>
        <v>0.50350784271731008</v>
      </c>
      <c r="H467" s="3">
        <f>E467*Lambda-D467</f>
        <v>282198.34799438703</v>
      </c>
      <c r="I467" s="3">
        <f>C467*Lambda-B467</f>
        <v>266189.53481821454</v>
      </c>
      <c r="J467">
        <f t="shared" si="23"/>
        <v>1</v>
      </c>
      <c r="M467">
        <v>46300</v>
      </c>
      <c r="N467">
        <v>0.998</v>
      </c>
      <c r="O467">
        <v>2.0000000000000018E-3</v>
      </c>
    </row>
    <row r="468" spans="1:15" x14ac:dyDescent="0.25">
      <c r="A468">
        <v>465</v>
      </c>
      <c r="B468" s="3">
        <f>NoMTC!K466</f>
        <v>96411.487699236401</v>
      </c>
      <c r="C468" s="2">
        <f>NoMTC!I466</f>
        <v>7.6145932717884302</v>
      </c>
      <c r="D468" s="3">
        <f>MTC!K466</f>
        <v>105838.113523369</v>
      </c>
      <c r="E468" s="2">
        <f>MTC!I466</f>
        <v>8.3735662852903605</v>
      </c>
      <c r="F468" s="2">
        <f t="shared" si="21"/>
        <v>9426.6258241325995</v>
      </c>
      <c r="G468" s="2">
        <f t="shared" si="22"/>
        <v>0.75897301350193036</v>
      </c>
      <c r="H468" s="3">
        <f>E468*Lambda-D468</f>
        <v>312840.20074114902</v>
      </c>
      <c r="I468" s="3">
        <f>C468*Lambda-B468</f>
        <v>284318.17589018506</v>
      </c>
      <c r="J468">
        <f t="shared" si="23"/>
        <v>1</v>
      </c>
      <c r="M468">
        <v>46400</v>
      </c>
      <c r="N468">
        <v>0.998</v>
      </c>
      <c r="O468">
        <v>2.0000000000000018E-3</v>
      </c>
    </row>
    <row r="469" spans="1:15" x14ac:dyDescent="0.25">
      <c r="A469">
        <v>466</v>
      </c>
      <c r="B469" s="3">
        <f>NoMTC!K467</f>
        <v>92751.474199444201</v>
      </c>
      <c r="C469" s="2">
        <f>NoMTC!I467</f>
        <v>8.8898910291190898</v>
      </c>
      <c r="D469" s="3">
        <f>MTC!K467</f>
        <v>95867.201569907498</v>
      </c>
      <c r="E469" s="2">
        <f>MTC!I467</f>
        <v>9.2099658982373107</v>
      </c>
      <c r="F469" s="2">
        <f t="shared" si="21"/>
        <v>3115.7273704632971</v>
      </c>
      <c r="G469" s="2">
        <f t="shared" si="22"/>
        <v>0.32007486911822092</v>
      </c>
      <c r="H469" s="3">
        <f>E469*Lambda-D469</f>
        <v>364631.09334195807</v>
      </c>
      <c r="I469" s="3">
        <f>C469*Lambda-B469</f>
        <v>351743.07725651027</v>
      </c>
      <c r="J469">
        <f t="shared" si="23"/>
        <v>1</v>
      </c>
      <c r="M469">
        <v>46500</v>
      </c>
      <c r="N469">
        <v>0.998</v>
      </c>
      <c r="O469">
        <v>2.0000000000000018E-3</v>
      </c>
    </row>
    <row r="470" spans="1:15" x14ac:dyDescent="0.25">
      <c r="A470">
        <v>467</v>
      </c>
      <c r="B470" s="3">
        <f>NoMTC!K468</f>
        <v>97908.006696435303</v>
      </c>
      <c r="C470" s="2">
        <f>NoMTC!I468</f>
        <v>8.3569816072138696</v>
      </c>
      <c r="D470" s="3">
        <f>MTC!K468</f>
        <v>101439.19211937</v>
      </c>
      <c r="E470" s="2">
        <f>MTC!I468</f>
        <v>8.6795170621220894</v>
      </c>
      <c r="F470" s="2">
        <f t="shared" si="21"/>
        <v>3531.1854229346936</v>
      </c>
      <c r="G470" s="2">
        <f t="shared" si="22"/>
        <v>0.32253545490821978</v>
      </c>
      <c r="H470" s="3">
        <f>E470*Lambda-D470</f>
        <v>332536.6609867345</v>
      </c>
      <c r="I470" s="3">
        <f>C470*Lambda-B470</f>
        <v>319941.07366425823</v>
      </c>
      <c r="J470">
        <f t="shared" si="23"/>
        <v>1</v>
      </c>
      <c r="M470">
        <v>46600</v>
      </c>
      <c r="N470">
        <v>0.998</v>
      </c>
      <c r="O470">
        <v>2.0000000000000018E-3</v>
      </c>
    </row>
    <row r="471" spans="1:15" x14ac:dyDescent="0.25">
      <c r="A471">
        <v>468</v>
      </c>
      <c r="B471" s="3">
        <f>NoMTC!K469</f>
        <v>138864.07635822301</v>
      </c>
      <c r="C471" s="2">
        <f>NoMTC!I469</f>
        <v>6.9651247593430696</v>
      </c>
      <c r="D471" s="3">
        <f>MTC!K469</f>
        <v>150650.68910248901</v>
      </c>
      <c r="E471" s="2">
        <f>MTC!I469</f>
        <v>7.4887139082129401</v>
      </c>
      <c r="F471" s="2">
        <f t="shared" si="21"/>
        <v>11786.612744265993</v>
      </c>
      <c r="G471" s="2">
        <f t="shared" si="22"/>
        <v>0.52358914886987051</v>
      </c>
      <c r="H471" s="3">
        <f>E471*Lambda-D471</f>
        <v>223785.00630815802</v>
      </c>
      <c r="I471" s="3">
        <f>C471*Lambda-B471</f>
        <v>209392.16160893047</v>
      </c>
      <c r="J471">
        <f t="shared" si="23"/>
        <v>1</v>
      </c>
      <c r="M471">
        <v>46700</v>
      </c>
      <c r="N471">
        <v>0.998</v>
      </c>
      <c r="O471">
        <v>2.0000000000000018E-3</v>
      </c>
    </row>
    <row r="472" spans="1:15" x14ac:dyDescent="0.25">
      <c r="A472">
        <v>469</v>
      </c>
      <c r="B472" s="3">
        <f>NoMTC!K470</f>
        <v>146284.68950387</v>
      </c>
      <c r="C472" s="2">
        <f>NoMTC!I470</f>
        <v>8.3544558521407204</v>
      </c>
      <c r="D472" s="3">
        <f>MTC!K470</f>
        <v>153425.24770247299</v>
      </c>
      <c r="E472" s="2">
        <f>MTC!I470</f>
        <v>8.7435191171818705</v>
      </c>
      <c r="F472" s="2">
        <f t="shared" si="21"/>
        <v>7140.5581986029865</v>
      </c>
      <c r="G472" s="2">
        <f t="shared" si="22"/>
        <v>0.38906326504115007</v>
      </c>
      <c r="H472" s="3">
        <f>E472*Lambda-D472</f>
        <v>283750.7081566205</v>
      </c>
      <c r="I472" s="3">
        <f>C472*Lambda-B472</f>
        <v>271438.10310316598</v>
      </c>
      <c r="J472">
        <f t="shared" si="23"/>
        <v>1</v>
      </c>
      <c r="M472">
        <v>46800</v>
      </c>
      <c r="N472">
        <v>0.998</v>
      </c>
      <c r="O472">
        <v>2.0000000000000018E-3</v>
      </c>
    </row>
    <row r="473" spans="1:15" x14ac:dyDescent="0.25">
      <c r="A473">
        <v>470</v>
      </c>
      <c r="B473" s="3">
        <f>NoMTC!K471</f>
        <v>102981.82059800799</v>
      </c>
      <c r="C473" s="2">
        <f>NoMTC!I471</f>
        <v>8.2129938201874708</v>
      </c>
      <c r="D473" s="3">
        <f>MTC!K471</f>
        <v>105743.94560013</v>
      </c>
      <c r="E473" s="2">
        <f>MTC!I471</f>
        <v>8.4457409473612408</v>
      </c>
      <c r="F473" s="2">
        <f t="shared" si="21"/>
        <v>2762.1250021220039</v>
      </c>
      <c r="G473" s="2">
        <f t="shared" si="22"/>
        <v>0.23274712717377</v>
      </c>
      <c r="H473" s="3">
        <f>E473*Lambda-D473</f>
        <v>316543.10176793201</v>
      </c>
      <c r="I473" s="3">
        <f>C473*Lambda-B473</f>
        <v>307667.87041136553</v>
      </c>
      <c r="J473">
        <f t="shared" si="23"/>
        <v>1</v>
      </c>
      <c r="M473">
        <v>46900</v>
      </c>
      <c r="N473">
        <v>0.998</v>
      </c>
      <c r="O473">
        <v>2.0000000000000018E-3</v>
      </c>
    </row>
    <row r="474" spans="1:15" x14ac:dyDescent="0.25">
      <c r="A474">
        <v>471</v>
      </c>
      <c r="B474" s="3">
        <f>NoMTC!K472</f>
        <v>154192.04250793901</v>
      </c>
      <c r="C474" s="2">
        <f>NoMTC!I472</f>
        <v>8.1746418264793093</v>
      </c>
      <c r="D474" s="3">
        <f>MTC!K472</f>
        <v>161004.939140225</v>
      </c>
      <c r="E474" s="2">
        <f>MTC!I472</f>
        <v>8.5109695518238606</v>
      </c>
      <c r="F474" s="2">
        <f t="shared" si="21"/>
        <v>6812.8966322859924</v>
      </c>
      <c r="G474" s="2">
        <f t="shared" si="22"/>
        <v>0.33632772534455135</v>
      </c>
      <c r="H474" s="3">
        <f>E474*Lambda-D474</f>
        <v>264543.53845096804</v>
      </c>
      <c r="I474" s="3">
        <f>C474*Lambda-B474</f>
        <v>254540.04881602645</v>
      </c>
      <c r="J474">
        <f t="shared" si="23"/>
        <v>1</v>
      </c>
      <c r="M474">
        <v>47000</v>
      </c>
      <c r="N474">
        <v>0.998</v>
      </c>
      <c r="O474">
        <v>2.0000000000000018E-3</v>
      </c>
    </row>
    <row r="475" spans="1:15" x14ac:dyDescent="0.25">
      <c r="A475">
        <v>472</v>
      </c>
      <c r="B475" s="3">
        <f>NoMTC!K473</f>
        <v>112123.85949050001</v>
      </c>
      <c r="C475" s="2">
        <f>NoMTC!I473</f>
        <v>8.23295255143268</v>
      </c>
      <c r="D475" s="3">
        <f>MTC!K473</f>
        <v>116614.823097527</v>
      </c>
      <c r="E475" s="2">
        <f>MTC!I473</f>
        <v>8.5421896061490603</v>
      </c>
      <c r="F475" s="2">
        <f t="shared" si="21"/>
        <v>4490.9636070269917</v>
      </c>
      <c r="G475" s="2">
        <f t="shared" si="22"/>
        <v>0.3092370547163803</v>
      </c>
      <c r="H475" s="3">
        <f>E475*Lambda-D475</f>
        <v>310494.65720992605</v>
      </c>
      <c r="I475" s="3">
        <f>C475*Lambda-B475</f>
        <v>299523.76808113401</v>
      </c>
      <c r="J475">
        <f t="shared" si="23"/>
        <v>1</v>
      </c>
      <c r="M475">
        <v>47100</v>
      </c>
      <c r="N475">
        <v>0.998</v>
      </c>
      <c r="O475">
        <v>2.0000000000000018E-3</v>
      </c>
    </row>
    <row r="476" spans="1:15" x14ac:dyDescent="0.25">
      <c r="A476">
        <v>473</v>
      </c>
      <c r="B476" s="3">
        <f>NoMTC!K474</f>
        <v>120839.62632132501</v>
      </c>
      <c r="C476" s="2">
        <f>NoMTC!I474</f>
        <v>7.0939520749572402</v>
      </c>
      <c r="D476" s="3">
        <f>MTC!K474</f>
        <v>128787.295326725</v>
      </c>
      <c r="E476" s="2">
        <f>MTC!I474</f>
        <v>7.5489450728865899</v>
      </c>
      <c r="F476" s="2">
        <f t="shared" si="21"/>
        <v>7947.6690053999919</v>
      </c>
      <c r="G476" s="2">
        <f t="shared" si="22"/>
        <v>0.45499299792934966</v>
      </c>
      <c r="H476" s="3">
        <f>E476*Lambda-D476</f>
        <v>248659.9583176045</v>
      </c>
      <c r="I476" s="3">
        <f>C476*Lambda-B476</f>
        <v>233857.97742653696</v>
      </c>
      <c r="J476">
        <f t="shared" si="23"/>
        <v>1</v>
      </c>
      <c r="M476">
        <v>47200</v>
      </c>
      <c r="N476">
        <v>0.998</v>
      </c>
      <c r="O476">
        <v>2.0000000000000018E-3</v>
      </c>
    </row>
    <row r="477" spans="1:15" x14ac:dyDescent="0.25">
      <c r="A477">
        <v>474</v>
      </c>
      <c r="B477" s="3">
        <f>NoMTC!K475</f>
        <v>125977.034614665</v>
      </c>
      <c r="C477" s="2">
        <f>NoMTC!I475</f>
        <v>7.5361115136542898</v>
      </c>
      <c r="D477" s="3">
        <f>MTC!K475</f>
        <v>137438.50400746401</v>
      </c>
      <c r="E477" s="2">
        <f>MTC!I475</f>
        <v>8.1882977552754301</v>
      </c>
      <c r="F477" s="2">
        <f t="shared" si="21"/>
        <v>11461.469392799016</v>
      </c>
      <c r="G477" s="2">
        <f t="shared" si="22"/>
        <v>0.65218624162114036</v>
      </c>
      <c r="H477" s="3">
        <f>E477*Lambda-D477</f>
        <v>271976.38375630754</v>
      </c>
      <c r="I477" s="3">
        <f>C477*Lambda-B477</f>
        <v>250828.54106804947</v>
      </c>
      <c r="J477">
        <f t="shared" si="23"/>
        <v>1</v>
      </c>
      <c r="M477">
        <v>47300</v>
      </c>
      <c r="N477">
        <v>0.998</v>
      </c>
      <c r="O477">
        <v>2.0000000000000018E-3</v>
      </c>
    </row>
    <row r="478" spans="1:15" x14ac:dyDescent="0.25">
      <c r="A478">
        <v>475</v>
      </c>
      <c r="B478" s="3">
        <f>NoMTC!K476</f>
        <v>100282.85562526</v>
      </c>
      <c r="C478" s="2">
        <f>NoMTC!I476</f>
        <v>7.5320191291628804</v>
      </c>
      <c r="D478" s="3">
        <f>MTC!K476</f>
        <v>106929.878383875</v>
      </c>
      <c r="E478" s="2">
        <f>MTC!I476</f>
        <v>8.0591355600767702</v>
      </c>
      <c r="F478" s="2">
        <f t="shared" si="21"/>
        <v>6647.0227586149995</v>
      </c>
      <c r="G478" s="2">
        <f t="shared" si="22"/>
        <v>0.52711643091388982</v>
      </c>
      <c r="H478" s="3">
        <f>E478*Lambda-D478</f>
        <v>296026.89961996349</v>
      </c>
      <c r="I478" s="3">
        <f>C478*Lambda-B478</f>
        <v>276318.10083288403</v>
      </c>
      <c r="J478">
        <f t="shared" si="23"/>
        <v>1</v>
      </c>
      <c r="M478">
        <v>47400</v>
      </c>
      <c r="N478">
        <v>0.998</v>
      </c>
      <c r="O478">
        <v>2.0000000000000018E-3</v>
      </c>
    </row>
    <row r="479" spans="1:15" x14ac:dyDescent="0.25">
      <c r="A479">
        <v>476</v>
      </c>
      <c r="B479" s="3">
        <f>NoMTC!K477</f>
        <v>108490.97963009799</v>
      </c>
      <c r="C479" s="2">
        <f>NoMTC!I477</f>
        <v>8.3427610843683802</v>
      </c>
      <c r="D479" s="3">
        <f>MTC!K477</f>
        <v>114739.508784042</v>
      </c>
      <c r="E479" s="2">
        <f>MTC!I477</f>
        <v>8.8205204484745892</v>
      </c>
      <c r="F479" s="2">
        <f t="shared" si="21"/>
        <v>6248.5291539440077</v>
      </c>
      <c r="G479" s="2">
        <f t="shared" si="22"/>
        <v>0.47775936410620901</v>
      </c>
      <c r="H479" s="3">
        <f>E479*Lambda-D479</f>
        <v>326286.51363968744</v>
      </c>
      <c r="I479" s="3">
        <f>C479*Lambda-B479</f>
        <v>308647.07458832103</v>
      </c>
      <c r="J479">
        <f t="shared" si="23"/>
        <v>1</v>
      </c>
      <c r="M479">
        <v>47500</v>
      </c>
      <c r="N479">
        <v>0.998</v>
      </c>
      <c r="O479">
        <v>2.0000000000000018E-3</v>
      </c>
    </row>
    <row r="480" spans="1:15" x14ac:dyDescent="0.25">
      <c r="A480">
        <v>477</v>
      </c>
      <c r="B480" s="3">
        <f>NoMTC!K478</f>
        <v>132454.91582256599</v>
      </c>
      <c r="C480" s="2">
        <f>NoMTC!I478</f>
        <v>7.9677719269827403</v>
      </c>
      <c r="D480" s="3">
        <f>MTC!K478</f>
        <v>138433.792287277</v>
      </c>
      <c r="E480" s="2">
        <f>MTC!I478</f>
        <v>8.2949243678056295</v>
      </c>
      <c r="F480" s="2">
        <f t="shared" si="21"/>
        <v>5978.8764647110074</v>
      </c>
      <c r="G480" s="2">
        <f t="shared" si="22"/>
        <v>0.32715244082288919</v>
      </c>
      <c r="H480" s="3">
        <f>E480*Lambda-D480</f>
        <v>276312.42610300449</v>
      </c>
      <c r="I480" s="3">
        <f>C480*Lambda-B480</f>
        <v>265933.680526571</v>
      </c>
      <c r="J480">
        <f t="shared" si="23"/>
        <v>1</v>
      </c>
      <c r="M480">
        <v>47600</v>
      </c>
      <c r="N480">
        <v>0.998</v>
      </c>
      <c r="O480">
        <v>2.0000000000000018E-3</v>
      </c>
    </row>
    <row r="481" spans="1:15" x14ac:dyDescent="0.25">
      <c r="A481">
        <v>478</v>
      </c>
      <c r="B481" s="3">
        <f>NoMTC!K479</f>
        <v>139427.607226194</v>
      </c>
      <c r="C481" s="2">
        <f>NoMTC!I479</f>
        <v>8.12966112371425</v>
      </c>
      <c r="D481" s="3">
        <f>MTC!K479</f>
        <v>149680.168399983</v>
      </c>
      <c r="E481" s="2">
        <f>MTC!I479</f>
        <v>8.7189133013529698</v>
      </c>
      <c r="F481" s="2">
        <f t="shared" si="21"/>
        <v>10252.561173788999</v>
      </c>
      <c r="G481" s="2">
        <f t="shared" si="22"/>
        <v>0.58925217763871984</v>
      </c>
      <c r="H481" s="3">
        <f>E481*Lambda-D481</f>
        <v>286265.49666766555</v>
      </c>
      <c r="I481" s="3">
        <f>C481*Lambda-B481</f>
        <v>267055.44895951852</v>
      </c>
      <c r="J481">
        <f t="shared" si="23"/>
        <v>1</v>
      </c>
      <c r="M481">
        <v>47700</v>
      </c>
      <c r="N481">
        <v>0.998</v>
      </c>
      <c r="O481">
        <v>2.0000000000000018E-3</v>
      </c>
    </row>
    <row r="482" spans="1:15" x14ac:dyDescent="0.25">
      <c r="A482">
        <v>479</v>
      </c>
      <c r="B482" s="3">
        <f>NoMTC!K480</f>
        <v>142460.456057</v>
      </c>
      <c r="C482" s="2">
        <f>NoMTC!I480</f>
        <v>7.1637733183398504</v>
      </c>
      <c r="D482" s="3">
        <f>MTC!K480</f>
        <v>150897.168566468</v>
      </c>
      <c r="E482" s="2">
        <f>MTC!I480</f>
        <v>7.54659297129471</v>
      </c>
      <c r="F482" s="2">
        <f t="shared" si="21"/>
        <v>8436.7125094679941</v>
      </c>
      <c r="G482" s="2">
        <f t="shared" si="22"/>
        <v>0.38281965295485954</v>
      </c>
      <c r="H482" s="3">
        <f>E482*Lambda-D482</f>
        <v>226432.47999826749</v>
      </c>
      <c r="I482" s="3">
        <f>C482*Lambda-B482</f>
        <v>215728.20985999252</v>
      </c>
      <c r="J482">
        <f t="shared" si="23"/>
        <v>1</v>
      </c>
      <c r="M482">
        <v>47800</v>
      </c>
      <c r="N482">
        <v>0.998</v>
      </c>
      <c r="O482">
        <v>2.0000000000000018E-3</v>
      </c>
    </row>
    <row r="483" spans="1:15" x14ac:dyDescent="0.25">
      <c r="A483">
        <v>480</v>
      </c>
      <c r="B483" s="3">
        <f>NoMTC!K481</f>
        <v>114911.166281008</v>
      </c>
      <c r="C483" s="2">
        <f>NoMTC!I481</f>
        <v>7.3656031941437403</v>
      </c>
      <c r="D483" s="3">
        <f>MTC!K481</f>
        <v>122186.370124628</v>
      </c>
      <c r="E483" s="2">
        <f>MTC!I481</f>
        <v>7.7962042325177201</v>
      </c>
      <c r="F483" s="2">
        <f t="shared" si="21"/>
        <v>7275.2038436199946</v>
      </c>
      <c r="G483" s="2">
        <f t="shared" si="22"/>
        <v>0.43060103837397978</v>
      </c>
      <c r="H483" s="3">
        <f>E483*Lambda-D483</f>
        <v>267623.84150125802</v>
      </c>
      <c r="I483" s="3">
        <f>C483*Lambda-B483</f>
        <v>253368.99342617905</v>
      </c>
      <c r="J483">
        <f t="shared" si="23"/>
        <v>1</v>
      </c>
      <c r="M483">
        <v>47900</v>
      </c>
      <c r="N483">
        <v>0.998</v>
      </c>
      <c r="O483">
        <v>2.0000000000000018E-3</v>
      </c>
    </row>
    <row r="484" spans="1:15" x14ac:dyDescent="0.25">
      <c r="A484">
        <v>481</v>
      </c>
      <c r="B484" s="3">
        <f>NoMTC!K482</f>
        <v>193285.614974486</v>
      </c>
      <c r="C484" s="2">
        <f>NoMTC!I482</f>
        <v>7.3203649586499404</v>
      </c>
      <c r="D484" s="3">
        <f>MTC!K482</f>
        <v>203213.040464622</v>
      </c>
      <c r="E484" s="2">
        <f>MTC!I482</f>
        <v>7.6730136532609299</v>
      </c>
      <c r="F484" s="2">
        <f t="shared" si="21"/>
        <v>9927.4254901359964</v>
      </c>
      <c r="G484" s="2">
        <f t="shared" si="22"/>
        <v>0.35264869461098947</v>
      </c>
      <c r="H484" s="3">
        <f>E484*Lambda-D484</f>
        <v>180437.64219842452</v>
      </c>
      <c r="I484" s="3">
        <f>C484*Lambda-B484</f>
        <v>172732.632958011</v>
      </c>
      <c r="J484">
        <f t="shared" si="23"/>
        <v>1</v>
      </c>
      <c r="M484">
        <v>48000</v>
      </c>
      <c r="N484">
        <v>0.998</v>
      </c>
      <c r="O484">
        <v>2.0000000000000018E-3</v>
      </c>
    </row>
    <row r="485" spans="1:15" x14ac:dyDescent="0.25">
      <c r="A485">
        <v>482</v>
      </c>
      <c r="B485" s="3">
        <f>NoMTC!K483</f>
        <v>104406.147568746</v>
      </c>
      <c r="C485" s="2">
        <f>NoMTC!I483</f>
        <v>7.1148373469289501</v>
      </c>
      <c r="D485" s="3">
        <f>MTC!K483</f>
        <v>111053.480785134</v>
      </c>
      <c r="E485" s="2">
        <f>MTC!I483</f>
        <v>7.5533371627876402</v>
      </c>
      <c r="F485" s="2">
        <f t="shared" si="21"/>
        <v>6647.3332163879968</v>
      </c>
      <c r="G485" s="2">
        <f t="shared" si="22"/>
        <v>0.43849981585869013</v>
      </c>
      <c r="H485" s="3">
        <f>E485*Lambda-D485</f>
        <v>266613.37735424802</v>
      </c>
      <c r="I485" s="3">
        <f>C485*Lambda-B485</f>
        <v>251335.71977770148</v>
      </c>
      <c r="J485">
        <f t="shared" si="23"/>
        <v>1</v>
      </c>
      <c r="M485">
        <v>48100</v>
      </c>
      <c r="N485">
        <v>0.998</v>
      </c>
      <c r="O485">
        <v>2.0000000000000018E-3</v>
      </c>
    </row>
    <row r="486" spans="1:15" x14ac:dyDescent="0.25">
      <c r="A486">
        <v>483</v>
      </c>
      <c r="B486" s="3">
        <f>NoMTC!K484</f>
        <v>121696.40607500399</v>
      </c>
      <c r="C486" s="2">
        <f>NoMTC!I484</f>
        <v>7.3968132419714596</v>
      </c>
      <c r="D486" s="3">
        <f>MTC!K484</f>
        <v>126628.572902527</v>
      </c>
      <c r="E486" s="2">
        <f>MTC!I484</f>
        <v>7.7055703938213496</v>
      </c>
      <c r="F486" s="2">
        <f t="shared" si="21"/>
        <v>4932.166827523004</v>
      </c>
      <c r="G486" s="2">
        <f t="shared" si="22"/>
        <v>0.30875715184988994</v>
      </c>
      <c r="H486" s="3">
        <f>E486*Lambda-D486</f>
        <v>258649.94678854046</v>
      </c>
      <c r="I486" s="3">
        <f>C486*Lambda-B486</f>
        <v>248144.256023569</v>
      </c>
      <c r="J486">
        <f t="shared" si="23"/>
        <v>1</v>
      </c>
      <c r="M486">
        <v>48200</v>
      </c>
      <c r="N486">
        <v>0.998</v>
      </c>
      <c r="O486">
        <v>2.0000000000000018E-3</v>
      </c>
    </row>
    <row r="487" spans="1:15" x14ac:dyDescent="0.25">
      <c r="A487">
        <v>484</v>
      </c>
      <c r="B487" s="3">
        <f>NoMTC!K485</f>
        <v>118393.328837031</v>
      </c>
      <c r="C487" s="2">
        <f>NoMTC!I485</f>
        <v>7.6342638018204996</v>
      </c>
      <c r="D487" s="3">
        <f>MTC!K485</f>
        <v>125513.992226716</v>
      </c>
      <c r="E487" s="2">
        <f>MTC!I485</f>
        <v>8.0719344363319596</v>
      </c>
      <c r="F487" s="2">
        <f t="shared" si="21"/>
        <v>7120.6633896849962</v>
      </c>
      <c r="G487" s="2">
        <f t="shared" si="22"/>
        <v>0.43767063451146004</v>
      </c>
      <c r="H487" s="3">
        <f>E487*Lambda-D487</f>
        <v>278082.72958988196</v>
      </c>
      <c r="I487" s="3">
        <f>C487*Lambda-B487</f>
        <v>263319.86125399393</v>
      </c>
      <c r="J487">
        <f t="shared" si="23"/>
        <v>1</v>
      </c>
      <c r="M487">
        <v>48300</v>
      </c>
      <c r="N487">
        <v>0.998</v>
      </c>
      <c r="O487">
        <v>2.0000000000000018E-3</v>
      </c>
    </row>
    <row r="488" spans="1:15" x14ac:dyDescent="0.25">
      <c r="A488">
        <v>485</v>
      </c>
      <c r="B488" s="3">
        <f>NoMTC!K486</f>
        <v>114321.94120193001</v>
      </c>
      <c r="C488" s="2">
        <f>NoMTC!I486</f>
        <v>6.4852820742199002</v>
      </c>
      <c r="D488" s="3">
        <f>MTC!K486</f>
        <v>124073.944081767</v>
      </c>
      <c r="E488" s="2">
        <f>MTC!I486</f>
        <v>7.0338203544714997</v>
      </c>
      <c r="F488" s="2">
        <f t="shared" si="21"/>
        <v>9752.0028798369895</v>
      </c>
      <c r="G488" s="2">
        <f t="shared" si="22"/>
        <v>0.54853828025159945</v>
      </c>
      <c r="H488" s="3">
        <f>E488*Lambda-D488</f>
        <v>227617.07364180801</v>
      </c>
      <c r="I488" s="3">
        <f>C488*Lambda-B488</f>
        <v>209942.162509065</v>
      </c>
      <c r="J488">
        <f t="shared" si="23"/>
        <v>1</v>
      </c>
      <c r="M488">
        <v>48400</v>
      </c>
      <c r="N488">
        <v>0.998</v>
      </c>
      <c r="O488">
        <v>2.0000000000000018E-3</v>
      </c>
    </row>
    <row r="489" spans="1:15" x14ac:dyDescent="0.25">
      <c r="A489">
        <v>486</v>
      </c>
      <c r="B489" s="3">
        <f>NoMTC!K487</f>
        <v>82078.743085257403</v>
      </c>
      <c r="C489" s="2">
        <f>NoMTC!I487</f>
        <v>7.1890600933915501</v>
      </c>
      <c r="D489" s="3">
        <f>MTC!K487</f>
        <v>87614.356077470904</v>
      </c>
      <c r="E489" s="2">
        <f>MTC!I487</f>
        <v>7.7321216812715496</v>
      </c>
      <c r="F489" s="2">
        <f t="shared" si="21"/>
        <v>5535.6129922135005</v>
      </c>
      <c r="G489" s="2">
        <f t="shared" si="22"/>
        <v>0.54306158787999959</v>
      </c>
      <c r="H489" s="3">
        <f>E489*Lambda-D489</f>
        <v>298991.72798610653</v>
      </c>
      <c r="I489" s="3">
        <f>C489*Lambda-B489</f>
        <v>277374.26158432011</v>
      </c>
      <c r="J489">
        <f t="shared" si="23"/>
        <v>1</v>
      </c>
      <c r="M489">
        <v>48500</v>
      </c>
      <c r="N489">
        <v>0.998</v>
      </c>
      <c r="O489">
        <v>2.0000000000000018E-3</v>
      </c>
    </row>
    <row r="490" spans="1:15" x14ac:dyDescent="0.25">
      <c r="A490">
        <v>487</v>
      </c>
      <c r="B490" s="3">
        <f>NoMTC!K488</f>
        <v>109060.09364798899</v>
      </c>
      <c r="C490" s="2">
        <f>NoMTC!I488</f>
        <v>7.8766596611982704</v>
      </c>
      <c r="D490" s="3">
        <f>MTC!K488</f>
        <v>112252.95660247401</v>
      </c>
      <c r="E490" s="2">
        <f>MTC!I488</f>
        <v>8.1097135937547993</v>
      </c>
      <c r="F490" s="2">
        <f t="shared" si="21"/>
        <v>3192.8629544850119</v>
      </c>
      <c r="G490" s="2">
        <f t="shared" si="22"/>
        <v>0.23305393255652884</v>
      </c>
      <c r="H490" s="3">
        <f>E490*Lambda-D490</f>
        <v>293232.72308526596</v>
      </c>
      <c r="I490" s="3">
        <f>C490*Lambda-B490</f>
        <v>284772.88941192452</v>
      </c>
      <c r="J490">
        <f t="shared" si="23"/>
        <v>1</v>
      </c>
      <c r="M490">
        <v>48600</v>
      </c>
      <c r="N490">
        <v>0.998</v>
      </c>
      <c r="O490">
        <v>2.0000000000000018E-3</v>
      </c>
    </row>
    <row r="491" spans="1:15" x14ac:dyDescent="0.25">
      <c r="A491">
        <v>488</v>
      </c>
      <c r="B491" s="3">
        <f>NoMTC!K489</f>
        <v>99685.454807779097</v>
      </c>
      <c r="C491" s="2">
        <f>NoMTC!I489</f>
        <v>7.7613881154878204</v>
      </c>
      <c r="D491" s="3">
        <f>MTC!K489</f>
        <v>105349.67933600899</v>
      </c>
      <c r="E491" s="2">
        <f>MTC!I489</f>
        <v>8.2149058735639802</v>
      </c>
      <c r="F491" s="2">
        <f t="shared" si="21"/>
        <v>5664.2245282298973</v>
      </c>
      <c r="G491" s="2">
        <f t="shared" si="22"/>
        <v>0.45351775807615979</v>
      </c>
      <c r="H491" s="3">
        <f>E491*Lambda-D491</f>
        <v>305395.61434218998</v>
      </c>
      <c r="I491" s="3">
        <f>C491*Lambda-B491</f>
        <v>288383.95096661191</v>
      </c>
      <c r="J491">
        <f t="shared" si="23"/>
        <v>1</v>
      </c>
      <c r="M491">
        <v>48700</v>
      </c>
      <c r="N491">
        <v>0.998</v>
      </c>
      <c r="O491">
        <v>2.0000000000000018E-3</v>
      </c>
    </row>
    <row r="492" spans="1:15" x14ac:dyDescent="0.25">
      <c r="A492">
        <v>489</v>
      </c>
      <c r="B492" s="3">
        <f>NoMTC!K490</f>
        <v>93199.486637284703</v>
      </c>
      <c r="C492" s="2">
        <f>NoMTC!I490</f>
        <v>7.3797867565052897</v>
      </c>
      <c r="D492" s="3">
        <f>MTC!K490</f>
        <v>95884.472033152604</v>
      </c>
      <c r="E492" s="2">
        <f>MTC!I490</f>
        <v>7.5883647160616698</v>
      </c>
      <c r="F492" s="2">
        <f t="shared" si="21"/>
        <v>2684.9853958679014</v>
      </c>
      <c r="G492" s="2">
        <f t="shared" si="22"/>
        <v>0.20857795955638014</v>
      </c>
      <c r="H492" s="3">
        <f>E492*Lambda-D492</f>
        <v>283533.76376993093</v>
      </c>
      <c r="I492" s="3">
        <f>C492*Lambda-B492</f>
        <v>275789.8511879798</v>
      </c>
      <c r="J492">
        <f t="shared" si="23"/>
        <v>1</v>
      </c>
      <c r="M492">
        <v>48800</v>
      </c>
      <c r="N492">
        <v>0.998</v>
      </c>
      <c r="O492">
        <v>2.0000000000000018E-3</v>
      </c>
    </row>
    <row r="493" spans="1:15" x14ac:dyDescent="0.25">
      <c r="A493">
        <v>490</v>
      </c>
      <c r="B493" s="3">
        <f>NoMTC!K491</f>
        <v>93348.340495494995</v>
      </c>
      <c r="C493" s="2">
        <f>NoMTC!I491</f>
        <v>7.6699414665444401</v>
      </c>
      <c r="D493" s="3">
        <f>MTC!K491</f>
        <v>96687.825129779594</v>
      </c>
      <c r="E493" s="2">
        <f>MTC!I491</f>
        <v>7.9344100265566597</v>
      </c>
      <c r="F493" s="2">
        <f t="shared" si="21"/>
        <v>3339.4846342845995</v>
      </c>
      <c r="G493" s="2">
        <f t="shared" si="22"/>
        <v>0.26446856001221963</v>
      </c>
      <c r="H493" s="3">
        <f>E493*Lambda-D493</f>
        <v>300032.67619805341</v>
      </c>
      <c r="I493" s="3">
        <f>C493*Lambda-B493</f>
        <v>290148.73283172701</v>
      </c>
      <c r="J493">
        <f t="shared" si="23"/>
        <v>1</v>
      </c>
      <c r="M493">
        <v>48900</v>
      </c>
      <c r="N493">
        <v>0.998</v>
      </c>
      <c r="O493">
        <v>2.0000000000000018E-3</v>
      </c>
    </row>
    <row r="494" spans="1:15" x14ac:dyDescent="0.25">
      <c r="A494">
        <v>491</v>
      </c>
      <c r="B494" s="3">
        <f>NoMTC!K492</f>
        <v>116162.143110643</v>
      </c>
      <c r="C494" s="2">
        <f>NoMTC!I492</f>
        <v>6.4401933982237303</v>
      </c>
      <c r="D494" s="3">
        <f>MTC!K492</f>
        <v>127359.373805062</v>
      </c>
      <c r="E494" s="2">
        <f>MTC!I492</f>
        <v>7.0379769224252096</v>
      </c>
      <c r="F494" s="2">
        <f t="shared" si="21"/>
        <v>11197.230694419006</v>
      </c>
      <c r="G494" s="2">
        <f t="shared" si="22"/>
        <v>0.59778352420147929</v>
      </c>
      <c r="H494" s="3">
        <f>E494*Lambda-D494</f>
        <v>224539.47231619849</v>
      </c>
      <c r="I494" s="3">
        <f>C494*Lambda-B494</f>
        <v>205847.52680054351</v>
      </c>
      <c r="J494">
        <f t="shared" si="23"/>
        <v>1</v>
      </c>
      <c r="M494">
        <v>49000</v>
      </c>
      <c r="N494">
        <v>0.998</v>
      </c>
      <c r="O494">
        <v>2.0000000000000018E-3</v>
      </c>
    </row>
    <row r="495" spans="1:15" x14ac:dyDescent="0.25">
      <c r="A495">
        <v>492</v>
      </c>
      <c r="B495" s="3">
        <f>NoMTC!K493</f>
        <v>153341.489147908</v>
      </c>
      <c r="C495" s="2">
        <f>NoMTC!I493</f>
        <v>7.9909374298245996</v>
      </c>
      <c r="D495" s="3">
        <f>MTC!K493</f>
        <v>163888.66783050599</v>
      </c>
      <c r="E495" s="2">
        <f>MTC!I493</f>
        <v>8.5443184699266297</v>
      </c>
      <c r="F495" s="2">
        <f t="shared" si="21"/>
        <v>10547.178682597994</v>
      </c>
      <c r="G495" s="2">
        <f t="shared" si="22"/>
        <v>0.55338104010203004</v>
      </c>
      <c r="H495" s="3">
        <f>E495*Lambda-D495</f>
        <v>263327.25566582551</v>
      </c>
      <c r="I495" s="3">
        <f>C495*Lambda-B495</f>
        <v>246205.38234332198</v>
      </c>
      <c r="J495">
        <f t="shared" si="23"/>
        <v>1</v>
      </c>
      <c r="M495">
        <v>49100</v>
      </c>
      <c r="N495">
        <v>0.998</v>
      </c>
      <c r="O495">
        <v>2.0000000000000018E-3</v>
      </c>
    </row>
    <row r="496" spans="1:15" x14ac:dyDescent="0.25">
      <c r="A496">
        <v>493</v>
      </c>
      <c r="B496" s="3">
        <f>NoMTC!K494</f>
        <v>114547.9714372</v>
      </c>
      <c r="C496" s="2">
        <f>NoMTC!I494</f>
        <v>6.7264020648082603</v>
      </c>
      <c r="D496" s="3">
        <f>MTC!K494</f>
        <v>118295.800637115</v>
      </c>
      <c r="E496" s="2">
        <f>MTC!I494</f>
        <v>6.9568771934374602</v>
      </c>
      <c r="F496" s="2">
        <f t="shared" si="21"/>
        <v>3747.8291999149951</v>
      </c>
      <c r="G496" s="2">
        <f t="shared" si="22"/>
        <v>0.23047512862919994</v>
      </c>
      <c r="H496" s="3">
        <f>E496*Lambda-D496</f>
        <v>229548.05903475804</v>
      </c>
      <c r="I496" s="3">
        <f>C496*Lambda-B496</f>
        <v>221772.13180321301</v>
      </c>
      <c r="J496">
        <f t="shared" si="23"/>
        <v>1</v>
      </c>
      <c r="M496">
        <v>49200</v>
      </c>
      <c r="N496">
        <v>0.998</v>
      </c>
      <c r="O496">
        <v>2.0000000000000018E-3</v>
      </c>
    </row>
    <row r="497" spans="1:15" x14ac:dyDescent="0.25">
      <c r="A497">
        <v>494</v>
      </c>
      <c r="B497" s="3">
        <f>NoMTC!K495</f>
        <v>124584.12327127</v>
      </c>
      <c r="C497" s="2">
        <f>NoMTC!I495</f>
        <v>7.7093504538876196</v>
      </c>
      <c r="D497" s="3">
        <f>MTC!K495</f>
        <v>129130.627585446</v>
      </c>
      <c r="E497" s="2">
        <f>MTC!I495</f>
        <v>7.9742501027539401</v>
      </c>
      <c r="F497" s="2">
        <f t="shared" si="21"/>
        <v>4546.5043141759961</v>
      </c>
      <c r="G497" s="2">
        <f t="shared" si="22"/>
        <v>0.26489964886632045</v>
      </c>
      <c r="H497" s="3">
        <f>E497*Lambda-D497</f>
        <v>269581.87755225098</v>
      </c>
      <c r="I497" s="3">
        <f>C497*Lambda-B497</f>
        <v>260883.39942311094</v>
      </c>
      <c r="J497">
        <f t="shared" si="23"/>
        <v>1</v>
      </c>
      <c r="M497">
        <v>49300</v>
      </c>
      <c r="N497">
        <v>0.998</v>
      </c>
      <c r="O497">
        <v>2.0000000000000018E-3</v>
      </c>
    </row>
    <row r="498" spans="1:15" x14ac:dyDescent="0.25">
      <c r="A498">
        <v>495</v>
      </c>
      <c r="B498" s="3">
        <f>NoMTC!K496</f>
        <v>132745.44800375501</v>
      </c>
      <c r="C498" s="2">
        <f>NoMTC!I496</f>
        <v>8.4058176857590503</v>
      </c>
      <c r="D498" s="3">
        <f>MTC!K496</f>
        <v>136428.86256261999</v>
      </c>
      <c r="E498" s="2">
        <f>MTC!I496</f>
        <v>8.6474518536607601</v>
      </c>
      <c r="F498" s="2">
        <f t="shared" si="21"/>
        <v>3683.4145588649844</v>
      </c>
      <c r="G498" s="2">
        <f t="shared" si="22"/>
        <v>0.24163416790170977</v>
      </c>
      <c r="H498" s="3">
        <f>E498*Lambda-D498</f>
        <v>295943.73012041801</v>
      </c>
      <c r="I498" s="3">
        <f>C498*Lambda-B498</f>
        <v>287545.43628419749</v>
      </c>
      <c r="J498">
        <f t="shared" si="23"/>
        <v>1</v>
      </c>
      <c r="M498">
        <v>49400</v>
      </c>
      <c r="N498">
        <v>0.998</v>
      </c>
      <c r="O498">
        <v>2.0000000000000018E-3</v>
      </c>
    </row>
    <row r="499" spans="1:15" x14ac:dyDescent="0.25">
      <c r="A499">
        <v>496</v>
      </c>
      <c r="B499" s="3">
        <f>NoMTC!K497</f>
        <v>158854.347477826</v>
      </c>
      <c r="C499" s="2">
        <f>NoMTC!I497</f>
        <v>8.1539434229235699</v>
      </c>
      <c r="D499" s="3">
        <f>MTC!K497</f>
        <v>165654.53484940299</v>
      </c>
      <c r="E499" s="2">
        <f>MTC!I497</f>
        <v>8.5068699964946095</v>
      </c>
      <c r="F499" s="2">
        <f t="shared" si="21"/>
        <v>6800.1873715769907</v>
      </c>
      <c r="G499" s="2">
        <f t="shared" si="22"/>
        <v>0.35292657357103963</v>
      </c>
      <c r="H499" s="3">
        <f>E499*Lambda-D499</f>
        <v>259688.96497532746</v>
      </c>
      <c r="I499" s="3">
        <f>C499*Lambda-B499</f>
        <v>248842.8236683525</v>
      </c>
      <c r="J499">
        <f t="shared" si="23"/>
        <v>1</v>
      </c>
      <c r="M499">
        <v>49500</v>
      </c>
      <c r="N499">
        <v>0.998</v>
      </c>
      <c r="O499">
        <v>2.0000000000000018E-3</v>
      </c>
    </row>
    <row r="500" spans="1:15" x14ac:dyDescent="0.25">
      <c r="A500">
        <v>497</v>
      </c>
      <c r="B500" s="3">
        <f>NoMTC!K498</f>
        <v>100319.215018908</v>
      </c>
      <c r="C500" s="2">
        <f>NoMTC!I498</f>
        <v>6.7717209091353299</v>
      </c>
      <c r="D500" s="3">
        <f>MTC!K498</f>
        <v>106677.638588703</v>
      </c>
      <c r="E500" s="2">
        <f>MTC!I498</f>
        <v>7.1910339799813796</v>
      </c>
      <c r="F500" s="2">
        <f t="shared" si="21"/>
        <v>6358.4235697950062</v>
      </c>
      <c r="G500" s="2">
        <f t="shared" si="22"/>
        <v>0.41931307084604974</v>
      </c>
      <c r="H500" s="3">
        <f>E500*Lambda-D500</f>
        <v>252874.06041036599</v>
      </c>
      <c r="I500" s="3">
        <f>C500*Lambda-B500</f>
        <v>238266.8304378585</v>
      </c>
      <c r="J500">
        <f t="shared" si="23"/>
        <v>1</v>
      </c>
      <c r="M500">
        <v>49600</v>
      </c>
      <c r="N500">
        <v>0.998</v>
      </c>
      <c r="O500">
        <v>2.0000000000000018E-3</v>
      </c>
    </row>
    <row r="501" spans="1:15" x14ac:dyDescent="0.25">
      <c r="A501">
        <v>498</v>
      </c>
      <c r="B501" s="3">
        <f>NoMTC!K499</f>
        <v>146665.09064767501</v>
      </c>
      <c r="C501" s="2">
        <f>NoMTC!I499</f>
        <v>6.7490686491384002</v>
      </c>
      <c r="D501" s="3">
        <f>MTC!K499</f>
        <v>155596.664283199</v>
      </c>
      <c r="E501" s="2">
        <f>MTC!I499</f>
        <v>7.12751009953503</v>
      </c>
      <c r="F501" s="2">
        <f t="shared" si="21"/>
        <v>8931.5736355239933</v>
      </c>
      <c r="G501" s="2">
        <f t="shared" si="22"/>
        <v>0.3784414503966298</v>
      </c>
      <c r="H501" s="3">
        <f>E501*Lambda-D501</f>
        <v>200778.84069355251</v>
      </c>
      <c r="I501" s="3">
        <f>C501*Lambda-B501</f>
        <v>190788.34180924497</v>
      </c>
      <c r="J501">
        <f t="shared" si="23"/>
        <v>1</v>
      </c>
      <c r="M501">
        <v>49700</v>
      </c>
      <c r="N501">
        <v>0.998</v>
      </c>
      <c r="O501">
        <v>2.0000000000000018E-3</v>
      </c>
    </row>
    <row r="502" spans="1:15" x14ac:dyDescent="0.25">
      <c r="A502">
        <v>499</v>
      </c>
      <c r="B502" s="3">
        <f>NoMTC!K500</f>
        <v>144768.103152822</v>
      </c>
      <c r="C502" s="2">
        <f>NoMTC!I500</f>
        <v>7.9720538799980201</v>
      </c>
      <c r="D502" s="3">
        <f>MTC!K500</f>
        <v>145860.654732041</v>
      </c>
      <c r="E502" s="2">
        <f>MTC!I500</f>
        <v>8.0592833836862798</v>
      </c>
      <c r="F502" s="2">
        <f t="shared" si="21"/>
        <v>1092.5515792189981</v>
      </c>
      <c r="G502" s="2">
        <f t="shared" si="22"/>
        <v>8.7229503688259769E-2</v>
      </c>
      <c r="H502" s="3">
        <f>E502*Lambda-D502</f>
        <v>257103.51445227297</v>
      </c>
      <c r="I502" s="3">
        <f>C502*Lambda-B502</f>
        <v>253834.590847079</v>
      </c>
      <c r="J502">
        <f t="shared" si="23"/>
        <v>1</v>
      </c>
      <c r="M502">
        <v>49800</v>
      </c>
      <c r="N502">
        <v>0.998</v>
      </c>
      <c r="O502">
        <v>2.0000000000000018E-3</v>
      </c>
    </row>
    <row r="503" spans="1:15" x14ac:dyDescent="0.25">
      <c r="A503">
        <v>500</v>
      </c>
      <c r="B503" s="3">
        <f>NoMTC!K501</f>
        <v>150734.31827831699</v>
      </c>
      <c r="C503" s="2">
        <f>NoMTC!I501</f>
        <v>7.68018402179489</v>
      </c>
      <c r="D503" s="3">
        <f>MTC!K501</f>
        <v>156804.444953147</v>
      </c>
      <c r="E503" s="2">
        <f>MTC!I501</f>
        <v>7.9988286261052597</v>
      </c>
      <c r="F503" s="2">
        <f t="shared" si="21"/>
        <v>6070.1266748300113</v>
      </c>
      <c r="G503" s="2">
        <f t="shared" si="22"/>
        <v>0.31864460431036967</v>
      </c>
      <c r="H503" s="3">
        <f>E503*Lambda-D503</f>
        <v>243136.98635211596</v>
      </c>
      <c r="I503" s="3">
        <f>C503*Lambda-B503</f>
        <v>233274.88281142752</v>
      </c>
      <c r="J503">
        <f t="shared" si="23"/>
        <v>1</v>
      </c>
      <c r="M503">
        <v>49900</v>
      </c>
      <c r="N503">
        <v>0.998</v>
      </c>
      <c r="O503">
        <v>2.0000000000000018E-3</v>
      </c>
    </row>
    <row r="504" spans="1:15" x14ac:dyDescent="0.25">
      <c r="C504" s="2"/>
      <c r="M504">
        <v>50000</v>
      </c>
      <c r="N504">
        <v>0.998</v>
      </c>
      <c r="O504">
        <v>2.0000000000000018E-3</v>
      </c>
    </row>
    <row r="505" spans="1:15" x14ac:dyDescent="0.25">
      <c r="C505" s="2"/>
    </row>
    <row r="506" spans="1:15" x14ac:dyDescent="0.25">
      <c r="C506" s="2"/>
    </row>
    <row r="507" spans="1:15" x14ac:dyDescent="0.25">
      <c r="C507" s="2"/>
    </row>
    <row r="508" spans="1:15" x14ac:dyDescent="0.25">
      <c r="C508" s="2"/>
    </row>
    <row r="509" spans="1:15" x14ac:dyDescent="0.25">
      <c r="C509" s="2"/>
    </row>
    <row r="510" spans="1:15" x14ac:dyDescent="0.25">
      <c r="C510" s="2"/>
    </row>
    <row r="511" spans="1:15" x14ac:dyDescent="0.25">
      <c r="C511" s="2"/>
    </row>
    <row r="512" spans="1:15" x14ac:dyDescent="0.25">
      <c r="C512" s="2"/>
    </row>
    <row r="513" spans="3:3" x14ac:dyDescent="0.25">
      <c r="C513" s="2"/>
    </row>
    <row r="514" spans="3:3" x14ac:dyDescent="0.25">
      <c r="C514" s="2"/>
    </row>
    <row r="515" spans="3:3" x14ac:dyDescent="0.25">
      <c r="C515" s="2"/>
    </row>
    <row r="516" spans="3:3" x14ac:dyDescent="0.25">
      <c r="C516" s="2"/>
    </row>
    <row r="517" spans="3:3" x14ac:dyDescent="0.25">
      <c r="C517" s="2"/>
    </row>
    <row r="518" spans="3:3" x14ac:dyDescent="0.25">
      <c r="C518" s="2"/>
    </row>
    <row r="519" spans="3:3" x14ac:dyDescent="0.25">
      <c r="C519" s="2"/>
    </row>
  </sheetData>
  <mergeCells count="4">
    <mergeCell ref="B2:C2"/>
    <mergeCell ref="D2:E2"/>
    <mergeCell ref="H2:I2"/>
    <mergeCell ref="F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Control</vt:lpstr>
      <vt:lpstr>MTC</vt:lpstr>
      <vt:lpstr>NoMTC</vt:lpstr>
      <vt:lpstr>PSA analysis</vt:lpstr>
      <vt:lpstr>CEP</vt:lpstr>
      <vt:lpstr>CEAC</vt:lpstr>
      <vt:lpstr>Current_prob_CE</vt:lpstr>
      <vt:lpstr>ICER_incr</vt:lpstr>
      <vt:lpstr>ICER_SP</vt:lpstr>
      <vt:lpstr>Lambda</vt:lpstr>
      <vt:lpstr>Max_ICER</vt:lpstr>
      <vt:lpstr>Prob_CE_SP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polla</dc:creator>
  <cp:lastModifiedBy>polla</cp:lastModifiedBy>
  <dcterms:created xsi:type="dcterms:W3CDTF">2020-04-27T07:56:29Z</dcterms:created>
  <dcterms:modified xsi:type="dcterms:W3CDTF">2020-04-27T08:42:24Z</dcterms:modified>
</cp:coreProperties>
</file>